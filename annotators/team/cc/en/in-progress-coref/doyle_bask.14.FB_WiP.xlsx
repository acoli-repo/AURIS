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<sst xmlns="http://schemas.openxmlformats.org/spreadsheetml/2006/main" count="4103" uniqueCount="891">
  <si>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</si>
  <si>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</si>
  <si>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</si>
  <si>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</si>
  <si>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</si>
  <si>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</si>
  <si>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</si>
  <si>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</si>
  <si>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</si>
  <si>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</si>
  <si>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</si>
  <si>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</si>
  <si>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One of Sherlock Holmes's defectsâ€”if, indeed, one may call it a defectâ€”was that he was exceedingly loath to communicate his full plans to any other person until the instant of their fulfilment.</t>
  </si>
  <si>
    <t xml:space="preserve">One</t>
  </si>
  <si>
    <t xml:space="preserve">SBJ</t>
  </si>
  <si>
    <t xml:space="preserve">def-np.poss</t>
  </si>
  <si>
    <t xml:space="preserve">NEW</t>
  </si>
  <si>
    <t xml:space="preserve">Defect</t>
  </si>
  <si>
    <t xml:space="preserve">Type Identifiable</t>
  </si>
  <si>
    <t xml:space="preserve">of</t>
  </si>
  <si>
    <t xml:space="preserve">Sherlock</t>
  </si>
  <si>
    <t xml:space="preserve">Holmes</t>
  </si>
  <si>
    <t xml:space="preserve">other_3</t>
  </si>
  <si>
    <t xml:space="preserve">ne</t>
  </si>
  <si>
    <t xml:space="preserve">Sherlock Holmes</t>
  </si>
  <si>
    <t xml:space="preserve">Familiar</t>
  </si>
  <si>
    <t xml:space="preserve">'s</t>
  </si>
  <si>
    <t xml:space="preserve">defects</t>
  </si>
  <si>
    <t xml:space="preserve">other_2</t>
  </si>
  <si>
    <t xml:space="preserve">?OLD</t>
  </si>
  <si>
    <t xml:space="preserve">â€”if</t>
  </si>
  <si>
    <t xml:space="preserve">,</t>
  </si>
  <si>
    <t xml:space="preserve">indeed</t>
  </si>
  <si>
    <t xml:space="preserve">one</t>
  </si>
  <si>
    <t xml:space="preserve">may</t>
  </si>
  <si>
    <t xml:space="preserve">call</t>
  </si>
  <si>
    <t xml:space="preserve">it</t>
  </si>
  <si>
    <t xml:space="preserve">OBJ</t>
  </si>
  <si>
    <t xml:space="preserve">pron.pper</t>
  </si>
  <si>
    <t xml:space="preserve">IN FOCUS</t>
  </si>
  <si>
    <t xml:space="preserve">a</t>
  </si>
  <si>
    <t xml:space="preserve">defect</t>
  </si>
  <si>
    <t xml:space="preserve">SBJ_2</t>
  </si>
  <si>
    <t xml:space="preserve">indef-np.a</t>
  </si>
  <si>
    <t xml:space="preserve">â€”was</t>
  </si>
  <si>
    <t xml:space="preserve">that</t>
  </si>
  <si>
    <t xml:space="preserve">he</t>
  </si>
  <si>
    <t xml:space="preserve">SBJ_3</t>
  </si>
  <si>
    <t xml:space="preserve">was</t>
  </si>
  <si>
    <t xml:space="preserve">exceedingly</t>
  </si>
  <si>
    <t xml:space="preserve">loath</t>
  </si>
  <si>
    <t xml:space="preserve">to</t>
  </si>
  <si>
    <t xml:space="preserve">communicate</t>
  </si>
  <si>
    <t xml:space="preserve">his</t>
  </si>
  <si>
    <t xml:space="preserve">other_5</t>
  </si>
  <si>
    <t xml:space="preserve">pron.ppos</t>
  </si>
  <si>
    <t xml:space="preserve">OLD</t>
  </si>
  <si>
    <t xml:space="preserve">full</t>
  </si>
  <si>
    <t xml:space="preserve">plans</t>
  </si>
  <si>
    <t xml:space="preserve">OBJ_4</t>
  </si>
  <si>
    <t xml:space="preserve">Uniquely Identifiable</t>
  </si>
  <si>
    <t xml:space="preserve">any</t>
  </si>
  <si>
    <t xml:space="preserve">other</t>
  </si>
  <si>
    <t xml:space="preserve">person</t>
  </si>
  <si>
    <t xml:space="preserve">other_4</t>
  </si>
  <si>
    <t xml:space="preserve">until</t>
  </si>
  <si>
    <t xml:space="preserve">the</t>
  </si>
  <si>
    <t xml:space="preserve">instant</t>
  </si>
  <si>
    <t xml:space="preserve">_</t>
  </si>
  <si>
    <t xml:space="preserve">GEN</t>
  </si>
  <si>
    <t xml:space="preserve">their</t>
  </si>
  <si>
    <t xml:space="preserve">other_6</t>
  </si>
  <si>
    <t xml:space="preserve">fulfilment</t>
  </si>
  <si>
    <t xml:space="preserve">.</t>
  </si>
  <si>
    <t xml:space="preserve"># text = Partly it came no doubt from his own masterful nature, which loved to dominate and surprise those who were around him.</t>
  </si>
  <si>
    <t xml:space="preserve">Partly</t>
  </si>
  <si>
    <t xml:space="preserve">came</t>
  </si>
  <si>
    <t xml:space="preserve">no</t>
  </si>
  <si>
    <t xml:space="preserve">doubt</t>
  </si>
  <si>
    <t xml:space="preserve">from</t>
  </si>
  <si>
    <t xml:space="preserve">Activated</t>
  </si>
  <si>
    <t xml:space="preserve">own</t>
  </si>
  <si>
    <t xml:space="preserve">masterful</t>
  </si>
  <si>
    <t xml:space="preserve">nature</t>
  </si>
  <si>
    <t xml:space="preserve">Idiom</t>
  </si>
  <si>
    <t xml:space="preserve">which</t>
  </si>
  <si>
    <t xml:space="preserve">loved</t>
  </si>
  <si>
    <t xml:space="preserve">dominate</t>
  </si>
  <si>
    <t xml:space="preserve">and</t>
  </si>
  <si>
    <t xml:space="preserve">surprise</t>
  </si>
  <si>
    <t xml:space="preserve">those</t>
  </si>
  <si>
    <t xml:space="preserve">OBJ_5</t>
  </si>
  <si>
    <t xml:space="preserve">pron.pds</t>
  </si>
  <si>
    <t xml:space="preserve">who</t>
  </si>
  <si>
    <t xml:space="preserve">SBJ_7</t>
  </si>
  <si>
    <t xml:space="preserve">were</t>
  </si>
  <si>
    <t xml:space="preserve">around</t>
  </si>
  <si>
    <t xml:space="preserve">him</t>
  </si>
  <si>
    <t xml:space="preserve"># text = Partly also from his professional caution, which urged him never to take any chances.</t>
  </si>
  <si>
    <t xml:space="preserve">also</t>
  </si>
  <si>
    <t xml:space="preserve">professional</t>
  </si>
  <si>
    <t xml:space="preserve">caution</t>
  </si>
  <si>
    <t xml:space="preserve">urged</t>
  </si>
  <si>
    <t xml:space="preserve">OBJ_2</t>
  </si>
  <si>
    <t xml:space="preserve">never</t>
  </si>
  <si>
    <t xml:space="preserve">take</t>
  </si>
  <si>
    <t xml:space="preserve">chances</t>
  </si>
  <si>
    <t xml:space="preserve">OBJ_3</t>
  </si>
  <si>
    <t xml:space="preserve"># text = The result, however, was very trying for those who were acting as his agents and assistants.</t>
  </si>
  <si>
    <t xml:space="preserve">The</t>
  </si>
  <si>
    <t xml:space="preserve">result</t>
  </si>
  <si>
    <t xml:space="preserve">def-np.the</t>
  </si>
  <si>
    <t xml:space="preserve">however</t>
  </si>
  <si>
    <t xml:space="preserve">very</t>
  </si>
  <si>
    <t xml:space="preserve">trying</t>
  </si>
  <si>
    <t xml:space="preserve">for</t>
  </si>
  <si>
    <t xml:space="preserve">acting</t>
  </si>
  <si>
    <t xml:space="preserve">as</t>
  </si>
  <si>
    <t xml:space="preserve">agents</t>
  </si>
  <si>
    <t xml:space="preserve">assistants</t>
  </si>
  <si>
    <t xml:space="preserve">indef-np.bare</t>
  </si>
  <si>
    <t xml:space="preserve"># text = I had often suffered under it, but never more so than during that long drive in the darkness.</t>
  </si>
  <si>
    <t xml:space="preserve">I</t>
  </si>
  <si>
    <t xml:space="preserve">Watson</t>
  </si>
  <si>
    <t xml:space="preserve">had</t>
  </si>
  <si>
    <t xml:space="preserve">often</t>
  </si>
  <si>
    <t xml:space="preserve">suffered</t>
  </si>
  <si>
    <t xml:space="preserve">under</t>
  </si>
  <si>
    <t xml:space="preserve">but</t>
  </si>
  <si>
    <t xml:space="preserve">more</t>
  </si>
  <si>
    <t xml:space="preserve">so</t>
  </si>
  <si>
    <t xml:space="preserve">than</t>
  </si>
  <si>
    <t xml:space="preserve">during</t>
  </si>
  <si>
    <t xml:space="preserve">long</t>
  </si>
  <si>
    <t xml:space="preserve">drive</t>
  </si>
  <si>
    <t xml:space="preserve">def-np.dem</t>
  </si>
  <si>
    <t xml:space="preserve">in</t>
  </si>
  <si>
    <t xml:space="preserve">darkness</t>
  </si>
  <si>
    <t xml:space="preserve"># text = The great ordeal was in front of us; at last we were about to make our final effort, and yet Holmes had said nothing, and I could only surmise what his course of action would be.</t>
  </si>
  <si>
    <t xml:space="preserve">great</t>
  </si>
  <si>
    <t xml:space="preserve">ordeal</t>
  </si>
  <si>
    <t xml:space="preserve">front</t>
  </si>
  <si>
    <t xml:space="preserve">us</t>
  </si>
  <si>
    <t xml:space="preserve">SH + W</t>
  </si>
  <si>
    <t xml:space="preserve">;</t>
  </si>
  <si>
    <t xml:space="preserve">at</t>
  </si>
  <si>
    <t xml:space="preserve">last</t>
  </si>
  <si>
    <t xml:space="preserve">we</t>
  </si>
  <si>
    <t xml:space="preserve">about</t>
  </si>
  <si>
    <t xml:space="preserve">make</t>
  </si>
  <si>
    <t xml:space="preserve">our</t>
  </si>
  <si>
    <t xml:space="preserve">final</t>
  </si>
  <si>
    <t xml:space="preserve">effort</t>
  </si>
  <si>
    <t xml:space="preserve">yet</t>
  </si>
  <si>
    <t xml:space="preserve">said</t>
  </si>
  <si>
    <t xml:space="preserve">nothing</t>
  </si>
  <si>
    <t xml:space="preserve">pron</t>
  </si>
  <si>
    <t xml:space="preserve">SBJ_4</t>
  </si>
  <si>
    <t xml:space="preserve">could</t>
  </si>
  <si>
    <t xml:space="preserve">only</t>
  </si>
  <si>
    <t xml:space="preserve">surmise</t>
  </si>
  <si>
    <t xml:space="preserve">what</t>
  </si>
  <si>
    <t xml:space="preserve">pron.pint</t>
  </si>
  <si>
    <t xml:space="preserve">other_7</t>
  </si>
  <si>
    <t xml:space="preserve">course</t>
  </si>
  <si>
    <t xml:space="preserve">SBJ_6</t>
  </si>
  <si>
    <t xml:space="preserve">action</t>
  </si>
  <si>
    <t xml:space="preserve">would</t>
  </si>
  <si>
    <t xml:space="preserve">be</t>
  </si>
  <si>
    <t xml:space="preserve"># text = My nerves thrilled with anticipation when at last the cold wind upon our faces and the dark, void spaces on either side of the narrow road told me that we were back upon the moor once again.</t>
  </si>
  <si>
    <t xml:space="preserve">My</t>
  </si>
  <si>
    <t xml:space="preserve">nerves</t>
  </si>
  <si>
    <t xml:space="preserve">thrilled</t>
  </si>
  <si>
    <t xml:space="preserve">with</t>
  </si>
  <si>
    <t xml:space="preserve">anticipation</t>
  </si>
  <si>
    <t xml:space="preserve">when</t>
  </si>
  <si>
    <t xml:space="preserve">cold</t>
  </si>
  <si>
    <t xml:space="preserve">wind</t>
  </si>
  <si>
    <t xml:space="preserve">upon</t>
  </si>
  <si>
    <t xml:space="preserve">faces</t>
  </si>
  <si>
    <t xml:space="preserve">dark</t>
  </si>
  <si>
    <t xml:space="preserve">void</t>
  </si>
  <si>
    <t xml:space="preserve">spaces</t>
  </si>
  <si>
    <t xml:space="preserve">on</t>
  </si>
  <si>
    <t xml:space="preserve">either</t>
  </si>
  <si>
    <t xml:space="preserve">side</t>
  </si>
  <si>
    <t xml:space="preserve">indef-np</t>
  </si>
  <si>
    <t xml:space="preserve">narrow</t>
  </si>
  <si>
    <t xml:space="preserve">road</t>
  </si>
  <si>
    <t xml:space="preserve">told</t>
  </si>
  <si>
    <t xml:space="preserve">me</t>
  </si>
  <si>
    <t xml:space="preserve">back</t>
  </si>
  <si>
    <t xml:space="preserve">moor</t>
  </si>
  <si>
    <t xml:space="preserve">might be mentioned later</t>
  </si>
  <si>
    <t xml:space="preserve">once</t>
  </si>
  <si>
    <t xml:space="preserve">again</t>
  </si>
  <si>
    <t xml:space="preserve"># text = Every stride of the horses and every turn of the wheels was taking us nearer to our supreme adventure.</t>
  </si>
  <si>
    <t xml:space="preserve">Every</t>
  </si>
  <si>
    <t xml:space="preserve">stride</t>
  </si>
  <si>
    <t xml:space="preserve">horses</t>
  </si>
  <si>
    <t xml:space="preserve">every</t>
  </si>
  <si>
    <t xml:space="preserve">turn</t>
  </si>
  <si>
    <t xml:space="preserve">wheels</t>
  </si>
  <si>
    <t xml:space="preserve">taking</t>
  </si>
  <si>
    <t xml:space="preserve">nearer</t>
  </si>
  <si>
    <t xml:space="preserve">supreme</t>
  </si>
  <si>
    <t xml:space="preserve">adventure</t>
  </si>
  <si>
    <t xml:space="preserve"># text = Our conversation was hampered by the presence of the driver of the hired wagonette, so that we were forced to talk of trivial matters when our nerves were tense with emotion and anticipation.</t>
  </si>
  <si>
    <t xml:space="preserve">Our</t>
  </si>
  <si>
    <t xml:space="preserve">conversation</t>
  </si>
  <si>
    <t xml:space="preserve">                                                                </t>
  </si>
  <si>
    <t xml:space="preserve">hampered</t>
  </si>
  <si>
    <t xml:space="preserve">by</t>
  </si>
  <si>
    <t xml:space="preserve">presence</t>
  </si>
  <si>
    <t xml:space="preserve">driver</t>
  </si>
  <si>
    <t xml:space="preserve">hired</t>
  </si>
  <si>
    <t xml:space="preserve">wagonette</t>
  </si>
  <si>
    <t xml:space="preserve">forced</t>
  </si>
  <si>
    <t xml:space="preserve">talk</t>
  </si>
  <si>
    <t xml:space="preserve">trivial</t>
  </si>
  <si>
    <t xml:space="preserve">matters</t>
  </si>
  <si>
    <t xml:space="preserve">tense</t>
  </si>
  <si>
    <t xml:space="preserve">emotion</t>
  </si>
  <si>
    <t xml:space="preserve"># text = It was a relief to me, after that unnatural restraint, when we at last passed Frankland's house and knew that we were drawing near to the Hall and to the scene of action.</t>
  </si>
  <si>
    <t xml:space="preserve">It</t>
  </si>
  <si>
    <t xml:space="preserve">relief</t>
  </si>
  <si>
    <t xml:space="preserve">after</t>
  </si>
  <si>
    <t xml:space="preserve">unnatural</t>
  </si>
  <si>
    <t xml:space="preserve">restraint</t>
  </si>
  <si>
    <t xml:space="preserve">passed</t>
  </si>
  <si>
    <t xml:space="preserve">Frankland</t>
  </si>
  <si>
    <t xml:space="preserve">house</t>
  </si>
  <si>
    <t xml:space="preserve">knew</t>
  </si>
  <si>
    <t xml:space="preserve">drawing</t>
  </si>
  <si>
    <t xml:space="preserve">near</t>
  </si>
  <si>
    <t xml:space="preserve">Hall</t>
  </si>
  <si>
    <t xml:space="preserve">scene</t>
  </si>
  <si>
    <t xml:space="preserve"># text = We did not drive up to the door but got down near the gate of the avenue.</t>
  </si>
  <si>
    <t xml:space="preserve">We</t>
  </si>
  <si>
    <t xml:space="preserve">did</t>
  </si>
  <si>
    <t xml:space="preserve">not</t>
  </si>
  <si>
    <t xml:space="preserve">up</t>
  </si>
  <si>
    <t xml:space="preserve">door</t>
  </si>
  <si>
    <t xml:space="preserve">got</t>
  </si>
  <si>
    <t xml:space="preserve">down</t>
  </si>
  <si>
    <t xml:space="preserve">gate</t>
  </si>
  <si>
    <t xml:space="preserve">avenue</t>
  </si>
  <si>
    <t xml:space="preserve"># text = The wagonette was paid off and ordered to return to Coombe Tracey forthwith, while we started to walk to Merripit House.</t>
  </si>
  <si>
    <t xml:space="preserve">paid</t>
  </si>
  <si>
    <t xml:space="preserve">off</t>
  </si>
  <si>
    <t xml:space="preserve">ordered</t>
  </si>
  <si>
    <t xml:space="preserve">return</t>
  </si>
  <si>
    <t xml:space="preserve">Coombe</t>
  </si>
  <si>
    <t xml:space="preserve">Tracey</t>
  </si>
  <si>
    <t xml:space="preserve">forthwith</t>
  </si>
  <si>
    <t xml:space="preserve">while</t>
  </si>
  <si>
    <t xml:space="preserve">started</t>
  </si>
  <si>
    <t xml:space="preserve">walk</t>
  </si>
  <si>
    <t xml:space="preserve">Merripit</t>
  </si>
  <si>
    <t xml:space="preserve">House</t>
  </si>
  <si>
    <t xml:space="preserve">--</t>
  </si>
  <si>
    <t xml:space="preserve"># text = "Are you armed, Lestrade?"</t>
  </si>
  <si>
    <t xml:space="preserve">&amp;quot;</t>
  </si>
  <si>
    <t xml:space="preserve">Are</t>
  </si>
  <si>
    <t xml:space="preserve">you</t>
  </si>
  <si>
    <t xml:space="preserve">Lestrade</t>
  </si>
  <si>
    <t xml:space="preserve">Referential</t>
  </si>
  <si>
    <t xml:space="preserve">armed</t>
  </si>
  <si>
    <t xml:space="preserve">little detective</t>
  </si>
  <si>
    <t xml:space="preserve">?</t>
  </si>
  <si>
    <t xml:space="preserve"># text = The little detective smiled.</t>
  </si>
  <si>
    <t xml:space="preserve">little</t>
  </si>
  <si>
    <t xml:space="preserve">detective</t>
  </si>
  <si>
    <t xml:space="preserve">smiled</t>
  </si>
  <si>
    <t xml:space="preserve"># text = \"As long as I have my trousers I have a hip-pocket, and as long as I have my hip-pocket I have something in it.\"</t>
  </si>
  <si>
    <t xml:space="preserve">As</t>
  </si>
  <si>
    <t xml:space="preserve">have</t>
  </si>
  <si>
    <t xml:space="preserve">my</t>
  </si>
  <si>
    <t xml:space="preserve">trousers</t>
  </si>
  <si>
    <t xml:space="preserve">L</t>
  </si>
  <si>
    <t xml:space="preserve">hip</t>
  </si>
  <si>
    <t xml:space="preserve">pocket</t>
  </si>
  <si>
    <t xml:space="preserve">other_9</t>
  </si>
  <si>
    <t xml:space="preserve">OBJ_7</t>
  </si>
  <si>
    <t xml:space="preserve">SBJ_9</t>
  </si>
  <si>
    <t xml:space="preserve">something</t>
  </si>
  <si>
    <t xml:space="preserve">OBJ_9</t>
  </si>
  <si>
    <t xml:space="preserve">other_10</t>
  </si>
  <si>
    <t xml:space="preserve">hip-pocket</t>
  </si>
  <si>
    <t xml:space="preserve"># text = "Good!</t>
  </si>
  <si>
    <t xml:space="preserve">Good</t>
  </si>
  <si>
    <t xml:space="preserve">!</t>
  </si>
  <si>
    <t xml:space="preserve"># text = My friend and I are also ready for emergencies."</t>
  </si>
  <si>
    <t xml:space="preserve">friend</t>
  </si>
  <si>
    <t xml:space="preserve">are</t>
  </si>
  <si>
    <t xml:space="preserve">ready</t>
  </si>
  <si>
    <t xml:space="preserve">emergencies</t>
  </si>
  <si>
    <t xml:space="preserve"># text = "You're mighty close about this affair, Mr. Holmes.</t>
  </si>
  <si>
    <t xml:space="preserve">You</t>
  </si>
  <si>
    <t xml:space="preserve">'re</t>
  </si>
  <si>
    <t xml:space="preserve">mighty</t>
  </si>
  <si>
    <t xml:space="preserve">close</t>
  </si>
  <si>
    <t xml:space="preserve">this</t>
  </si>
  <si>
    <t xml:space="preserve">affair</t>
  </si>
  <si>
    <t xml:space="preserve">Mr.</t>
  </si>
  <si>
    <t xml:space="preserve"># text = What's the game now?"</t>
  </si>
  <si>
    <t xml:space="preserve">What</t>
  </si>
  <si>
    <t xml:space="preserve">game</t>
  </si>
  <si>
    <t xml:space="preserve">a waiting game</t>
  </si>
  <si>
    <t xml:space="preserve">now</t>
  </si>
  <si>
    <t xml:space="preserve"># text = \"A waiting game.\"</t>
  </si>
  <si>
    <t xml:space="preserve">A</t>
  </si>
  <si>
    <t xml:space="preserve">waiting</t>
  </si>
  <si>
    <t xml:space="preserve"># text = "My word, it does not seem a very cheerful place," said the detective with a shiver, glancing round him at the gloomy slopes of the hill and at the huge lake of fog which lay over the Grimpen Mire.</t>
  </si>
  <si>
    <t xml:space="preserve">IDIOM</t>
  </si>
  <si>
    <t xml:space="preserve">Idiom/fixed expression</t>
  </si>
  <si>
    <t xml:space="preserve">word</t>
  </si>
  <si>
    <t xml:space="preserve">place</t>
  </si>
  <si>
    <t xml:space="preserve">does</t>
  </si>
  <si>
    <t xml:space="preserve">seem</t>
  </si>
  <si>
    <t xml:space="preserve">cheerful</t>
  </si>
  <si>
    <t xml:space="preserve">shiver</t>
  </si>
  <si>
    <t xml:space="preserve">glancing</t>
  </si>
  <si>
    <t xml:space="preserve">round</t>
  </si>
  <si>
    <t xml:space="preserve">gloomy</t>
  </si>
  <si>
    <t xml:space="preserve">slopes</t>
  </si>
  <si>
    <t xml:space="preserve">hill</t>
  </si>
  <si>
    <t xml:space="preserve">huge</t>
  </si>
  <si>
    <t xml:space="preserve">lake</t>
  </si>
  <si>
    <t xml:space="preserve">fog</t>
  </si>
  <si>
    <t xml:space="preserve">SBJ_5</t>
  </si>
  <si>
    <t xml:space="preserve">lay</t>
  </si>
  <si>
    <t xml:space="preserve">over</t>
  </si>
  <si>
    <t xml:space="preserve">Grimpen</t>
  </si>
  <si>
    <t xml:space="preserve">Mire</t>
  </si>
  <si>
    <t xml:space="preserve"># text = \"I see the lights of a house ahead of us.\"</t>
  </si>
  <si>
    <t xml:space="preserve">see</t>
  </si>
  <si>
    <t xml:space="preserve">lights</t>
  </si>
  <si>
    <t xml:space="preserve">Merripit House</t>
  </si>
  <si>
    <t xml:space="preserve">ahead</t>
  </si>
  <si>
    <t xml:space="preserve">SH + W + L</t>
  </si>
  <si>
    <t xml:space="preserve"># text = "That is Merripit House and the end of our journey.</t>
  </si>
  <si>
    <t xml:space="preserve">That</t>
  </si>
  <si>
    <t xml:space="preserve">is</t>
  </si>
  <si>
    <t xml:space="preserve">end</t>
  </si>
  <si>
    <t xml:space="preserve">journey</t>
  </si>
  <si>
    <t xml:space="preserve"># text = I must request you to walk on tiptoe and not to talk above a whisper.\"</t>
  </si>
  <si>
    <t xml:space="preserve">must</t>
  </si>
  <si>
    <t xml:space="preserve">request</t>
  </si>
  <si>
    <t xml:space="preserve">Watson + Lestrade</t>
  </si>
  <si>
    <t xml:space="preserve">tiptoe</t>
  </si>
  <si>
    <t xml:space="preserve">above</t>
  </si>
  <si>
    <t xml:space="preserve">whisper</t>
  </si>
  <si>
    <t xml:space="preserve"># text = We moved cautiously along the track as if we were bound for the house, but Holmes halted us when we were about two hundred yards from it.</t>
  </si>
  <si>
    <t xml:space="preserve">moved</t>
  </si>
  <si>
    <t xml:space="preserve">cautiously</t>
  </si>
  <si>
    <t xml:space="preserve">along</t>
  </si>
  <si>
    <t xml:space="preserve">track</t>
  </si>
  <si>
    <t xml:space="preserve">if</t>
  </si>
  <si>
    <t xml:space="preserve">bound</t>
  </si>
  <si>
    <t xml:space="preserve">halted</t>
  </si>
  <si>
    <t xml:space="preserve">two</t>
  </si>
  <si>
    <t xml:space="preserve">hundred</t>
  </si>
  <si>
    <t xml:space="preserve">yards</t>
  </si>
  <si>
    <t xml:space="preserve">indef-np.quant</t>
  </si>
  <si>
    <t xml:space="preserve"># text = \"This will do,\" said he.</t>
  </si>
  <si>
    <t xml:space="preserve">This</t>
  </si>
  <si>
    <t xml:space="preserve">will</t>
  </si>
  <si>
    <t xml:space="preserve">do</t>
  </si>
  <si>
    <t xml:space="preserve"># text = \"These rocks upon the right make an admirable screen.\"</t>
  </si>
  <si>
    <t xml:space="preserve">These</t>
  </si>
  <si>
    <t xml:space="preserve">rocks</t>
  </si>
  <si>
    <t xml:space="preserve">right</t>
  </si>
  <si>
    <t xml:space="preserve">an</t>
  </si>
  <si>
    <t xml:space="preserve">admirable</t>
  </si>
  <si>
    <t xml:space="preserve">screen</t>
  </si>
  <si>
    <t xml:space="preserve"># text = "We are to wait here?"</t>
  </si>
  <si>
    <t xml:space="preserve">wait</t>
  </si>
  <si>
    <t xml:space="preserve">here</t>
  </si>
  <si>
    <t xml:space="preserve"># text = "Yes, we shall make our little ambush here.</t>
  </si>
  <si>
    <t xml:space="preserve">Yes</t>
  </si>
  <si>
    <t xml:space="preserve">shall</t>
  </si>
  <si>
    <t xml:space="preserve">ambush</t>
  </si>
  <si>
    <t xml:space="preserve"># text = Get into this hollow, Lestrade.</t>
  </si>
  <si>
    <t xml:space="preserve">Get</t>
  </si>
  <si>
    <t xml:space="preserve">into</t>
  </si>
  <si>
    <t xml:space="preserve">hollow</t>
  </si>
  <si>
    <t xml:space="preserve"># text = You have been inside the house, have you not, Watson?</t>
  </si>
  <si>
    <t xml:space="preserve">been</t>
  </si>
  <si>
    <t xml:space="preserve">inside</t>
  </si>
  <si>
    <t xml:space="preserve"># text = Can you tell the position of the rooms?</t>
  </si>
  <si>
    <t xml:space="preserve">Can</t>
  </si>
  <si>
    <t xml:space="preserve">tell</t>
  </si>
  <si>
    <t xml:space="preserve">position</t>
  </si>
  <si>
    <t xml:space="preserve">rooms</t>
  </si>
  <si>
    <t xml:space="preserve"># text = What are those latticed windows at this end?\"</t>
  </si>
  <si>
    <t xml:space="preserve">latticed</t>
  </si>
  <si>
    <t xml:space="preserve">windows</t>
  </si>
  <si>
    <t xml:space="preserve"># text = \"I think they are the kitchen windows.\"</t>
  </si>
  <si>
    <t xml:space="preserve">think</t>
  </si>
  <si>
    <t xml:space="preserve">they</t>
  </si>
  <si>
    <t xml:space="preserve">kitchen</t>
  </si>
  <si>
    <t xml:space="preserve"># text = \"And the one beyond, which shines so brightly?\"</t>
  </si>
  <si>
    <t xml:space="preserve">And</t>
  </si>
  <si>
    <t xml:space="preserve">beyond</t>
  </si>
  <si>
    <t xml:space="preserve">def-np.quant</t>
  </si>
  <si>
    <t xml:space="preserve">shines</t>
  </si>
  <si>
    <t xml:space="preserve">brightly</t>
  </si>
  <si>
    <t xml:space="preserve"># text = "That is certainly the dining-room."</t>
  </si>
  <si>
    <t xml:space="preserve">certainly</t>
  </si>
  <si>
    <t xml:space="preserve">dining</t>
  </si>
  <si>
    <t xml:space="preserve">room</t>
  </si>
  <si>
    <t xml:space="preserve"># text = \"The blinds are up.</t>
  </si>
  <si>
    <t xml:space="preserve">blinds</t>
  </si>
  <si>
    <t xml:space="preserve"># text = You know the lie of the land best.</t>
  </si>
  <si>
    <t xml:space="preserve">know</t>
  </si>
  <si>
    <t xml:space="preserve">lie</t>
  </si>
  <si>
    <t xml:space="preserve">land</t>
  </si>
  <si>
    <t xml:space="preserve">best</t>
  </si>
  <si>
    <t xml:space="preserve"># text = Creep forward quietly and see what they are doingâ€”but for heaven's sake don't let them know that they are watched!"</t>
  </si>
  <si>
    <t xml:space="preserve">Creep</t>
  </si>
  <si>
    <t xml:space="preserve">forward</t>
  </si>
  <si>
    <t xml:space="preserve">quietly</t>
  </si>
  <si>
    <t xml:space="preserve">doing</t>
  </si>
  <si>
    <t xml:space="preserve">â€”but</t>
  </si>
  <si>
    <t xml:space="preserve">heaven</t>
  </si>
  <si>
    <t xml:space="preserve">sake</t>
  </si>
  <si>
    <t xml:space="preserve">n't</t>
  </si>
  <si>
    <t xml:space="preserve">let</t>
  </si>
  <si>
    <t xml:space="preserve">them</t>
  </si>
  <si>
    <t xml:space="preserve">watched</t>
  </si>
  <si>
    <t xml:space="preserve"># text = I tiptoed down the path and stooped behind the low wall which surrounded the stunted orchard.</t>
  </si>
  <si>
    <t xml:space="preserve">tiptoed</t>
  </si>
  <si>
    <t xml:space="preserve">path</t>
  </si>
  <si>
    <t xml:space="preserve">stooped</t>
  </si>
  <si>
    <t xml:space="preserve">behind</t>
  </si>
  <si>
    <t xml:space="preserve">low</t>
  </si>
  <si>
    <t xml:space="preserve">wall</t>
  </si>
  <si>
    <t xml:space="preserve">surrounded</t>
  </si>
  <si>
    <t xml:space="preserve">stunted</t>
  </si>
  <si>
    <t xml:space="preserve">orchard</t>
  </si>
  <si>
    <t xml:space="preserve"># text = Creeping in its shadow I reached a point whence I could look straight through the uncurtained window.</t>
  </si>
  <si>
    <t xml:space="preserve">Creeping</t>
  </si>
  <si>
    <t xml:space="preserve">s</t>
  </si>
  <si>
    <t xml:space="preserve">shadow</t>
  </si>
  <si>
    <t xml:space="preserve">reached</t>
  </si>
  <si>
    <t xml:space="preserve">point</t>
  </si>
  <si>
    <t xml:space="preserve">whence</t>
  </si>
  <si>
    <t xml:space="preserve">look</t>
  </si>
  <si>
    <t xml:space="preserve">straight</t>
  </si>
  <si>
    <t xml:space="preserve">through</t>
  </si>
  <si>
    <t xml:space="preserve">uncurtained</t>
  </si>
  <si>
    <t xml:space="preserve">window</t>
  </si>
  <si>
    <t xml:space="preserve"># text = There were only two men in the room, Sir Henry and Stapleton.</t>
  </si>
  <si>
    <t xml:space="preserve">There</t>
  </si>
  <si>
    <t xml:space="preserve">men</t>
  </si>
  <si>
    <t xml:space="preserve">Sir</t>
  </si>
  <si>
    <t xml:space="preserve">Henry</t>
  </si>
  <si>
    <t xml:space="preserve">Stapleton</t>
  </si>
  <si>
    <t xml:space="preserve"># text = They sat with their profiles towards me on either side of the round table.</t>
  </si>
  <si>
    <t xml:space="preserve">They</t>
  </si>
  <si>
    <t xml:space="preserve">sat</t>
  </si>
  <si>
    <t xml:space="preserve">profiles</t>
  </si>
  <si>
    <t xml:space="preserve">towards</t>
  </si>
  <si>
    <t xml:space="preserve">table</t>
  </si>
  <si>
    <t xml:space="preserve"># text = Both of them were smoking cigars, and coffee and wine were in front of them.</t>
  </si>
  <si>
    <t xml:space="preserve">Both</t>
  </si>
  <si>
    <t xml:space="preserve">smoking</t>
  </si>
  <si>
    <t xml:space="preserve">cigars</t>
  </si>
  <si>
    <t xml:space="preserve">coffee</t>
  </si>
  <si>
    <t xml:space="preserve">wine</t>
  </si>
  <si>
    <t xml:space="preserve"># text = Stapleton was talking with animation, but the baronet looked pale and distrait.</t>
  </si>
  <si>
    <t xml:space="preserve">talking</t>
  </si>
  <si>
    <t xml:space="preserve">animation</t>
  </si>
  <si>
    <t xml:space="preserve">baronet</t>
  </si>
  <si>
    <t xml:space="preserve">looked</t>
  </si>
  <si>
    <t xml:space="preserve">pale</t>
  </si>
  <si>
    <t xml:space="preserve">distrait</t>
  </si>
  <si>
    <t xml:space="preserve"># text = Perhaps the thought of that lonely walk across the ill-omened moor was weighing heavily upon his mind.</t>
  </si>
  <si>
    <t xml:space="preserve">Perhaps</t>
  </si>
  <si>
    <t xml:space="preserve">thought</t>
  </si>
  <si>
    <t xml:space="preserve">lonely</t>
  </si>
  <si>
    <t xml:space="preserve">across</t>
  </si>
  <si>
    <t xml:space="preserve">ill</t>
  </si>
  <si>
    <t xml:space="preserve">omened</t>
  </si>
  <si>
    <t xml:space="preserve">weighing</t>
  </si>
  <si>
    <t xml:space="preserve">heavily</t>
  </si>
  <si>
    <t xml:space="preserve">mind</t>
  </si>
  <si>
    <t xml:space="preserve"># text = As I watched them Stapleton rose and left the room, while Sir Henry filled his glass again and leaned back in his chair, puffing at his cigar.</t>
  </si>
  <si>
    <t xml:space="preserve">rose</t>
  </si>
  <si>
    <t xml:space="preserve">left</t>
  </si>
  <si>
    <t xml:space="preserve">filled</t>
  </si>
  <si>
    <t xml:space="preserve">glass</t>
  </si>
  <si>
    <t xml:space="preserve">leaned</t>
  </si>
  <si>
    <t xml:space="preserve">chair</t>
  </si>
  <si>
    <t xml:space="preserve">puffing</t>
  </si>
  <si>
    <t xml:space="preserve">cigar</t>
  </si>
  <si>
    <t xml:space="preserve"># text = I heard the creak of a door and the crisp sound of boots upon gravel.</t>
  </si>
  <si>
    <t xml:space="preserve">heard</t>
  </si>
  <si>
    <t xml:space="preserve">creak</t>
  </si>
  <si>
    <t xml:space="preserve">crisp</t>
  </si>
  <si>
    <t xml:space="preserve">sound</t>
  </si>
  <si>
    <t xml:space="preserve">boots</t>
  </si>
  <si>
    <t xml:space="preserve">gravel</t>
  </si>
  <si>
    <t xml:space="preserve"># text = The steps passed along the path on the other side of the wall under which I crouched.</t>
  </si>
  <si>
    <t xml:space="preserve">steps</t>
  </si>
  <si>
    <t xml:space="preserve">def-np.the.other</t>
  </si>
  <si>
    <t xml:space="preserve">crouched</t>
  </si>
  <si>
    <t xml:space="preserve"># text = Looking over, I saw the naturalist pause at the door of an out-house in the corner of the orchard.</t>
  </si>
  <si>
    <t xml:space="preserve">Looking</t>
  </si>
  <si>
    <t xml:space="preserve">saw</t>
  </si>
  <si>
    <t xml:space="preserve">naturalist</t>
  </si>
  <si>
    <t xml:space="preserve">pause</t>
  </si>
  <si>
    <t xml:space="preserve">out</t>
  </si>
  <si>
    <t xml:space="preserve">corner</t>
  </si>
  <si>
    <t xml:space="preserve"># text = A key turned in a lock, and as he passed in there was a curious scuffling noise from within.</t>
  </si>
  <si>
    <t xml:space="preserve">key</t>
  </si>
  <si>
    <t xml:space="preserve">turned</t>
  </si>
  <si>
    <t xml:space="preserve">lock</t>
  </si>
  <si>
    <t xml:space="preserve">there</t>
  </si>
  <si>
    <t xml:space="preserve">curious</t>
  </si>
  <si>
    <t xml:space="preserve">scuffling</t>
  </si>
  <si>
    <t xml:space="preserve">noise</t>
  </si>
  <si>
    <t xml:space="preserve">within</t>
  </si>
  <si>
    <t xml:space="preserve"># text = He was only a minute or so inside, and then I heard the key turn once more and he passed me and re-entered the house.</t>
  </si>
  <si>
    <t xml:space="preserve">He</t>
  </si>
  <si>
    <t xml:space="preserve">minute</t>
  </si>
  <si>
    <t xml:space="preserve">or</t>
  </si>
  <si>
    <t xml:space="preserve">then</t>
  </si>
  <si>
    <t xml:space="preserve">re-entered</t>
  </si>
  <si>
    <t xml:space="preserve"># text = I saw him rejoin his guest, and I crept quietly back to where my companions were waiting to tell them what I had seen.</t>
  </si>
  <si>
    <t xml:space="preserve">rejoin</t>
  </si>
  <si>
    <t xml:space="preserve">guest</t>
  </si>
  <si>
    <t xml:space="preserve">crept</t>
  </si>
  <si>
    <t xml:space="preserve">where</t>
  </si>
  <si>
    <t xml:space="preserve">companions</t>
  </si>
  <si>
    <t xml:space="preserve">OBJ_6</t>
  </si>
  <si>
    <t xml:space="preserve">seen</t>
  </si>
  <si>
    <t xml:space="preserve"># text = "You say, Watson, that the lady is not there?"</t>
  </si>
  <si>
    <t xml:space="preserve">say</t>
  </si>
  <si>
    <t xml:space="preserve">lady</t>
  </si>
  <si>
    <t xml:space="preserve">pron.padv</t>
  </si>
  <si>
    <t xml:space="preserve"># text = Holmes asked, when I had finished my report.</t>
  </si>
  <si>
    <t xml:space="preserve">asked</t>
  </si>
  <si>
    <t xml:space="preserve">finished</t>
  </si>
  <si>
    <t xml:space="preserve">report</t>
  </si>
  <si>
    <t xml:space="preserve"># text = \"No.\" \"Where can she be, then, since there is no light in any other room except the kitchen?\"</t>
  </si>
  <si>
    <t xml:space="preserve">No</t>
  </si>
  <si>
    <t xml:space="preserve">Where</t>
  </si>
  <si>
    <t xml:space="preserve">can</t>
  </si>
  <si>
    <t xml:space="preserve">she</t>
  </si>
  <si>
    <t xml:space="preserve">since</t>
  </si>
  <si>
    <t xml:space="preserve">light</t>
  </si>
  <si>
    <t xml:space="preserve">except</t>
  </si>
  <si>
    <t xml:space="preserve"># text = "I cannot think where she is."</t>
  </si>
  <si>
    <t xml:space="preserve"># text = I have said that over the great Grimpen Mire there hung a dense, white fog.</t>
  </si>
  <si>
    <t xml:space="preserve">hung</t>
  </si>
  <si>
    <t xml:space="preserve">dense</t>
  </si>
  <si>
    <t xml:space="preserve">white</t>
  </si>
  <si>
    <t xml:space="preserve"># text = It was drifting slowly in our direction, and banked itself up like a wall on that side of us, low, but thick and well defined.</t>
  </si>
  <si>
    <t xml:space="preserve">drifting</t>
  </si>
  <si>
    <t xml:space="preserve">slowly</t>
  </si>
  <si>
    <t xml:space="preserve">direction</t>
  </si>
  <si>
    <t xml:space="preserve">banked</t>
  </si>
  <si>
    <t xml:space="preserve">itself</t>
  </si>
  <si>
    <t xml:space="preserve">like</t>
  </si>
  <si>
    <t xml:space="preserve">thick</t>
  </si>
  <si>
    <t xml:space="preserve">well</t>
  </si>
  <si>
    <t xml:space="preserve">defined</t>
  </si>
  <si>
    <t xml:space="preserve"># text = The moon shone on it, and it looked like a great shimmering ice-field, with the heads of the distant tors as rocks borne upon its surface.</t>
  </si>
  <si>
    <t xml:space="preserve">moon</t>
  </si>
  <si>
    <t xml:space="preserve">shone</t>
  </si>
  <si>
    <t xml:space="preserve">shimmering</t>
  </si>
  <si>
    <t xml:space="preserve">ice</t>
  </si>
  <si>
    <t xml:space="preserve">field</t>
  </si>
  <si>
    <t xml:space="preserve">heads</t>
  </si>
  <si>
    <t xml:space="preserve">distant</t>
  </si>
  <si>
    <t xml:space="preserve">tors</t>
  </si>
  <si>
    <t xml:space="preserve">borne</t>
  </si>
  <si>
    <t xml:space="preserve">its</t>
  </si>
  <si>
    <t xml:space="preserve">surface</t>
  </si>
  <si>
    <t xml:space="preserve"># text = Holmes's face was turned towards it, and he muttered impatiently as he watched its sluggish drift.</t>
  </si>
  <si>
    <t xml:space="preserve">face</t>
  </si>
  <si>
    <t xml:space="preserve">muttered</t>
  </si>
  <si>
    <t xml:space="preserve">impatiently</t>
  </si>
  <si>
    <t xml:space="preserve">sluggish</t>
  </si>
  <si>
    <t xml:space="preserve">drift</t>
  </si>
  <si>
    <t xml:space="preserve"># text = "It's moving towards us, Watson."</t>
  </si>
  <si>
    <t xml:space="preserve">moving</t>
  </si>
  <si>
    <t xml:space="preserve"># text = "Is that serious?"</t>
  </si>
  <si>
    <t xml:space="preserve">Is</t>
  </si>
  <si>
    <t xml:space="preserve">serious</t>
  </si>
  <si>
    <t xml:space="preserve"># text = "Very serious, indeedâ€”the one thing upon earth which could have disarranged my plans.</t>
  </si>
  <si>
    <t xml:space="preserve">Very</t>
  </si>
  <si>
    <t xml:space="preserve">â€”the</t>
  </si>
  <si>
    <t xml:space="preserve">thing</t>
  </si>
  <si>
    <t xml:space="preserve">def-np</t>
  </si>
  <si>
    <t xml:space="preserve">earth</t>
  </si>
  <si>
    <t xml:space="preserve">disarranged</t>
  </si>
  <si>
    <t xml:space="preserve"># text = He can't be very long, now.</t>
  </si>
  <si>
    <t xml:space="preserve">ca</t>
  </si>
  <si>
    <t xml:space="preserve"># text = It is already ten o'clock.</t>
  </si>
  <si>
    <t xml:space="preserve">already</t>
  </si>
  <si>
    <t xml:space="preserve">ten</t>
  </si>
  <si>
    <t xml:space="preserve">o'clock</t>
  </si>
  <si>
    <t xml:space="preserve"># text = Our success and even his life may depend upon his coming out before the fog is over the path."</t>
  </si>
  <si>
    <t xml:space="preserve">success</t>
  </si>
  <si>
    <t xml:space="preserve">even</t>
  </si>
  <si>
    <t xml:space="preserve">life</t>
  </si>
  <si>
    <t xml:space="preserve">depend</t>
  </si>
  <si>
    <t xml:space="preserve">coming</t>
  </si>
  <si>
    <t xml:space="preserve">before</t>
  </si>
  <si>
    <t xml:space="preserve"># text = The night was clear and fine above us.</t>
  </si>
  <si>
    <t xml:space="preserve">night</t>
  </si>
  <si>
    <t xml:space="preserve">clear</t>
  </si>
  <si>
    <t xml:space="preserve">fine</t>
  </si>
  <si>
    <t xml:space="preserve"># text = The stars shone cold and bright, while a half-moon bathed the whole scene in a soft, uncertain light.</t>
  </si>
  <si>
    <t xml:space="preserve">stars</t>
  </si>
  <si>
    <t xml:space="preserve">bright</t>
  </si>
  <si>
    <t xml:space="preserve">half</t>
  </si>
  <si>
    <t xml:space="preserve">bathed</t>
  </si>
  <si>
    <t xml:space="preserve">whole</t>
  </si>
  <si>
    <t xml:space="preserve">soft</t>
  </si>
  <si>
    <t xml:space="preserve">uncertain</t>
  </si>
  <si>
    <t xml:space="preserve"># text = Before us lay the dark bulk of the house, its serrated roof and bristling chimneys hard outlined against the silver-spangled sky.</t>
  </si>
  <si>
    <t xml:space="preserve">Before</t>
  </si>
  <si>
    <t xml:space="preserve">bulk</t>
  </si>
  <si>
    <t xml:space="preserve">serrated</t>
  </si>
  <si>
    <t xml:space="preserve">roof</t>
  </si>
  <si>
    <t xml:space="preserve">bristling</t>
  </si>
  <si>
    <t xml:space="preserve">chimneys</t>
  </si>
  <si>
    <t xml:space="preserve">hard</t>
  </si>
  <si>
    <t xml:space="preserve">outlined</t>
  </si>
  <si>
    <t xml:space="preserve">against</t>
  </si>
  <si>
    <t xml:space="preserve">silver</t>
  </si>
  <si>
    <t xml:space="preserve">spangled</t>
  </si>
  <si>
    <t xml:space="preserve">sky</t>
  </si>
  <si>
    <t xml:space="preserve"># text = Broad bars of golden light from the lower windows stretched across the orchard and the moor.</t>
  </si>
  <si>
    <t xml:space="preserve">Broad</t>
  </si>
  <si>
    <t xml:space="preserve">bars</t>
  </si>
  <si>
    <t xml:space="preserve">golden</t>
  </si>
  <si>
    <t xml:space="preserve">lower</t>
  </si>
  <si>
    <t xml:space="preserve">stretched</t>
  </si>
  <si>
    <t xml:space="preserve"># text = One of them was suddenly shut off.</t>
  </si>
  <si>
    <t xml:space="preserve">suddenly</t>
  </si>
  <si>
    <t xml:space="preserve">shut</t>
  </si>
  <si>
    <t xml:space="preserve"># text = The servants had left the kitchen.</t>
  </si>
  <si>
    <t xml:space="preserve">servants</t>
  </si>
  <si>
    <t xml:space="preserve"># text = There only remained the lamp in the dining-room where the two men, the murderous host and the unconscious guest, still chatted over their cigars.</t>
  </si>
  <si>
    <t xml:space="preserve">remained</t>
  </si>
  <si>
    <t xml:space="preserve">lamp</t>
  </si>
  <si>
    <t xml:space="preserve">murderous</t>
  </si>
  <si>
    <t xml:space="preserve">host</t>
  </si>
  <si>
    <t xml:space="preserve">unconscious</t>
  </si>
  <si>
    <t xml:space="preserve">still</t>
  </si>
  <si>
    <t xml:space="preserve">chatted</t>
  </si>
  <si>
    <t xml:space="preserve"># text = Every minute that white woolly plain which covered one half of the moor was drifting closer and closer to the house.</t>
  </si>
  <si>
    <t xml:space="preserve">woolly</t>
  </si>
  <si>
    <t xml:space="preserve">plain</t>
  </si>
  <si>
    <t xml:space="preserve">covered</t>
  </si>
  <si>
    <t xml:space="preserve">closer</t>
  </si>
  <si>
    <t xml:space="preserve"># text = Already the first thin wisps of it were curling across the golden square of the lighted window.</t>
  </si>
  <si>
    <t xml:space="preserve">Already</t>
  </si>
  <si>
    <t xml:space="preserve">first</t>
  </si>
  <si>
    <t xml:space="preserve">thin</t>
  </si>
  <si>
    <t xml:space="preserve">wisps</t>
  </si>
  <si>
    <t xml:space="preserve">curling</t>
  </si>
  <si>
    <t xml:space="preserve">square</t>
  </si>
  <si>
    <t xml:space="preserve">lighted</t>
  </si>
  <si>
    <t xml:space="preserve"># text = The farther wall of the orchard was already invisible, and the trees were standing out of a swirl of white vapour.</t>
  </si>
  <si>
    <t xml:space="preserve">farther</t>
  </si>
  <si>
    <t xml:space="preserve">invisible</t>
  </si>
  <si>
    <t xml:space="preserve">trees</t>
  </si>
  <si>
    <t xml:space="preserve">standing</t>
  </si>
  <si>
    <t xml:space="preserve">swirl</t>
  </si>
  <si>
    <t xml:space="preserve">vapour</t>
  </si>
  <si>
    <t xml:space="preserve"># text = As we watched it the fog-wreaths came crawling round both corners of the house and rolled slowly into one dense bank, on which the upper floor and the roof floated like a strange ship upon a shadowy sea.</t>
  </si>
  <si>
    <t xml:space="preserve">wreaths</t>
  </si>
  <si>
    <t xml:space="preserve">crawling</t>
  </si>
  <si>
    <t xml:space="preserve">both</t>
  </si>
  <si>
    <t xml:space="preserve">corners</t>
  </si>
  <si>
    <t xml:space="preserve">rolled</t>
  </si>
  <si>
    <t xml:space="preserve">bank</t>
  </si>
  <si>
    <t xml:space="preserve">upper</t>
  </si>
  <si>
    <t xml:space="preserve">floor</t>
  </si>
  <si>
    <t xml:space="preserve">floated</t>
  </si>
  <si>
    <t xml:space="preserve">strange</t>
  </si>
  <si>
    <t xml:space="preserve">ship</t>
  </si>
  <si>
    <t xml:space="preserve">shadowy</t>
  </si>
  <si>
    <t xml:space="preserve">sea</t>
  </si>
  <si>
    <t xml:space="preserve"># text = Holmes struck his hand passionately upon the rock in front of us and stamped his feet in his impatience.</t>
  </si>
  <si>
    <t xml:space="preserve">struck</t>
  </si>
  <si>
    <t xml:space="preserve">hand</t>
  </si>
  <si>
    <t xml:space="preserve">passionately</t>
  </si>
  <si>
    <t xml:space="preserve">rock</t>
  </si>
  <si>
    <t xml:space="preserve">stamped</t>
  </si>
  <si>
    <t xml:space="preserve">feet</t>
  </si>
  <si>
    <t xml:space="preserve">impatience</t>
  </si>
  <si>
    <t xml:space="preserve"># text = \"If he isn't out in a quarter of an hour the path will be covered.</t>
  </si>
  <si>
    <t xml:space="preserve">If</t>
  </si>
  <si>
    <t xml:space="preserve">quarter</t>
  </si>
  <si>
    <t xml:space="preserve">hour</t>
  </si>
  <si>
    <t xml:space="preserve"># text = In half an hour we won't be able to see our hands in front of us."</t>
  </si>
  <si>
    <t xml:space="preserve">In</t>
  </si>
  <si>
    <t xml:space="preserve">wo</t>
  </si>
  <si>
    <t xml:space="preserve">able</t>
  </si>
  <si>
    <t xml:space="preserve">hands</t>
  </si>
  <si>
    <t xml:space="preserve"># text = "Shall we move farther back upon higher ground?"</t>
  </si>
  <si>
    <t xml:space="preserve">Shall</t>
  </si>
  <si>
    <t xml:space="preserve">move</t>
  </si>
  <si>
    <t xml:space="preserve">higher</t>
  </si>
  <si>
    <t xml:space="preserve">ground</t>
  </si>
  <si>
    <t xml:space="preserve"># text = \"Yes, I think it would be as well.\"</t>
  </si>
  <si>
    <t xml:space="preserve"># text = So as the fog-bank flowed onward we fell back before it until we were half a mile from the house, and still that dense white sea, with the moon silvering its upper edge, swept slowly and inexorably on.</t>
  </si>
  <si>
    <t xml:space="preserve">So</t>
  </si>
  <si>
    <t xml:space="preserve">flowed</t>
  </si>
  <si>
    <t xml:space="preserve">onward</t>
  </si>
  <si>
    <t xml:space="preserve">fell</t>
  </si>
  <si>
    <t xml:space="preserve">mile</t>
  </si>
  <si>
    <t xml:space="preserve">silvering</t>
  </si>
  <si>
    <t xml:space="preserve">edge</t>
  </si>
  <si>
    <t xml:space="preserve">swept</t>
  </si>
  <si>
    <t xml:space="preserve">inexorably</t>
  </si>
  <si>
    <t xml:space="preserve"># text = \"We are going too far,\" said Holmes.</t>
  </si>
  <si>
    <t xml:space="preserve">going</t>
  </si>
  <si>
    <t xml:space="preserve">too</t>
  </si>
  <si>
    <t xml:space="preserve">far</t>
  </si>
  <si>
    <t xml:space="preserve"># text = "We dare not take the chance of his being overtaken before he can reach us.</t>
  </si>
  <si>
    <t xml:space="preserve">dare</t>
  </si>
  <si>
    <t xml:space="preserve">chance</t>
  </si>
  <si>
    <t xml:space="preserve">being</t>
  </si>
  <si>
    <t xml:space="preserve">overtaken</t>
  </si>
  <si>
    <t xml:space="preserve">reach</t>
  </si>
  <si>
    <t xml:space="preserve"># text = At all costs we must hold our ground where we are."</t>
  </si>
  <si>
    <t xml:space="preserve">At</t>
  </si>
  <si>
    <t xml:space="preserve">all</t>
  </si>
  <si>
    <t xml:space="preserve">costs</t>
  </si>
  <si>
    <t xml:space="preserve">hold</t>
  </si>
  <si>
    <t xml:space="preserve"># text = He dropped on his knees and clapped his ear to the ground.</t>
  </si>
  <si>
    <t xml:space="preserve">dropped</t>
  </si>
  <si>
    <t xml:space="preserve">knees</t>
  </si>
  <si>
    <t xml:space="preserve">clapped</t>
  </si>
  <si>
    <t xml:space="preserve">ear</t>
  </si>
  <si>
    <t xml:space="preserve"># text = \"Thank God, I think that I hear him coming.\"</t>
  </si>
  <si>
    <t xml:space="preserve">Thank</t>
  </si>
  <si>
    <t xml:space="preserve">God</t>
  </si>
  <si>
    <t xml:space="preserve">hear</t>
  </si>
  <si>
    <t xml:space="preserve"># text = A sound of quick steps broke the silence of the moor.</t>
  </si>
  <si>
    <t xml:space="preserve">quick</t>
  </si>
  <si>
    <t xml:space="preserve">broke</t>
  </si>
  <si>
    <t xml:space="preserve">silence</t>
  </si>
  <si>
    <t xml:space="preserve"># text = Crouching among the stones we stared intently at the silver-tipped bank in front of us.</t>
  </si>
  <si>
    <t xml:space="preserve">Crouching</t>
  </si>
  <si>
    <t xml:space="preserve">among</t>
  </si>
  <si>
    <t xml:space="preserve">stones</t>
  </si>
  <si>
    <t xml:space="preserve">stared</t>
  </si>
  <si>
    <t xml:space="preserve">intently</t>
  </si>
  <si>
    <t xml:space="preserve">tipped</t>
  </si>
  <si>
    <t xml:space="preserve"># text = The steps grew louder, and through the fog, as through a curtain, there stepped the man whom we were awaiting.</t>
  </si>
  <si>
    <t xml:space="preserve">grew</t>
  </si>
  <si>
    <t xml:space="preserve">louder</t>
  </si>
  <si>
    <t xml:space="preserve">curtain</t>
  </si>
  <si>
    <t xml:space="preserve">stepped</t>
  </si>
  <si>
    <t xml:space="preserve">man</t>
  </si>
  <si>
    <t xml:space="preserve">whom</t>
  </si>
  <si>
    <t xml:space="preserve">awaiting</t>
  </si>
  <si>
    <t xml:space="preserve"># text = He looked round him in surprise as he emerged into the clear, starlit night.</t>
  </si>
  <si>
    <t xml:space="preserve">emerged</t>
  </si>
  <si>
    <t xml:space="preserve">starlit</t>
  </si>
  <si>
    <t xml:space="preserve"># text = Then he came swiftly along the path, passed close to where we lay, and went on up the long slope behind us.</t>
  </si>
  <si>
    <t xml:space="preserve">Then</t>
  </si>
  <si>
    <t xml:space="preserve">swiftly</t>
  </si>
  <si>
    <t xml:space="preserve">went</t>
  </si>
  <si>
    <t xml:space="preserve">slope</t>
  </si>
  <si>
    <t xml:space="preserve"># text = As he walked he glanced continually over either shoulder, like a man who is ill at ease.</t>
  </si>
  <si>
    <t xml:space="preserve">walked</t>
  </si>
  <si>
    <t xml:space="preserve">glanced</t>
  </si>
  <si>
    <t xml:space="preserve">continually</t>
  </si>
  <si>
    <t xml:space="preserve">shoulder</t>
  </si>
  <si>
    <t xml:space="preserve">ease</t>
  </si>
  <si>
    <t xml:space="preserve"># text = "Hist!" cried Holmes, and I heard the sharp click of a cocking pistol.</t>
  </si>
  <si>
    <t xml:space="preserve">Hist</t>
  </si>
  <si>
    <t xml:space="preserve">cried</t>
  </si>
  <si>
    <t xml:space="preserve">sharp</t>
  </si>
  <si>
    <t xml:space="preserve">click</t>
  </si>
  <si>
    <t xml:space="preserve">cocking</t>
  </si>
  <si>
    <t xml:space="preserve">pistol</t>
  </si>
  <si>
    <t xml:space="preserve"># text = \"Look out!</t>
  </si>
  <si>
    <t xml:space="preserve">Look</t>
  </si>
  <si>
    <t xml:space="preserve"># text = It's coming!\"</t>
  </si>
  <si>
    <t xml:space="preserve"># text = There was a thin, crisp, continuous patter from somewhere in the heart of that crawling bank.</t>
  </si>
  <si>
    <t xml:space="preserve">continuous</t>
  </si>
  <si>
    <t xml:space="preserve">patter</t>
  </si>
  <si>
    <t xml:space="preserve">somewhere</t>
  </si>
  <si>
    <t xml:space="preserve">heart</t>
  </si>
  <si>
    <t xml:space="preserve"># text = The cloud was within fifty yards of where we lay, and we glared at it, all three, uncertain what horror was about to break from the heart of it.</t>
  </si>
  <si>
    <t xml:space="preserve">cloud</t>
  </si>
  <si>
    <t xml:space="preserve">fifty</t>
  </si>
  <si>
    <t xml:space="preserve">glared</t>
  </si>
  <si>
    <t xml:space="preserve">three</t>
  </si>
  <si>
    <t xml:space="preserve">horror</t>
  </si>
  <si>
    <t xml:space="preserve">break</t>
  </si>
  <si>
    <t xml:space="preserve"># text = I was at Holmes's elbow, and I glanced for an instant at his face.</t>
  </si>
  <si>
    <t xml:space="preserve">elbow</t>
  </si>
  <si>
    <t xml:space="preserve"># text = It was pale and exultant, his eyes shining brightly in the moonlight.</t>
  </si>
  <si>
    <t xml:space="preserve">exultant</t>
  </si>
  <si>
    <t xml:space="preserve">eyes</t>
  </si>
  <si>
    <t xml:space="preserve">shining</t>
  </si>
  <si>
    <t xml:space="preserve">moonlight</t>
  </si>
  <si>
    <t xml:space="preserve"># text = But suddenly they started forward in a rigid, fixed stare, and his lips parted in amazement.</t>
  </si>
  <si>
    <t xml:space="preserve">But</t>
  </si>
  <si>
    <t xml:space="preserve">rigid</t>
  </si>
  <si>
    <t xml:space="preserve">fixed</t>
  </si>
  <si>
    <t xml:space="preserve">stare</t>
  </si>
  <si>
    <t xml:space="preserve">lips</t>
  </si>
  <si>
    <t xml:space="preserve">parted</t>
  </si>
  <si>
    <t xml:space="preserve">amazement</t>
  </si>
  <si>
    <t xml:space="preserve"># text = At the same instant Lestrade gave a yell of terror and threw himself face downward upon the ground.</t>
  </si>
  <si>
    <t xml:space="preserve">same</t>
  </si>
  <si>
    <t xml:space="preserve">gave</t>
  </si>
  <si>
    <t xml:space="preserve">yell</t>
  </si>
  <si>
    <t xml:space="preserve">terror</t>
  </si>
  <si>
    <t xml:space="preserve">threw</t>
  </si>
  <si>
    <t xml:space="preserve">himself</t>
  </si>
  <si>
    <t xml:space="preserve">downward</t>
  </si>
  <si>
    <t xml:space="preserve"># text = I sprang to my feet, my inert hand grasping my pistol, my mind paralyzed by the dreadful shape which had sprung out upon us from the shadows of the fog.</t>
  </si>
  <si>
    <t xml:space="preserve">sprang</t>
  </si>
  <si>
    <t xml:space="preserve">inert</t>
  </si>
  <si>
    <t xml:space="preserve">grasping</t>
  </si>
  <si>
    <t xml:space="preserve">paralyzed</t>
  </si>
  <si>
    <t xml:space="preserve">dreadful</t>
  </si>
  <si>
    <t xml:space="preserve">shape</t>
  </si>
  <si>
    <t xml:space="preserve">sprung</t>
  </si>
  <si>
    <t xml:space="preserve">shadows</t>
  </si>
  <si>
    <t xml:space="preserve">other_8</t>
  </si>
  <si>
    <t xml:space="preserve"># text = A hound it was, an enormous coal-black hound, but not such a hound as mortal eyes have ever seen.</t>
  </si>
  <si>
    <t xml:space="preserve">hound</t>
  </si>
  <si>
    <t xml:space="preserve">enormous</t>
  </si>
  <si>
    <t xml:space="preserve">coal</t>
  </si>
  <si>
    <t xml:space="preserve">black</t>
  </si>
  <si>
    <t xml:space="preserve">such</t>
  </si>
  <si>
    <t xml:space="preserve">mortal</t>
  </si>
  <si>
    <t xml:space="preserve">ever</t>
  </si>
  <si>
    <t xml:space="preserve"># text = Fire burst from its open mouth, its eyes glowed with a smouldering glare, its muzzle and hackles and dewlap were outlined in flickering flame.</t>
  </si>
  <si>
    <t xml:space="preserve">Fire</t>
  </si>
  <si>
    <t xml:space="preserve">burst</t>
  </si>
  <si>
    <t xml:space="preserve">open</t>
  </si>
  <si>
    <t xml:space="preserve">mouth</t>
  </si>
  <si>
    <t xml:space="preserve">glowed</t>
  </si>
  <si>
    <t xml:space="preserve">smouldering</t>
  </si>
  <si>
    <t xml:space="preserve">glare</t>
  </si>
  <si>
    <t xml:space="preserve">muzzle</t>
  </si>
  <si>
    <t xml:space="preserve">hackles</t>
  </si>
  <si>
    <t xml:space="preserve">dewlap</t>
  </si>
  <si>
    <t xml:space="preserve">flickering</t>
  </si>
  <si>
    <t xml:space="preserve">flame</t>
  </si>
  <si>
    <t xml:space="preserve"># text = Never in the delirious dream of a disordered brain could anything more savage, more appalling, more hellish be conceived than that dark form and savage face which broke upon us out of the wall of fog.</t>
  </si>
  <si>
    <t xml:space="preserve">Never</t>
  </si>
  <si>
    <t xml:space="preserve">delirious</t>
  </si>
  <si>
    <t xml:space="preserve">dream</t>
  </si>
  <si>
    <t xml:space="preserve">disordered</t>
  </si>
  <si>
    <t xml:space="preserve">brain</t>
  </si>
  <si>
    <t xml:space="preserve">anything</t>
  </si>
  <si>
    <t xml:space="preserve">savage</t>
  </si>
  <si>
    <t xml:space="preserve">appalling</t>
  </si>
  <si>
    <t xml:space="preserve">hellish</t>
  </si>
  <si>
    <t xml:space="preserve">conceived</t>
  </si>
  <si>
    <t xml:space="preserve">form</t>
  </si>
  <si>
    <t xml:space="preserve"># text = With long bounds the huge black creature was leaping down the track, following hard upon the footsteps of our friend.</t>
  </si>
  <si>
    <t xml:space="preserve">With</t>
  </si>
  <si>
    <t xml:space="preserve">bounds</t>
  </si>
  <si>
    <t xml:space="preserve">creature</t>
  </si>
  <si>
    <t xml:space="preserve">leaping</t>
  </si>
  <si>
    <t xml:space="preserve">following</t>
  </si>
  <si>
    <t xml:space="preserve">footsteps</t>
  </si>
  <si>
    <t xml:space="preserve"># text = So paralyzed were we by the apparition that we allowed him to pass before we had recovered our nerve.</t>
  </si>
  <si>
    <t xml:space="preserve">apparition</t>
  </si>
  <si>
    <t xml:space="preserve">allowed</t>
  </si>
  <si>
    <t xml:space="preserve">pass</t>
  </si>
  <si>
    <t xml:space="preserve">recovered</t>
  </si>
  <si>
    <t xml:space="preserve">nerve</t>
  </si>
  <si>
    <t xml:space="preserve"># text = Then Holmes and I both fired together, and the creature gave a hideous howl, which showed that one at least had hit him.</t>
  </si>
  <si>
    <t xml:space="preserve">fired</t>
  </si>
  <si>
    <t xml:space="preserve">together</t>
  </si>
  <si>
    <t xml:space="preserve">hideous</t>
  </si>
  <si>
    <t xml:space="preserve">howl</t>
  </si>
  <si>
    <t xml:space="preserve">showed</t>
  </si>
  <si>
    <t xml:space="preserve">least</t>
  </si>
  <si>
    <t xml:space="preserve">hit</t>
  </si>
  <si>
    <t xml:space="preserve"># text = He did not pause, however, but bounded onward.</t>
  </si>
  <si>
    <t xml:space="preserve">bounded</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</si>
</sst>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6" borderId="2"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7" borderId="3" xfId="0" applyFont="tru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4" fontId="0" fillId="6" borderId="4" xfId="0" applyFont="false" applyBorder="true" applyAlignment="true" applyProtection="false">
      <alignment horizontal="center"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4" fontId="0" fillId="7" borderId="4" xfId="0" applyFont="false" applyBorder="true" applyAlignment="true" applyProtection="false">
      <alignment horizontal="general" vertical="bottom" textRotation="0" wrapText="true" indent="0" shrinkToFit="tru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C2294" activePane="bottomRight" state="frozen"/>
      <selection pane="topLeft" activeCell="A1" activeCellId="0" sqref="A1"/>
      <selection pane="topRight" activeCell="C1" activeCellId="0" sqref="C1"/>
      <selection pane="bottomLeft" activeCell="A2294" activeCellId="0" sqref="A2294"/>
      <selection pane="bottomRight" activeCell="L2326" activeCellId="0" sqref="L2326"/>
    </sheetView>
  </sheetViews>
  <sheetFormatPr defaultColWidth="11.59765625" defaultRowHeight="12.75" zeroHeight="false" outlineLevelRow="0" outlineLevelCol="0"/>
  <cols>
    <col collapsed="false" customWidth="true" hidden="false" outlineLevel="0" max="2" min="2" style="0" width="14.6"/>
    <col collapsed="false" customWidth="true" hidden="false" outlineLevel="0" max="3" min="3" style="0" width="18.26"/>
    <col collapsed="false" customWidth="true" hidden="false" outlineLevel="0" max="4" min="4" style="0" width="23.67"/>
    <col collapsed="false" customWidth="true" hidden="false" outlineLevel="0" max="5" min="5" style="0" width="16.13"/>
    <col collapsed="false" customWidth="true" hidden="false" outlineLevel="0" max="7" min="7" style="0" width="14.73"/>
    <col collapsed="false" customWidth="true" hidden="false" outlineLevel="0" max="10" min="9" style="0" width="11.53"/>
    <col collapsed="false" customWidth="true" hidden="false" outlineLevel="0" max="11" min="11" style="0" width="18.87"/>
    <col collapsed="false" customWidth="true" hidden="false" outlineLevel="0" max="12" min="12" style="0" width="46.67"/>
  </cols>
  <sheetData>
    <row r="1" customFormat="false" ht="12.75" hidden="false" customHeight="false" outlineLevel="0" collapsed="false">
      <c r="A1" s="1" t="s">
        <v>0</v>
      </c>
      <c r="B1" s="1" t="s">
        <v>1</v>
      </c>
      <c r="C1" s="1" t="s">
        <v>2</v>
      </c>
      <c r="D1" s="1" t="s">
        <v>3</v>
      </c>
      <c r="E1" s="2" t="s">
        <v>4</v>
      </c>
      <c r="F1" s="3" t="s">
        <v>5</v>
      </c>
      <c r="G1" s="4" t="s">
        <v>6</v>
      </c>
      <c r="H1" s="5" t="s">
        <v>7</v>
      </c>
      <c r="I1" s="6" t="s">
        <v>8</v>
      </c>
      <c r="J1" s="7" t="s">
        <v>9</v>
      </c>
      <c r="K1" s="7" t="s">
        <v>10</v>
      </c>
      <c r="L1" s="8" t="s">
        <v>11</v>
      </c>
    </row>
    <row r="2" customFormat="false" ht="12.75" hidden="false" customHeight="false" outlineLevel="0" collapsed="false">
      <c r="E2" s="9" t="str">
        <f aca="false">IF(D2="?OLD","!!!","")</f>
        <v/>
      </c>
      <c r="F2" s="10" t="str">
        <f aca="false">IF(OR(E2="",E2="!!!"),"",IF(NOT(ISNA(VLOOKUP(E2,E$1,1,FALSE()))),"OLD",IF(AND(E2&lt;&gt;"",E2&lt;&gt;"!!!"),"NEW","")))</f>
        <v/>
      </c>
      <c r="G2" s="11" t="str">
        <f aca="false">IF(OR(E2="",E2="!!!"),"",IF(OR(J2=0,AND(J2=1,K2=1),AND(J2=1,I2="SBJ"),AND(J2=1,I2=0)),"?IN_FOCUS",IF(J2&lt;=2,"?ACTIVATED",IF(J2&lt;&gt;"","?FAMILIAR",IF(F2="NEW",IF(ISNA(VLOOKUP(E2,#REF!,1,FALSE())),"?TYPE_IDENTIFIABLE","?REFERENTIAL"),"_")))))</f>
        <v/>
      </c>
      <c r="H2" s="12" t="str">
        <f aca="false">IF(J2&lt;&gt;1,"",IF(I2="SBJ","CB","?"))</f>
        <v/>
      </c>
      <c r="I2" s="13" t="str">
        <f aca="false">IF(OR(E2="",E2="!!!",F2="NEW"),"",INDEX(B1:B$2,-1+SUMPRODUCT(MAX(ROW(E1:E$2)*(E2=E1:E$2)))))</f>
        <v/>
      </c>
      <c r="J2" s="14" t="str">
        <f aca="true">IF(OR(E2="",E2="!!!",F2="NEW"),"",COUNTBLANK(OFFSET(A$1,,,SUMPRODUCT(MAX(ROW(E$2)*(E2=E$2)))))-COUNTBLANK(OFFSET(A$1,,,SUMPRODUCT(MAX(ROW(E$1)*(E2=E$1))))))</f>
        <v/>
      </c>
      <c r="K2" s="14" t="str">
        <f aca="false">IF(OR(E2="",E2="!!!",F2="NEW"),"",INDEX(J$1,SUMPRODUCT(MAX(ROW(E$1)*(E2=E$1)))))</f>
        <v/>
      </c>
      <c r="L2" s="15"/>
    </row>
    <row r="3" customFormat="false" ht="12.75" hidden="false" customHeight="false" outlineLevel="0" collapsed="false">
      <c r="E3" s="9" t="str">
        <f aca="false">IF(D3="?OLD","!!!","")</f>
        <v/>
      </c>
      <c r="F3" s="10" t="str">
        <f aca="false">IF(OR(E3="",E3="!!!"),"",IF(NOT(ISNA(VLOOKUP(E3,E$1:E2,1,FALSE()))),"OLD",IF(AND(E3&lt;&gt;"",E3&lt;&gt;"!!!"),"NEW","")))</f>
        <v/>
      </c>
      <c r="G3" s="11" t="str">
        <f aca="false">IF(OR(E3="",E3="!!!"),"",IF(OR(J3=0,AND(J3=1,K3=1),AND(J3=1,I3="SBJ"),AND(J3=1,I3=0)),"?IN_FOCUS",IF(J3&lt;=2,"?ACTIVATED",IF(J3&lt;&gt;"","?FAMILIAR",IF(F3="NEW",IF(ISNA(VLOOKUP(E3,#REF!,1,FALSE())),"?TYPE_IDENTIFIABLE","?REFERENTIAL"),"_")))))</f>
        <v/>
      </c>
      <c r="H3" s="12" t="str">
        <f aca="false">IF(J3&lt;&gt;1,"",IF(I3="SBJ","CB","?"))</f>
        <v/>
      </c>
      <c r="I3" s="13" t="str">
        <f aca="false">IF(OR(E3="",E3="!!!",F3="NEW"),"",INDEX(B$2,-1+SUMPRODUCT(MAX(ROW(E$2)*(E3=E$2)))))</f>
        <v/>
      </c>
      <c r="J3" s="14" t="str">
        <f aca="true">IF(OR(E3="",E3="!!!",F3="NEW"),"",COUNTBLANK(OFFSET(A$1,,,SUMPRODUCT(MAX(ROW(E$2:E3)*(E3=E$2:E3)))))-COUNTBLANK(OFFSET(A$1,,,SUMPRODUCT(MAX(ROW(E$1:E2)*(E3=E$1:E2))))))</f>
        <v/>
      </c>
      <c r="K3" s="14" t="str">
        <f aca="false">IF(OR(E3="",E3="!!!",F3="NEW"),"",INDEX(J$1:J2,SUMPRODUCT(MAX(ROW(E$1:E2)*(E3=E$1:E2)))))</f>
        <v/>
      </c>
      <c r="L3" s="15"/>
    </row>
    <row r="4" customFormat="false" ht="12.75" hidden="false" customHeight="false" outlineLevel="0" collapsed="false">
      <c r="A4" s="0" t="s">
        <v>12</v>
      </c>
      <c r="E4" s="9" t="str">
        <f aca="false">IF(D4="?OLD","!!!","")</f>
        <v/>
      </c>
      <c r="F4" s="10" t="str">
        <f aca="false">IF(OR(E4="",E4="!!!"),"",IF(NOT(ISNA(VLOOKUP(E4,E$1:E3,1,FALSE()))),"OLD",IF(AND(E4&lt;&gt;"",E4&lt;&gt;"!!!"),"NEW","")))</f>
        <v/>
      </c>
      <c r="G4" s="11" t="str">
        <f aca="false">IF(OR(E4="",E4="!!!"),"",IF(OR(J4=0,AND(J4=1,K4=1),AND(J4=1,I4="SBJ"),AND(J4=1,I4=0)),"?IN_FOCUS",IF(J4&lt;=2,"?ACTIVATED",IF(J4&lt;&gt;"","?FAMILIAR",IF(F4="NEW",IF(ISNA(VLOOKUP(E4,#REF!,1,FALSE())),"?TYPE_IDENTIFIABLE","?REFERENTIAL"),"_")))))</f>
        <v/>
      </c>
      <c r="H4" s="12" t="str">
        <f aca="false">IF(J4&lt;&gt;1,"",IF(I4="SBJ","CB","?"))</f>
        <v/>
      </c>
      <c r="I4" s="13" t="str">
        <f aca="false">IF(OR(E4="",E4="!!!",F4="NEW"),"",INDEX(B$2:B3,-1+SUMPRODUCT(MAX(ROW(E$2:E3)*(E4=E$2:E3)))))</f>
        <v/>
      </c>
      <c r="J4" s="14" t="str">
        <f aca="true">IF(OR(E4="",E4="!!!",F4="NEW"),"",COUNTBLANK(OFFSET(A$1,,,SUMPRODUCT(MAX(ROW(E$2:E4)*(E4=E$2:E4)))))-COUNTBLANK(OFFSET(A$1,,,SUMPRODUCT(MAX(ROW(E$1:E3)*(E4=E$1:E3))))))</f>
        <v/>
      </c>
      <c r="K4" s="14" t="str">
        <f aca="false">IF(OR(E4="",E4="!!!",F4="NEW"),"",INDEX(J$1:J3,SUMPRODUCT(MAX(ROW(E$1:E3)*(E4=E$1:E3)))))</f>
        <v/>
      </c>
      <c r="L4" s="15"/>
    </row>
    <row r="5" customFormat="false" ht="12.75" hidden="false" customHeight="false" outlineLevel="0" collapsed="false">
      <c r="A5" s="0" t="s">
        <v>13</v>
      </c>
      <c r="B5" s="0" t="s">
        <v>14</v>
      </c>
      <c r="C5" s="0" t="s">
        <v>15</v>
      </c>
      <c r="D5" s="0" t="s">
        <v>16</v>
      </c>
      <c r="E5" s="9" t="s">
        <v>17</v>
      </c>
      <c r="F5" s="10" t="str">
        <f aca="false">IF(OR(E5="",E5="!!!"),"",IF(NOT(ISNA(VLOOKUP(E5,E$1:E4,1,FALSE()))),"OLD",IF(AND(E5&lt;&gt;"",E5&lt;&gt;"!!!"),"NEW","")))</f>
        <v>NEW</v>
      </c>
      <c r="G5" s="11" t="s">
        <v>18</v>
      </c>
      <c r="H5" s="12" t="str">
        <f aca="false">IF(J5&lt;&gt;1,"",IF(I5="SBJ","CB","?"))</f>
        <v/>
      </c>
      <c r="I5" s="13" t="str">
        <f aca="false">IF(OR(E5="",E5="!!!",F5="NEW"),"",INDEX(B$2:B4,-1+SUMPRODUCT(MAX(ROW(E$2:E4)*(E5=E$2:E4)))))</f>
        <v/>
      </c>
      <c r="J5" s="14" t="str">
        <f aca="true">IF(OR(E5="",E5="!!!",F5="NEW"),"",COUNTBLANK(OFFSET(A$1,,,SUMPRODUCT(MAX(ROW(E$2:E5)*(E5=E$2:E5)))))-COUNTBLANK(OFFSET(A$1,,,SUMPRODUCT(MAX(ROW(E$1:E4)*(E5=E$1:E4))))))</f>
        <v/>
      </c>
      <c r="K5" s="14" t="str">
        <f aca="false">IF(OR(E5="",E5="!!!",F5="NEW"),"",INDEX(J$1:J4,SUMPRODUCT(MAX(ROW(E$1:E4)*(E5=E$1:E4)))))</f>
        <v/>
      </c>
      <c r="L5" s="15"/>
    </row>
    <row r="6" customFormat="false" ht="12.75" hidden="false" customHeight="false" outlineLevel="0" collapsed="false">
      <c r="A6" s="0" t="s">
        <v>19</v>
      </c>
      <c r="E6" s="9" t="str">
        <f aca="false">IF(D6="?OLD","!!!","")</f>
        <v/>
      </c>
      <c r="F6" s="10" t="str">
        <f aca="false">IF(OR(E6="",E6="!!!"),"",IF(NOT(ISNA(VLOOKUP(E6,E$1:E5,1,FALSE()))),"OLD",IF(AND(E6&lt;&gt;"",E6&lt;&gt;"!!!"),"NEW","")))</f>
        <v/>
      </c>
      <c r="G6" s="11" t="str">
        <f aca="false">IF(OR(E6="",E6="!!!"),"",IF(OR(J6=0,AND(J6=1,K6=1),AND(J6=1,I6="SBJ"),AND(J6=1,I6=0)),"?IN_FOCUS",IF(J6&lt;=2,"?ACTIVATED",IF(J6&lt;&gt;"","?FAMILIAR",IF(F6="NEW",IF(ISNA(VLOOKUP(E6,#REF!,1,FALSE())),"?TYPE_IDENTIFIABLE","?REFERENTIAL"),"_")))))</f>
        <v/>
      </c>
      <c r="H6" s="12" t="str">
        <f aca="false">IF(J6&lt;&gt;1,"",IF(I6="SBJ","CB","?"))</f>
        <v/>
      </c>
      <c r="I6" s="13" t="str">
        <f aca="false">IF(OR(E6="",E6="!!!",F6="NEW"),"",INDEX(B$2:B5,-1+SUMPRODUCT(MAX(ROW(E$2:E5)*(E6=E$2:E5)))))</f>
        <v/>
      </c>
      <c r="J6" s="14" t="str">
        <f aca="true">IF(OR(E6="",E6="!!!",F6="NEW"),"",COUNTBLANK(OFFSET(A$1,,,SUMPRODUCT(MAX(ROW(E$2:E6)*(E6=E$2:E6)))))-COUNTBLANK(OFFSET(A$1,,,SUMPRODUCT(MAX(ROW(E$1:E5)*(E6=E$1:E5))))))</f>
        <v/>
      </c>
      <c r="K6" s="14" t="str">
        <f aca="false">IF(OR(E6="",E6="!!!",F6="NEW"),"",INDEX(J$1:J5,SUMPRODUCT(MAX(ROW(E$1:E5)*(E6=E$1:E5)))))</f>
        <v/>
      </c>
      <c r="L6" s="15"/>
    </row>
    <row r="7" customFormat="false" ht="12.75" hidden="false" customHeight="false" outlineLevel="0" collapsed="false">
      <c r="A7" s="0" t="s">
        <v>20</v>
      </c>
      <c r="E7" s="9" t="str">
        <f aca="false">IF(D7="?OLD","!!!","")</f>
        <v/>
      </c>
      <c r="F7" s="10" t="str">
        <f aca="false">IF(OR(E7="",E7="!!!"),"",IF(NOT(ISNA(VLOOKUP(E7,E$1:E6,1,FALSE()))),"OLD",IF(AND(E7&lt;&gt;"",E7&lt;&gt;"!!!"),"NEW","")))</f>
        <v/>
      </c>
      <c r="G7" s="11" t="str">
        <f aca="false">IF(OR(E7="",E7="!!!"),"",IF(OR(J7=0,AND(J7=1,K7=1),AND(J7=1,I7="SBJ"),AND(J7=1,I7=0)),"?IN_FOCUS",IF(J7&lt;=2,"?ACTIVATED",IF(J7&lt;&gt;"","?FAMILIAR",IF(F7="NEW",IF(ISNA(VLOOKUP(E7,#REF!,1,FALSE())),"?TYPE_IDENTIFIABLE","?REFERENTIAL"),"_")))))</f>
        <v/>
      </c>
      <c r="H7" s="12" t="str">
        <f aca="false">IF(J7&lt;&gt;1,"",IF(I7="SBJ","CB","?"))</f>
        <v/>
      </c>
      <c r="I7" s="13" t="str">
        <f aca="false">IF(OR(E7="",E7="!!!",F7="NEW"),"",INDEX(B$2:B6,-1+SUMPRODUCT(MAX(ROW(E$2:E6)*(E7=E$2:E6)))))</f>
        <v/>
      </c>
      <c r="J7" s="14" t="str">
        <f aca="true">IF(OR(E7="",E7="!!!",F7="NEW"),"",COUNTBLANK(OFFSET(A$1,,,SUMPRODUCT(MAX(ROW(E$2:E7)*(E7=E$2:E7)))))-COUNTBLANK(OFFSET(A$1,,,SUMPRODUCT(MAX(ROW(E$1:E6)*(E7=E$1:E6))))))</f>
        <v/>
      </c>
      <c r="K7" s="14" t="str">
        <f aca="false">IF(OR(E7="",E7="!!!",F7="NEW"),"",INDEX(J$1:J6,SUMPRODUCT(MAX(ROW(E$1:E6)*(E7=E$1:E6)))))</f>
        <v/>
      </c>
      <c r="L7" s="15"/>
    </row>
    <row r="8" customFormat="false" ht="12.75" hidden="false" customHeight="false" outlineLevel="0" collapsed="false">
      <c r="A8" s="0" t="s">
        <v>21</v>
      </c>
      <c r="B8" s="0" t="s">
        <v>22</v>
      </c>
      <c r="C8" s="0" t="s">
        <v>23</v>
      </c>
      <c r="D8" s="0" t="s">
        <v>16</v>
      </c>
      <c r="E8" s="9" t="s">
        <v>24</v>
      </c>
      <c r="F8" s="10" t="str">
        <f aca="false">IF(OR(E8="",E8="!!!"),"",IF(NOT(ISNA(VLOOKUP(E8,E$1:E7,1,FALSE()))),"OLD",IF(AND(E8&lt;&gt;"",E8&lt;&gt;"!!!"),"NEW","")))</f>
        <v>NEW</v>
      </c>
      <c r="G8" s="11" t="s">
        <v>25</v>
      </c>
      <c r="H8" s="12" t="str">
        <f aca="false">IF(J8&lt;&gt;1,"",IF(I8="SBJ","CB","?"))</f>
        <v/>
      </c>
      <c r="I8" s="13" t="str">
        <f aca="false">IF(OR(E8="",E8="!!!",F8="NEW"),"",INDEX(B$2:B7,-1+SUMPRODUCT(MAX(ROW(E$2:E7)*(E8=E$2:E7)))))</f>
        <v/>
      </c>
      <c r="J8" s="14" t="str">
        <f aca="true">IF(OR(E8="",E8="!!!",F8="NEW"),"",COUNTBLANK(OFFSET(A$1,,,SUMPRODUCT(MAX(ROW(E$2:E8)*(E8=E$2:E8)))))-COUNTBLANK(OFFSET(A$1,,,SUMPRODUCT(MAX(ROW(E$1:E7)*(E8=E$1:E7))))))</f>
        <v/>
      </c>
      <c r="K8" s="14" t="str">
        <f aca="false">IF(OR(E8="",E8="!!!",F8="NEW"),"",INDEX(J$1:J7,SUMPRODUCT(MAX(ROW(E$1:E7)*(E8=E$1:E7)))))</f>
        <v/>
      </c>
      <c r="L8" s="15"/>
    </row>
    <row r="9" customFormat="false" ht="12.75" hidden="false" customHeight="false" outlineLevel="0" collapsed="false">
      <c r="A9" s="0" t="s">
        <v>26</v>
      </c>
      <c r="E9" s="9" t="str">
        <f aca="false">IF(D9="?OLD","!!!","")</f>
        <v/>
      </c>
      <c r="F9" s="10" t="str">
        <f aca="false">IF(OR(E9="",E9="!!!"),"",IF(NOT(ISNA(VLOOKUP(E9,E$1:E8,1,FALSE()))),"OLD",IF(AND(E9&lt;&gt;"",E9&lt;&gt;"!!!"),"NEW","")))</f>
        <v/>
      </c>
      <c r="G9" s="11" t="str">
        <f aca="false">IF(OR(E9="",E9="!!!"),"",IF(OR(J9=0,AND(J9=1,K9=1),AND(J9=1,I9="SBJ"),AND(J9=1,I9=0)),"?IN_FOCUS",IF(J9&lt;=2,"?ACTIVATED",IF(J9&lt;&gt;"","?FAMILIAR",IF(F9="NEW",IF(ISNA(VLOOKUP(E9,#REF!,1,FALSE())),"?TYPE_IDENTIFIABLE","?REFERENTIAL"),"_")))))</f>
        <v/>
      </c>
      <c r="H9" s="12" t="str">
        <f aca="false">IF(J9&lt;&gt;1,"",IF(I9="SBJ","CB","?"))</f>
        <v/>
      </c>
      <c r="I9" s="13" t="str">
        <f aca="false">IF(OR(E9="",E9="!!!",F9="NEW"),"",INDEX(B$2:B8,-1+SUMPRODUCT(MAX(ROW(E$2:E8)*(E9=E$2:E8)))))</f>
        <v/>
      </c>
      <c r="J9" s="14" t="str">
        <f aca="true">IF(OR(E9="",E9="!!!",F9="NEW"),"",COUNTBLANK(OFFSET(A$1,,,SUMPRODUCT(MAX(ROW(E$2:E9)*(E9=E$2:E9)))))-COUNTBLANK(OFFSET(A$1,,,SUMPRODUCT(MAX(ROW(E$1:E8)*(E9=E$1:E8))))))</f>
        <v/>
      </c>
      <c r="K9" s="14" t="str">
        <f aca="false">IF(OR(E9="",E9="!!!",F9="NEW"),"",INDEX(J$1:J8,SUMPRODUCT(MAX(ROW(E$1:E8)*(E9=E$1:E8)))))</f>
        <v/>
      </c>
      <c r="L9" s="15"/>
    </row>
    <row r="10" customFormat="false" ht="12.75" hidden="false" customHeight="false" outlineLevel="0" collapsed="false">
      <c r="A10" s="0" t="s">
        <v>27</v>
      </c>
      <c r="B10" s="0" t="s">
        <v>28</v>
      </c>
      <c r="C10" s="0" t="s">
        <v>15</v>
      </c>
      <c r="D10" s="0" t="s">
        <v>29</v>
      </c>
      <c r="E10" s="9"/>
      <c r="F10" s="10" t="str">
        <f aca="false">IF(OR(E10="",E10="!!!"),"",IF(NOT(ISNA(VLOOKUP(E10,E$1:E9,1,FALSE()))),"OLD",IF(AND(E10&lt;&gt;"",E10&lt;&gt;"!!!"),"NEW","")))</f>
        <v/>
      </c>
      <c r="G10" s="11" t="str">
        <f aca="false">IF(OR(E10="",E10="!!!"),"",IF(OR(J10=0,AND(J10=1,K10=1),AND(J10=1,I10="SBJ"),AND(J10=1,I10=0)),"?IN_FOCUS",IF(J10&lt;=2,"?ACTIVATED",IF(J10&lt;&gt;"","?FAMILIAR",IF(F10="NEW",IF(ISNA(VLOOKUP(E10,#REF!,1,FALSE())),"?TYPE_IDENTIFIABLE","?REFERENTIAL"),"_")))))</f>
        <v/>
      </c>
      <c r="H10" s="12" t="str">
        <f aca="false">IF(J10&lt;&gt;1,"",IF(I10="SBJ","CB","?"))</f>
        <v/>
      </c>
      <c r="I10" s="13" t="str">
        <f aca="false">IF(OR(E10="",E10="!!!",F10="NEW"),"",INDEX(B$2:B9,-1+SUMPRODUCT(MAX(ROW(E$2:E9)*(E10=E$2:E9)))))</f>
        <v/>
      </c>
      <c r="J10" s="14" t="str">
        <f aca="true">IF(OR(E10="",E10="!!!",F10="NEW"),"",COUNTBLANK(OFFSET(A$1,,,SUMPRODUCT(MAX(ROW(E$2:E10)*(E10=E$2:E10)))))-COUNTBLANK(OFFSET(A$1,,,SUMPRODUCT(MAX(ROW(E$1:E9)*(E10=E$1:E9))))))</f>
        <v/>
      </c>
      <c r="K10" s="14" t="str">
        <f aca="false">IF(OR(E10="",E10="!!!",F10="NEW"),"",INDEX(J$1:J9,SUMPRODUCT(MAX(ROW(E$1:E9)*(E10=E$1:E9)))))</f>
        <v/>
      </c>
      <c r="L10" s="15"/>
    </row>
    <row r="11" customFormat="false" ht="12.75" hidden="false" customHeight="false" outlineLevel="0" collapsed="false">
      <c r="A11" s="0" t="s">
        <v>30</v>
      </c>
      <c r="E11" s="9" t="str">
        <f aca="false">IF(D11="?OLD","!!!","")</f>
        <v/>
      </c>
      <c r="F11" s="10" t="str">
        <f aca="false">IF(OR(E11="",E11="!!!"),"",IF(NOT(ISNA(VLOOKUP(E11,E$1:E10,1,FALSE()))),"OLD",IF(AND(E11&lt;&gt;"",E11&lt;&gt;"!!!"),"NEW","")))</f>
        <v/>
      </c>
      <c r="G11" s="11" t="str">
        <f aca="false">IF(OR(E11="",E11="!!!"),"",IF(OR(J11=0,AND(J11=1,K11=1),AND(J11=1,I11="SBJ"),AND(J11=1,I11=0)),"?IN_FOCUS",IF(J11&lt;=2,"?ACTIVATED",IF(J11&lt;&gt;"","?FAMILIAR",IF(F11="NEW",IF(ISNA(VLOOKUP(E11,#REF!,1,FALSE())),"?TYPE_IDENTIFIABLE","?REFERENTIAL"),"_")))))</f>
        <v/>
      </c>
      <c r="H11" s="12" t="str">
        <f aca="false">IF(J11&lt;&gt;1,"",IF(I11="SBJ","CB","?"))</f>
        <v/>
      </c>
      <c r="I11" s="13" t="str">
        <f aca="false">IF(OR(E11="",E11="!!!",F11="NEW"),"",INDEX(B$2:B10,-1+SUMPRODUCT(MAX(ROW(E$2:E10)*(E11=E$2:E10)))))</f>
        <v/>
      </c>
      <c r="J11" s="14" t="str">
        <f aca="true">IF(OR(E11="",E11="!!!",F11="NEW"),"",COUNTBLANK(OFFSET(A$1,,,SUMPRODUCT(MAX(ROW(E$2:E11)*(E11=E$2:E11)))))-COUNTBLANK(OFFSET(A$1,,,SUMPRODUCT(MAX(ROW(E$1:E10)*(E11=E$1:E10))))))</f>
        <v/>
      </c>
      <c r="K11" s="14" t="str">
        <f aca="false">IF(OR(E11="",E11="!!!",F11="NEW"),"",INDEX(J$1:J10,SUMPRODUCT(MAX(ROW(E$1:E10)*(E11=E$1:E10)))))</f>
        <v/>
      </c>
      <c r="L11" s="15"/>
    </row>
    <row r="12" customFormat="false" ht="12.75" hidden="false" customHeight="false" outlineLevel="0" collapsed="false">
      <c r="A12" s="0" t="s">
        <v>31</v>
      </c>
      <c r="E12" s="9" t="str">
        <f aca="false">IF(D12="?OLD","!!!","")</f>
        <v/>
      </c>
      <c r="F12" s="10" t="str">
        <f aca="false">IF(OR(E12="",E12="!!!"),"",IF(NOT(ISNA(VLOOKUP(E12,E$1:E11,1,FALSE()))),"OLD",IF(AND(E12&lt;&gt;"",E12&lt;&gt;"!!!"),"NEW","")))</f>
        <v/>
      </c>
      <c r="G12" s="11" t="str">
        <f aca="false">IF(OR(E12="",E12="!!!"),"",IF(OR(J12=0,AND(J12=1,K12=1),AND(J12=1,I12="SBJ"),AND(J12=1,I12=0)),"?IN_FOCUS",IF(J12&lt;=2,"?ACTIVATED",IF(J12&lt;&gt;"","?FAMILIAR",IF(F12="NEW",IF(ISNA(VLOOKUP(E12,#REF!,1,FALSE())),"?TYPE_IDENTIFIABLE","?REFERENTIAL"),"_")))))</f>
        <v/>
      </c>
      <c r="H12" s="12" t="str">
        <f aca="false">IF(J12&lt;&gt;1,"",IF(I12="SBJ","CB","?"))</f>
        <v/>
      </c>
      <c r="I12" s="13" t="str">
        <f aca="false">IF(OR(E12="",E12="!!!",F12="NEW"),"",INDEX(B$2:B11,-1+SUMPRODUCT(MAX(ROW(E$2:E11)*(E12=E$2:E11)))))</f>
        <v/>
      </c>
      <c r="J12" s="14" t="str">
        <f aca="true">IF(OR(E12="",E12="!!!",F12="NEW"),"",COUNTBLANK(OFFSET(A$1,,,SUMPRODUCT(MAX(ROW(E$2:E12)*(E12=E$2:E12)))))-COUNTBLANK(OFFSET(A$1,,,SUMPRODUCT(MAX(ROW(E$1:E11)*(E12=E$1:E11))))))</f>
        <v/>
      </c>
      <c r="K12" s="14" t="str">
        <f aca="false">IF(OR(E12="",E12="!!!",F12="NEW"),"",INDEX(J$1:J11,SUMPRODUCT(MAX(ROW(E$1:E11)*(E12=E$1:E11)))))</f>
        <v/>
      </c>
      <c r="L12" s="15"/>
    </row>
    <row r="13" customFormat="false" ht="12.75" hidden="false" customHeight="false" outlineLevel="0" collapsed="false">
      <c r="A13" s="0" t="s">
        <v>32</v>
      </c>
      <c r="E13" s="9" t="str">
        <f aca="false">IF(D13="?OLD","!!!","")</f>
        <v/>
      </c>
      <c r="F13" s="10" t="str">
        <f aca="false">IF(OR(E13="",E13="!!!"),"",IF(NOT(ISNA(VLOOKUP(E13,E$1:E12,1,FALSE()))),"OLD",IF(AND(E13&lt;&gt;"",E13&lt;&gt;"!!!"),"NEW","")))</f>
        <v/>
      </c>
      <c r="G13" s="11" t="str">
        <f aca="false">IF(OR(E13="",E13="!!!"),"",IF(OR(J13=0,AND(J13=1,K13=1),AND(J13=1,I13="SBJ"),AND(J13=1,I13=0)),"?IN_FOCUS",IF(J13&lt;=2,"?ACTIVATED",IF(J13&lt;&gt;"","?FAMILIAR",IF(F13="NEW",IF(ISNA(VLOOKUP(E13,#REF!,1,FALSE())),"?TYPE_IDENTIFIABLE","?REFERENTIAL"),"_")))))</f>
        <v/>
      </c>
      <c r="H13" s="12" t="str">
        <f aca="false">IF(J13&lt;&gt;1,"",IF(I13="SBJ","CB","?"))</f>
        <v/>
      </c>
      <c r="I13" s="13" t="str">
        <f aca="false">IF(OR(E13="",E13="!!!",F13="NEW"),"",INDEX(B$2:B12,-1+SUMPRODUCT(MAX(ROW(E$2:E12)*(E13=E$2:E12)))))</f>
        <v/>
      </c>
      <c r="J13" s="14" t="str">
        <f aca="true">IF(OR(E13="",E13="!!!",F13="NEW"),"",COUNTBLANK(OFFSET(A$1,,,SUMPRODUCT(MAX(ROW(E$2:E13)*(E13=E$2:E13)))))-COUNTBLANK(OFFSET(A$1,,,SUMPRODUCT(MAX(ROW(E$1:E12)*(E13=E$1:E12))))))</f>
        <v/>
      </c>
      <c r="K13" s="14" t="str">
        <f aca="false">IF(OR(E13="",E13="!!!",F13="NEW"),"",INDEX(J$1:J12,SUMPRODUCT(MAX(ROW(E$1:E12)*(E13=E$1:E12)))))</f>
        <v/>
      </c>
      <c r="L13" s="15"/>
    </row>
    <row r="14" customFormat="false" ht="12.75" hidden="false" customHeight="false" outlineLevel="0" collapsed="false">
      <c r="A14" s="0" t="s">
        <v>31</v>
      </c>
      <c r="E14" s="9" t="str">
        <f aca="false">IF(D14="?OLD","!!!","")</f>
        <v/>
      </c>
      <c r="F14" s="10" t="str">
        <f aca="false">IF(OR(E14="",E14="!!!"),"",IF(NOT(ISNA(VLOOKUP(E14,E$1:E13,1,FALSE()))),"OLD",IF(AND(E14&lt;&gt;"",E14&lt;&gt;"!!!"),"NEW","")))</f>
        <v/>
      </c>
      <c r="G14" s="11" t="str">
        <f aca="false">IF(OR(E14="",E14="!!!"),"",IF(OR(J14=0,AND(J14=1,K14=1),AND(J14=1,I14="SBJ"),AND(J14=1,I14=0)),"?IN_FOCUS",IF(J14&lt;=2,"?ACTIVATED",IF(J14&lt;&gt;"","?FAMILIAR",IF(F14="NEW",IF(ISNA(VLOOKUP(E14,#REF!,1,FALSE())),"?TYPE_IDENTIFIABLE","?REFERENTIAL"),"_")))))</f>
        <v/>
      </c>
      <c r="H14" s="12" t="str">
        <f aca="false">IF(J14&lt;&gt;1,"",IF(I14="SBJ","CB","?"))</f>
        <v/>
      </c>
      <c r="I14" s="13" t="str">
        <f aca="false">IF(OR(E14="",E14="!!!",F14="NEW"),"",INDEX(B$2:B13,-1+SUMPRODUCT(MAX(ROW(E$2:E13)*(E14=E$2:E13)))))</f>
        <v/>
      </c>
      <c r="J14" s="14" t="str">
        <f aca="true">IF(OR(E14="",E14="!!!",F14="NEW"),"",COUNTBLANK(OFFSET(A$1,,,SUMPRODUCT(MAX(ROW(E$2:E14)*(E14=E$2:E14)))))-COUNTBLANK(OFFSET(A$1,,,SUMPRODUCT(MAX(ROW(E$1:E13)*(E14=E$1:E13))))))</f>
        <v/>
      </c>
      <c r="K14" s="14" t="str">
        <f aca="false">IF(OR(E14="",E14="!!!",F14="NEW"),"",INDEX(J$1:J13,SUMPRODUCT(MAX(ROW(E$1:E13)*(E14=E$1:E13)))))</f>
        <v/>
      </c>
      <c r="L14" s="15"/>
    </row>
    <row r="15" customFormat="false" ht="12.75" hidden="false" customHeight="false" outlineLevel="0" collapsed="false">
      <c r="A15" s="0" t="s">
        <v>33</v>
      </c>
      <c r="B15" s="0" t="s">
        <v>14</v>
      </c>
      <c r="E15" s="9" t="str">
        <f aca="false">IF(D15="?OLD","!!!","")</f>
        <v/>
      </c>
      <c r="F15" s="10" t="str">
        <f aca="false">IF(OR(E15="",E15="!!!"),"",IF(NOT(ISNA(VLOOKUP(E15,E$1:E14,1,FALSE()))),"OLD",IF(AND(E15&lt;&gt;"",E15&lt;&gt;"!!!"),"NEW","")))</f>
        <v/>
      </c>
      <c r="G15" s="11" t="str">
        <f aca="false">IF(OR(E15="",E15="!!!"),"",IF(OR(J15=0,AND(J15=1,K15=1),AND(J15=1,I15="SBJ"),AND(J15=1,I15=0)),"?IN_FOCUS",IF(J15&lt;=2,"?ACTIVATED",IF(J15&lt;&gt;"","?FAMILIAR",IF(F15="NEW",IF(ISNA(VLOOKUP(E15,#REF!,1,FALSE())),"?TYPE_IDENTIFIABLE","?REFERENTIAL"),"_")))))</f>
        <v/>
      </c>
      <c r="H15" s="12" t="str">
        <f aca="false">IF(J15&lt;&gt;1,"",IF(I15="SBJ","CB","?"))</f>
        <v/>
      </c>
      <c r="I15" s="13" t="str">
        <f aca="false">IF(OR(E15="",E15="!!!",F15="NEW"),"",INDEX(B$2:B14,-1+SUMPRODUCT(MAX(ROW(E$2:E14)*(E15=E$2:E14)))))</f>
        <v/>
      </c>
      <c r="J15" s="14" t="str">
        <f aca="true">IF(OR(E15="",E15="!!!",F15="NEW"),"",COUNTBLANK(OFFSET(A$1,,,SUMPRODUCT(MAX(ROW(E$2:E15)*(E15=E$2:E15)))))-COUNTBLANK(OFFSET(A$1,,,SUMPRODUCT(MAX(ROW(E$1:E14)*(E15=E$1:E14))))))</f>
        <v/>
      </c>
      <c r="K15" s="14" t="str">
        <f aca="false">IF(OR(E15="",E15="!!!",F15="NEW"),"",INDEX(J$1:J14,SUMPRODUCT(MAX(ROW(E$1:E14)*(E15=E$1:E14)))))</f>
        <v/>
      </c>
      <c r="L15" s="15"/>
    </row>
    <row r="16" customFormat="false" ht="12.75" hidden="false" customHeight="false" outlineLevel="0" collapsed="false">
      <c r="A16" s="0" t="s">
        <v>34</v>
      </c>
      <c r="E16" s="9" t="str">
        <f aca="false">IF(D16="?OLD","!!!","")</f>
        <v/>
      </c>
      <c r="F16" s="10" t="str">
        <f aca="false">IF(OR(E16="",E16="!!!"),"",IF(NOT(ISNA(VLOOKUP(E16,E$1:E15,1,FALSE()))),"OLD",IF(AND(E16&lt;&gt;"",E16&lt;&gt;"!!!"),"NEW","")))</f>
        <v/>
      </c>
      <c r="G16" s="11" t="str">
        <f aca="false">IF(OR(E16="",E16="!!!"),"",IF(OR(J16=0,AND(J16=1,K16=1),AND(J16=1,I16="SBJ"),AND(J16=1,I16=0)),"?IN_FOCUS",IF(J16&lt;=2,"?ACTIVATED",IF(J16&lt;&gt;"","?FAMILIAR",IF(F16="NEW",IF(ISNA(VLOOKUP(E16,#REF!,1,FALSE())),"?TYPE_IDENTIFIABLE","?REFERENTIAL"),"_")))))</f>
        <v/>
      </c>
      <c r="H16" s="12" t="str">
        <f aca="false">IF(J16&lt;&gt;1,"",IF(I16="SBJ","CB","?"))</f>
        <v/>
      </c>
      <c r="I16" s="13" t="str">
        <f aca="false">IF(OR(E16="",E16="!!!",F16="NEW"),"",INDEX(B$2:B15,-1+SUMPRODUCT(MAX(ROW(E$2:E15)*(E16=E$2:E15)))))</f>
        <v/>
      </c>
      <c r="J16" s="14" t="str">
        <f aca="true">IF(OR(E16="",E16="!!!",F16="NEW"),"",COUNTBLANK(OFFSET(A$1,,,SUMPRODUCT(MAX(ROW(E$2:E16)*(E16=E$2:E16)))))-COUNTBLANK(OFFSET(A$1,,,SUMPRODUCT(MAX(ROW(E$1:E15)*(E16=E$1:E15))))))</f>
        <v/>
      </c>
      <c r="K16" s="14" t="str">
        <f aca="false">IF(OR(E16="",E16="!!!",F16="NEW"),"",INDEX(J$1:J15,SUMPRODUCT(MAX(ROW(E$1:E15)*(E16=E$1:E15)))))</f>
        <v/>
      </c>
      <c r="L16" s="15"/>
    </row>
    <row r="17" customFormat="false" ht="12.75" hidden="false" customHeight="false" outlineLevel="0" collapsed="false">
      <c r="A17" s="0" t="s">
        <v>35</v>
      </c>
      <c r="E17" s="9" t="str">
        <f aca="false">IF(D17="?OLD","!!!","")</f>
        <v/>
      </c>
      <c r="F17" s="10" t="str">
        <f aca="false">IF(OR(E17="",E17="!!!"),"",IF(NOT(ISNA(VLOOKUP(E17,E$1:E16,1,FALSE()))),"OLD",IF(AND(E17&lt;&gt;"",E17&lt;&gt;"!!!"),"NEW","")))</f>
        <v/>
      </c>
      <c r="G17" s="11" t="str">
        <f aca="false">IF(OR(E17="",E17="!!!"),"",IF(OR(J17=0,AND(J17=1,K17=1),AND(J17=1,I17="SBJ"),AND(J17=1,I17=0)),"?IN_FOCUS",IF(J17&lt;=2,"?ACTIVATED",IF(J17&lt;&gt;"","?FAMILIAR",IF(F17="NEW",IF(ISNA(VLOOKUP(E17,#REF!,1,FALSE())),"?TYPE_IDENTIFIABLE","?REFERENTIAL"),"_")))))</f>
        <v/>
      </c>
      <c r="H17" s="12" t="str">
        <f aca="false">IF(J17&lt;&gt;1,"",IF(I17="SBJ","CB","?"))</f>
        <v/>
      </c>
      <c r="I17" s="13" t="str">
        <f aca="false">IF(OR(E17="",E17="!!!",F17="NEW"),"",INDEX(B$2:B16,-1+SUMPRODUCT(MAX(ROW(E$2:E16)*(E17=E$2:E16)))))</f>
        <v/>
      </c>
      <c r="J17" s="14" t="str">
        <f aca="true">IF(OR(E17="",E17="!!!",F17="NEW"),"",COUNTBLANK(OFFSET(A$1,,,SUMPRODUCT(MAX(ROW(E$2:E17)*(E17=E$2:E17)))))-COUNTBLANK(OFFSET(A$1,,,SUMPRODUCT(MAX(ROW(E$1:E16)*(E17=E$1:E16))))))</f>
        <v/>
      </c>
      <c r="K17" s="14" t="str">
        <f aca="false">IF(OR(E17="",E17="!!!",F17="NEW"),"",INDEX(J$1:J16,SUMPRODUCT(MAX(ROW(E$1:E16)*(E17=E$1:E16)))))</f>
        <v/>
      </c>
      <c r="L17" s="15"/>
    </row>
    <row r="18" customFormat="false" ht="12.75" hidden="false" customHeight="false" outlineLevel="0" collapsed="false">
      <c r="A18" s="0" t="s">
        <v>36</v>
      </c>
      <c r="B18" s="0" t="s">
        <v>37</v>
      </c>
      <c r="C18" s="0" t="s">
        <v>38</v>
      </c>
      <c r="D18" s="0" t="s">
        <v>29</v>
      </c>
      <c r="E18" s="9" t="s">
        <v>17</v>
      </c>
      <c r="F18" s="10" t="str">
        <f aca="false">IF(OR(E18="",E18="!!!"),"",IF(NOT(ISNA(VLOOKUP(E18,E$1:E17,1,FALSE()))),"OLD",IF(AND(E18&lt;&gt;"",E18&lt;&gt;"!!!"),"NEW","")))</f>
        <v>OLD</v>
      </c>
      <c r="G18" s="11" t="s">
        <v>39</v>
      </c>
      <c r="H18" s="12" t="str">
        <f aca="false">IF(J18&lt;&gt;1,"",IF(I18="SBJ","CB","?"))</f>
        <v/>
      </c>
      <c r="I18" s="13" t="str">
        <f aca="false">IF(OR(E18="",E18="!!!",F18="NEW"),"",INDEX(B$2:B17,-1+SUMPRODUCT(MAX(ROW(E$2:E17)*(E18=E$2:E17)))))</f>
        <v>SBJ</v>
      </c>
      <c r="J18" s="14" t="n">
        <f aca="true">IF(OR(E18="",E18="!!!",F18="NEW"),"",COUNTBLANK(OFFSET(A$1,,,SUMPRODUCT(MAX(ROW(E$2:E18)*(E18=E$2:E18)))))-COUNTBLANK(OFFSET(A$1,,,SUMPRODUCT(MAX(ROW(E$1:E17)*(E18=E$1:E17))))))</f>
        <v>0</v>
      </c>
      <c r="K18" s="14" t="str">
        <f aca="false">IF(OR(E18="",E18="!!!",F18="NEW"),"",INDEX(J$1:J17,SUMPRODUCT(MAX(ROW(E$1:E17)*(E18=E$1:E17)))))</f>
        <v/>
      </c>
      <c r="L18" s="15"/>
    </row>
    <row r="19" customFormat="false" ht="12.75" hidden="false" customHeight="false" outlineLevel="0" collapsed="false">
      <c r="A19" s="0" t="s">
        <v>40</v>
      </c>
      <c r="E19" s="9" t="str">
        <f aca="false">IF(D19="?OLD","!!!","")</f>
        <v/>
      </c>
      <c r="F19" s="10" t="str">
        <f aca="false">IF(OR(E19="",E19="!!!"),"",IF(NOT(ISNA(VLOOKUP(E19,E$1:E18,1,FALSE()))),"OLD",IF(AND(E19&lt;&gt;"",E19&lt;&gt;"!!!"),"NEW","")))</f>
        <v/>
      </c>
      <c r="G19" s="11" t="str">
        <f aca="false">IF(OR(E19="",E19="!!!"),"",IF(OR(J19=0,AND(J19=1,K19=1),AND(J19=1,I19="SBJ"),AND(J19=1,I19=0)),"?IN_FOCUS",IF(J19&lt;=2,"?ACTIVATED",IF(J19&lt;&gt;"","?FAMILIAR",IF(F19="NEW",IF(ISNA(VLOOKUP(E19,#REF!,1,FALSE())),"?TYPE_IDENTIFIABLE","?REFERENTIAL"),"_")))))</f>
        <v/>
      </c>
      <c r="H19" s="12" t="str">
        <f aca="false">IF(J19&lt;&gt;1,"",IF(I19="SBJ","CB","?"))</f>
        <v/>
      </c>
      <c r="I19" s="13" t="str">
        <f aca="false">IF(OR(E19="",E19="!!!",F19="NEW"),"",INDEX(B$2:B18,-1+SUMPRODUCT(MAX(ROW(E$2:E18)*(E19=E$2:E18)))))</f>
        <v/>
      </c>
      <c r="J19" s="14" t="str">
        <f aca="true">IF(OR(E19="",E19="!!!",F19="NEW"),"",COUNTBLANK(OFFSET(A$1,,,SUMPRODUCT(MAX(ROW(E$2:E19)*(E19=E$2:E19)))))-COUNTBLANK(OFFSET(A$1,,,SUMPRODUCT(MAX(ROW(E$1:E18)*(E19=E$1:E18))))))</f>
        <v/>
      </c>
      <c r="K19" s="14" t="str">
        <f aca="false">IF(OR(E19="",E19="!!!",F19="NEW"),"",INDEX(J$1:J18,SUMPRODUCT(MAX(ROW(E$1:E18)*(E19=E$1:E18)))))</f>
        <v/>
      </c>
      <c r="L19" s="15"/>
    </row>
    <row r="20" customFormat="false" ht="12.75" hidden="false" customHeight="false" outlineLevel="0" collapsed="false">
      <c r="A20" s="0" t="s">
        <v>41</v>
      </c>
      <c r="B20" s="0" t="s">
        <v>42</v>
      </c>
      <c r="C20" s="0" t="s">
        <v>43</v>
      </c>
      <c r="E20" s="9" t="str">
        <f aca="false">IF(D20="?OLD","!!!","")</f>
        <v/>
      </c>
      <c r="F20" s="10" t="str">
        <f aca="false">IF(OR(E20="",E20="!!!"),"",IF(NOT(ISNA(VLOOKUP(E20,E$1:E19,1,FALSE()))),"OLD",IF(AND(E20&lt;&gt;"",E20&lt;&gt;"!!!"),"NEW","")))</f>
        <v/>
      </c>
      <c r="G20" s="11" t="str">
        <f aca="false">IF(OR(E20="",E20="!!!"),"",IF(OR(J20=0,AND(J20=1,K20=1),AND(J20=1,I20="SBJ"),AND(J20=1,I20=0)),"?IN_FOCUS",IF(J20&lt;=2,"?ACTIVATED",IF(J20&lt;&gt;"","?FAMILIAR",IF(F20="NEW",IF(ISNA(VLOOKUP(E20,#REF!,1,FALSE())),"?TYPE_IDENTIFIABLE","?REFERENTIAL"),"_")))))</f>
        <v/>
      </c>
      <c r="H20" s="12" t="str">
        <f aca="false">IF(J20&lt;&gt;1,"",IF(I20="SBJ","CB","?"))</f>
        <v/>
      </c>
      <c r="I20" s="13" t="str">
        <f aca="false">IF(OR(E20="",E20="!!!",F20="NEW"),"",INDEX(B$2:B19,-1+SUMPRODUCT(MAX(ROW(E$2:E19)*(E20=E$2:E19)))))</f>
        <v/>
      </c>
      <c r="J20" s="14" t="str">
        <f aca="true">IF(OR(E20="",E20="!!!",F20="NEW"),"",COUNTBLANK(OFFSET(A$1,,,SUMPRODUCT(MAX(ROW(E$2:E20)*(E20=E$2:E20)))))-COUNTBLANK(OFFSET(A$1,,,SUMPRODUCT(MAX(ROW(E$1:E19)*(E20=E$1:E19))))))</f>
        <v/>
      </c>
      <c r="K20" s="14" t="str">
        <f aca="false">IF(OR(E20="",E20="!!!",F20="NEW"),"",INDEX(J$1:J19,SUMPRODUCT(MAX(ROW(E$1:E19)*(E20=E$1:E19)))))</f>
        <v/>
      </c>
      <c r="L20" s="15"/>
    </row>
    <row r="21" customFormat="false" ht="12.75" hidden="false" customHeight="false" outlineLevel="0" collapsed="false">
      <c r="A21" s="0" t="s">
        <v>44</v>
      </c>
      <c r="E21" s="9" t="str">
        <f aca="false">IF(D21="?OLD","!!!","")</f>
        <v/>
      </c>
      <c r="F21" s="10" t="str">
        <f aca="false">IF(OR(E21="",E21="!!!"),"",IF(NOT(ISNA(VLOOKUP(E21,E$1:E20,1,FALSE()))),"OLD",IF(AND(E21&lt;&gt;"",E21&lt;&gt;"!!!"),"NEW","")))</f>
        <v/>
      </c>
      <c r="G21" s="11" t="str">
        <f aca="false">IF(OR(E21="",E21="!!!"),"",IF(OR(J21=0,AND(J21=1,K21=1),AND(J21=1,I21="SBJ"),AND(J21=1,I21=0)),"?IN_FOCUS",IF(J21&lt;=2,"?ACTIVATED",IF(J21&lt;&gt;"","?FAMILIAR",IF(F21="NEW",IF(ISNA(VLOOKUP(E21,#REF!,1,FALSE())),"?TYPE_IDENTIFIABLE","?REFERENTIAL"),"_")))))</f>
        <v/>
      </c>
      <c r="H21" s="12" t="str">
        <f aca="false">IF(J21&lt;&gt;1,"",IF(I21="SBJ","CB","?"))</f>
        <v/>
      </c>
      <c r="I21" s="13" t="str">
        <f aca="false">IF(OR(E21="",E21="!!!",F21="NEW"),"",INDEX(B$2:B20,-1+SUMPRODUCT(MAX(ROW(E$2:E20)*(E21=E$2:E20)))))</f>
        <v/>
      </c>
      <c r="J21" s="14" t="str">
        <f aca="true">IF(OR(E21="",E21="!!!",F21="NEW"),"",COUNTBLANK(OFFSET(A$1,,,SUMPRODUCT(MAX(ROW(E$2:E21)*(E21=E$2:E21)))))-COUNTBLANK(OFFSET(A$1,,,SUMPRODUCT(MAX(ROW(E$1:E20)*(E21=E$1:E20))))))</f>
        <v/>
      </c>
      <c r="K21" s="14" t="str">
        <f aca="false">IF(OR(E21="",E21="!!!",F21="NEW"),"",INDEX(J$1:J20,SUMPRODUCT(MAX(ROW(E$1:E20)*(E21=E$1:E20)))))</f>
        <v/>
      </c>
      <c r="L21" s="15"/>
    </row>
    <row r="22" customFormat="false" ht="12.75" hidden="false" customHeight="false" outlineLevel="0" collapsed="false">
      <c r="A22" s="0" t="s">
        <v>45</v>
      </c>
      <c r="E22" s="9" t="str">
        <f aca="false">IF(D22="?OLD","!!!","")</f>
        <v/>
      </c>
      <c r="F22" s="10" t="str">
        <f aca="false">IF(OR(E22="",E22="!!!"),"",IF(NOT(ISNA(VLOOKUP(E22,E$1:E21,1,FALSE()))),"OLD",IF(AND(E22&lt;&gt;"",E22&lt;&gt;"!!!"),"NEW","")))</f>
        <v/>
      </c>
      <c r="G22" s="11" t="str">
        <f aca="false">IF(OR(E22="",E22="!!!"),"",IF(OR(J22=0,AND(J22=1,K22=1),AND(J22=1,I22="SBJ"),AND(J22=1,I22=0)),"?IN_FOCUS",IF(J22&lt;=2,"?ACTIVATED",IF(J22&lt;&gt;"","?FAMILIAR",IF(F22="NEW",IF(ISNA(VLOOKUP(E22,#REF!,1,FALSE())),"?TYPE_IDENTIFIABLE","?REFERENTIAL"),"_")))))</f>
        <v/>
      </c>
      <c r="H22" s="12" t="str">
        <f aca="false">IF(J22&lt;&gt;1,"",IF(I22="SBJ","CB","?"))</f>
        <v/>
      </c>
      <c r="I22" s="13" t="str">
        <f aca="false">IF(OR(E22="",E22="!!!",F22="NEW"),"",INDEX(B$2:B21,-1+SUMPRODUCT(MAX(ROW(E$2:E21)*(E22=E$2:E21)))))</f>
        <v/>
      </c>
      <c r="J22" s="14" t="str">
        <f aca="true">IF(OR(E22="",E22="!!!",F22="NEW"),"",COUNTBLANK(OFFSET(A$1,,,SUMPRODUCT(MAX(ROW(E$2:E22)*(E22=E$2:E22)))))-COUNTBLANK(OFFSET(A$1,,,SUMPRODUCT(MAX(ROW(E$1:E21)*(E22=E$1:E21))))))</f>
        <v/>
      </c>
      <c r="K22" s="14" t="str">
        <f aca="false">IF(OR(E22="",E22="!!!",F22="NEW"),"",INDEX(J$1:J21,SUMPRODUCT(MAX(ROW(E$1:E21)*(E22=E$1:E21)))))</f>
        <v/>
      </c>
      <c r="L22" s="15"/>
    </row>
    <row r="23" customFormat="false" ht="12.75" hidden="false" customHeight="false" outlineLevel="0" collapsed="false">
      <c r="A23" s="0" t="s">
        <v>46</v>
      </c>
      <c r="B23" s="0" t="s">
        <v>47</v>
      </c>
      <c r="C23" s="0" t="s">
        <v>38</v>
      </c>
      <c r="D23" s="0" t="s">
        <v>16</v>
      </c>
      <c r="E23" s="9" t="s">
        <v>24</v>
      </c>
      <c r="F23" s="10" t="str">
        <f aca="false">IF(OR(E23="",E23="!!!"),"",IF(NOT(ISNA(VLOOKUP(E23,E$1:E22,1,FALSE()))),"OLD",IF(AND(E23&lt;&gt;"",E23&lt;&gt;"!!!"),"NEW","")))</f>
        <v>OLD</v>
      </c>
      <c r="G23" s="11" t="s">
        <v>39</v>
      </c>
      <c r="H23" s="12" t="str">
        <f aca="false">IF(J23&lt;&gt;1,"",IF(I23="SBJ","CB","?"))</f>
        <v/>
      </c>
      <c r="I23" s="13" t="str">
        <f aca="false">IF(OR(E23="",E23="!!!",F23="NEW"),"",INDEX(B$2:B22,-1+SUMPRODUCT(MAX(ROW(E$2:E22)*(E23=E$2:E22)))))</f>
        <v>other_3</v>
      </c>
      <c r="J23" s="14" t="n">
        <f aca="true">IF(OR(E23="",E23="!!!",F23="NEW"),"",COUNTBLANK(OFFSET(A$1,,,SUMPRODUCT(MAX(ROW(E$2:E23)*(E23=E$2:E23)))))-COUNTBLANK(OFFSET(A$1,,,SUMPRODUCT(MAX(ROW(E$1:E22)*(E23=E$1:E22))))))</f>
        <v>0</v>
      </c>
      <c r="K23" s="14" t="str">
        <f aca="false">IF(OR(E23="",E23="!!!",F23="NEW"),"",INDEX(J$1:J22,SUMPRODUCT(MAX(ROW(E$1:E22)*(E23=E$1:E22)))))</f>
        <v/>
      </c>
      <c r="L23" s="15"/>
    </row>
    <row r="24" customFormat="false" ht="12.75" hidden="false" customHeight="false" outlineLevel="0" collapsed="false">
      <c r="A24" s="0" t="s">
        <v>48</v>
      </c>
      <c r="E24" s="9" t="str">
        <f aca="false">IF(D24="?OLD","!!!","")</f>
        <v/>
      </c>
      <c r="F24" s="10" t="str">
        <f aca="false">IF(OR(E24="",E24="!!!"),"",IF(NOT(ISNA(VLOOKUP(E24,E$1:E23,1,FALSE()))),"OLD",IF(AND(E24&lt;&gt;"",E24&lt;&gt;"!!!"),"NEW","")))</f>
        <v/>
      </c>
      <c r="G24" s="11" t="str">
        <f aca="false">IF(OR(E24="",E24="!!!"),"",IF(OR(J24=0,AND(J24=1,K24=1),AND(J24=1,I24="SBJ"),AND(J24=1,I24=0)),"?IN_FOCUS",IF(J24&lt;=2,"?ACTIVATED",IF(J24&lt;&gt;"","?FAMILIAR",IF(F24="NEW",IF(ISNA(VLOOKUP(E24,#REF!,1,FALSE())),"?TYPE_IDENTIFIABLE","?REFERENTIAL"),"_")))))</f>
        <v/>
      </c>
      <c r="H24" s="12" t="str">
        <f aca="false">IF(J24&lt;&gt;1,"",IF(I24="SBJ","CB","?"))</f>
        <v/>
      </c>
      <c r="I24" s="13" t="str">
        <f aca="false">IF(OR(E24="",E24="!!!",F24="NEW"),"",INDEX(B$2:B23,-1+SUMPRODUCT(MAX(ROW(E$2:E23)*(E24=E$2:E23)))))</f>
        <v/>
      </c>
      <c r="J24" s="14" t="str">
        <f aca="true">IF(OR(E24="",E24="!!!",F24="NEW"),"",COUNTBLANK(OFFSET(A$1,,,SUMPRODUCT(MAX(ROW(E$2:E24)*(E24=E$2:E24)))))-COUNTBLANK(OFFSET(A$1,,,SUMPRODUCT(MAX(ROW(E$1:E23)*(E24=E$1:E23))))))</f>
        <v/>
      </c>
      <c r="K24" s="14" t="str">
        <f aca="false">IF(OR(E24="",E24="!!!",F24="NEW"),"",INDEX(J$1:J23,SUMPRODUCT(MAX(ROW(E$1:E23)*(E24=E$1:E23)))))</f>
        <v/>
      </c>
      <c r="L24" s="15"/>
    </row>
    <row r="25" customFormat="false" ht="12.75" hidden="false" customHeight="false" outlineLevel="0" collapsed="false">
      <c r="A25" s="0" t="s">
        <v>49</v>
      </c>
      <c r="E25" s="9" t="str">
        <f aca="false">IF(D25="?OLD","!!!","")</f>
        <v/>
      </c>
      <c r="F25" s="10" t="str">
        <f aca="false">IF(OR(E25="",E25="!!!"),"",IF(NOT(ISNA(VLOOKUP(E25,E$1:E24,1,FALSE()))),"OLD",IF(AND(E25&lt;&gt;"",E25&lt;&gt;"!!!"),"NEW","")))</f>
        <v/>
      </c>
      <c r="G25" s="11" t="str">
        <f aca="false">IF(OR(E25="",E25="!!!"),"",IF(OR(J25=0,AND(J25=1,K25=1),AND(J25=1,I25="SBJ"),AND(J25=1,I25=0)),"?IN_FOCUS",IF(J25&lt;=2,"?ACTIVATED",IF(J25&lt;&gt;"","?FAMILIAR",IF(F25="NEW",IF(ISNA(VLOOKUP(E25,#REF!,1,FALSE())),"?TYPE_IDENTIFIABLE","?REFERENTIAL"),"_")))))</f>
        <v/>
      </c>
      <c r="H25" s="12" t="str">
        <f aca="false">IF(J25&lt;&gt;1,"",IF(I25="SBJ","CB","?"))</f>
        <v/>
      </c>
      <c r="I25" s="13" t="str">
        <f aca="false">IF(OR(E25="",E25="!!!",F25="NEW"),"",INDEX(B$2:B24,-1+SUMPRODUCT(MAX(ROW(E$2:E24)*(E25=E$2:E24)))))</f>
        <v/>
      </c>
      <c r="J25" s="14" t="str">
        <f aca="true">IF(OR(E25="",E25="!!!",F25="NEW"),"",COUNTBLANK(OFFSET(A$1,,,SUMPRODUCT(MAX(ROW(E$2:E25)*(E25=E$2:E25)))))-COUNTBLANK(OFFSET(A$1,,,SUMPRODUCT(MAX(ROW(E$1:E24)*(E25=E$1:E24))))))</f>
        <v/>
      </c>
      <c r="K25" s="14" t="str">
        <f aca="false">IF(OR(E25="",E25="!!!",F25="NEW"),"",INDEX(J$1:J24,SUMPRODUCT(MAX(ROW(E$1:E24)*(E25=E$1:E24)))))</f>
        <v/>
      </c>
      <c r="L25" s="15"/>
    </row>
    <row r="26" customFormat="false" ht="12.75" hidden="false" customHeight="false" outlineLevel="0" collapsed="false">
      <c r="A26" s="0" t="s">
        <v>50</v>
      </c>
      <c r="E26" s="9" t="str">
        <f aca="false">IF(D26="?OLD","!!!","")</f>
        <v/>
      </c>
      <c r="F26" s="10" t="str">
        <f aca="false">IF(OR(E26="",E26="!!!"),"",IF(NOT(ISNA(VLOOKUP(E26,E$1:E25,1,FALSE()))),"OLD",IF(AND(E26&lt;&gt;"",E26&lt;&gt;"!!!"),"NEW","")))</f>
        <v/>
      </c>
      <c r="G26" s="11" t="str">
        <f aca="false">IF(OR(E26="",E26="!!!"),"",IF(OR(J26=0,AND(J26=1,K26=1),AND(J26=1,I26="SBJ"),AND(J26=1,I26=0)),"?IN_FOCUS",IF(J26&lt;=2,"?ACTIVATED",IF(J26&lt;&gt;"","?FAMILIAR",IF(F26="NEW",IF(ISNA(VLOOKUP(E26,#REF!,1,FALSE())),"?TYPE_IDENTIFIABLE","?REFERENTIAL"),"_")))))</f>
        <v/>
      </c>
      <c r="H26" s="12" t="str">
        <f aca="false">IF(J26&lt;&gt;1,"",IF(I26="SBJ","CB","?"))</f>
        <v/>
      </c>
      <c r="I26" s="13" t="str">
        <f aca="false">IF(OR(E26="",E26="!!!",F26="NEW"),"",INDEX(B$2:B25,-1+SUMPRODUCT(MAX(ROW(E$2:E25)*(E26=E$2:E25)))))</f>
        <v/>
      </c>
      <c r="J26" s="14" t="str">
        <f aca="true">IF(OR(E26="",E26="!!!",F26="NEW"),"",COUNTBLANK(OFFSET(A$1,,,SUMPRODUCT(MAX(ROW(E$2:E26)*(E26=E$2:E26)))))-COUNTBLANK(OFFSET(A$1,,,SUMPRODUCT(MAX(ROW(E$1:E25)*(E26=E$1:E25))))))</f>
        <v/>
      </c>
      <c r="K26" s="14" t="str">
        <f aca="false">IF(OR(E26="",E26="!!!",F26="NEW"),"",INDEX(J$1:J25,SUMPRODUCT(MAX(ROW(E$1:E25)*(E26=E$1:E25)))))</f>
        <v/>
      </c>
      <c r="L26" s="15"/>
    </row>
    <row r="27" customFormat="false" ht="12.75" hidden="false" customHeight="false" outlineLevel="0" collapsed="false">
      <c r="A27" s="0" t="s">
        <v>51</v>
      </c>
      <c r="E27" s="9" t="str">
        <f aca="false">IF(D27="?OLD","!!!","")</f>
        <v/>
      </c>
      <c r="F27" s="10" t="str">
        <f aca="false">IF(OR(E27="",E27="!!!"),"",IF(NOT(ISNA(VLOOKUP(E27,E$1:E26,1,FALSE()))),"OLD",IF(AND(E27&lt;&gt;"",E27&lt;&gt;"!!!"),"NEW","")))</f>
        <v/>
      </c>
      <c r="G27" s="11" t="str">
        <f aca="false">IF(OR(E27="",E27="!!!"),"",IF(OR(J27=0,AND(J27=1,K27=1),AND(J27=1,I27="SBJ"),AND(J27=1,I27=0)),"?IN_FOCUS",IF(J27&lt;=2,"?ACTIVATED",IF(J27&lt;&gt;"","?FAMILIAR",IF(F27="NEW",IF(ISNA(VLOOKUP(E27,#REF!,1,FALSE())),"?TYPE_IDENTIFIABLE","?REFERENTIAL"),"_")))))</f>
        <v/>
      </c>
      <c r="H27" s="12" t="str">
        <f aca="false">IF(J27&lt;&gt;1,"",IF(I27="SBJ","CB","?"))</f>
        <v/>
      </c>
      <c r="I27" s="13" t="str">
        <f aca="false">IF(OR(E27="",E27="!!!",F27="NEW"),"",INDEX(B$2:B26,-1+SUMPRODUCT(MAX(ROW(E$2:E26)*(E27=E$2:E26)))))</f>
        <v/>
      </c>
      <c r="J27" s="14" t="str">
        <f aca="true">IF(OR(E27="",E27="!!!",F27="NEW"),"",COUNTBLANK(OFFSET(A$1,,,SUMPRODUCT(MAX(ROW(E$2:E27)*(E27=E$2:E27)))))-COUNTBLANK(OFFSET(A$1,,,SUMPRODUCT(MAX(ROW(E$1:E26)*(E27=E$1:E26))))))</f>
        <v/>
      </c>
      <c r="K27" s="14" t="str">
        <f aca="false">IF(OR(E27="",E27="!!!",F27="NEW"),"",INDEX(J$1:J26,SUMPRODUCT(MAX(ROW(E$1:E26)*(E27=E$1:E26)))))</f>
        <v/>
      </c>
      <c r="L27" s="15"/>
    </row>
    <row r="28" customFormat="false" ht="12.75" hidden="false" customHeight="false" outlineLevel="0" collapsed="false">
      <c r="A28" s="0" t="s">
        <v>52</v>
      </c>
      <c r="E28" s="9" t="str">
        <f aca="false">IF(D28="?OLD","!!!","")</f>
        <v/>
      </c>
      <c r="F28" s="10" t="str">
        <f aca="false">IF(OR(E28="",E28="!!!"),"",IF(NOT(ISNA(VLOOKUP(E28,E$1:E27,1,FALSE()))),"OLD",IF(AND(E28&lt;&gt;"",E28&lt;&gt;"!!!"),"NEW","")))</f>
        <v/>
      </c>
      <c r="G28" s="11" t="str">
        <f aca="false">IF(OR(E28="",E28="!!!"),"",IF(OR(J28=0,AND(J28=1,K28=1),AND(J28=1,I28="SBJ"),AND(J28=1,I28=0)),"?IN_FOCUS",IF(J28&lt;=2,"?ACTIVATED",IF(J28&lt;&gt;"","?FAMILIAR",IF(F28="NEW",IF(ISNA(VLOOKUP(E28,#REF!,1,FALSE())),"?TYPE_IDENTIFIABLE","?REFERENTIAL"),"_")))))</f>
        <v/>
      </c>
      <c r="H28" s="12" t="str">
        <f aca="false">IF(J28&lt;&gt;1,"",IF(I28="SBJ","CB","?"))</f>
        <v/>
      </c>
      <c r="I28" s="13" t="str">
        <f aca="false">IF(OR(E28="",E28="!!!",F28="NEW"),"",INDEX(B$2:B27,-1+SUMPRODUCT(MAX(ROW(E$2:E27)*(E28=E$2:E27)))))</f>
        <v/>
      </c>
      <c r="J28" s="14" t="str">
        <f aca="true">IF(OR(E28="",E28="!!!",F28="NEW"),"",COUNTBLANK(OFFSET(A$1,,,SUMPRODUCT(MAX(ROW(E$2:E28)*(E28=E$2:E28)))))-COUNTBLANK(OFFSET(A$1,,,SUMPRODUCT(MAX(ROW(E$1:E27)*(E28=E$1:E27))))))</f>
        <v/>
      </c>
      <c r="K28" s="14" t="str">
        <f aca="false">IF(OR(E28="",E28="!!!",F28="NEW"),"",INDEX(J$1:J27,SUMPRODUCT(MAX(ROW(E$1:E27)*(E28=E$1:E27)))))</f>
        <v/>
      </c>
      <c r="L28" s="15"/>
    </row>
    <row r="29" customFormat="false" ht="12.75" hidden="false" customHeight="false" outlineLevel="0" collapsed="false">
      <c r="A29" s="0" t="s">
        <v>53</v>
      </c>
      <c r="B29" s="0" t="s">
        <v>54</v>
      </c>
      <c r="C29" s="0" t="s">
        <v>55</v>
      </c>
      <c r="D29" s="0" t="s">
        <v>56</v>
      </c>
      <c r="E29" s="9" t="s">
        <v>24</v>
      </c>
      <c r="F29" s="10" t="str">
        <f aca="false">IF(OR(E29="",E29="!!!"),"",IF(NOT(ISNA(VLOOKUP(E29,E$1:E28,1,FALSE()))),"OLD",IF(AND(E29&lt;&gt;"",E29&lt;&gt;"!!!"),"NEW","")))</f>
        <v>OLD</v>
      </c>
      <c r="G29" s="11" t="s">
        <v>39</v>
      </c>
      <c r="H29" s="12" t="str">
        <f aca="false">IF(J29&lt;&gt;1,"",IF(I29="SBJ","CB","?"))</f>
        <v/>
      </c>
      <c r="I29" s="13" t="str">
        <f aca="false">IF(OR(E29="",E29="!!!",F29="NEW"),"",INDEX(B$2:B28,-1+SUMPRODUCT(MAX(ROW(E$2:E28)*(E29=E$2:E28)))))</f>
        <v>SBJ_3</v>
      </c>
      <c r="J29" s="14" t="n">
        <f aca="true">IF(OR(E29="",E29="!!!",F29="NEW"),"",COUNTBLANK(OFFSET(A$1,,,SUMPRODUCT(MAX(ROW(E$2:E29)*(E29=E$2:E29)))))-COUNTBLANK(OFFSET(A$1,,,SUMPRODUCT(MAX(ROW(E$1:E28)*(E29=E$1:E28))))))</f>
        <v>0</v>
      </c>
      <c r="K29" s="14" t="n">
        <f aca="false">IF(OR(E29="",E29="!!!",F29="NEW"),"",INDEX(J$1:J28,SUMPRODUCT(MAX(ROW(E$1:E28)*(E29=E$1:E28)))))</f>
        <v>0</v>
      </c>
      <c r="L29" s="15"/>
    </row>
    <row r="30" customFormat="false" ht="12.75" hidden="false" customHeight="false" outlineLevel="0" collapsed="false">
      <c r="A30" s="0" t="s">
        <v>57</v>
      </c>
      <c r="E30" s="9" t="str">
        <f aca="false">IF(D30="?OLD","!!!","")</f>
        <v/>
      </c>
      <c r="F30" s="10" t="str">
        <f aca="false">IF(OR(E30="",E30="!!!"),"",IF(NOT(ISNA(VLOOKUP(E30,E$1:E29,1,FALSE()))),"OLD",IF(AND(E30&lt;&gt;"",E30&lt;&gt;"!!!"),"NEW","")))</f>
        <v/>
      </c>
      <c r="G30" s="11" t="str">
        <f aca="false">IF(OR(E30="",E30="!!!"),"",IF(OR(J30=0,AND(J30=1,K30=1),AND(J30=1,I30="SBJ"),AND(J30=1,I30=0)),"?IN_FOCUS",IF(J30&lt;=2,"?ACTIVATED",IF(J30&lt;&gt;"","?FAMILIAR",IF(F30="NEW",IF(ISNA(VLOOKUP(E30,#REF!,1,FALSE())),"?TYPE_IDENTIFIABLE","?REFERENTIAL"),"_")))))</f>
        <v/>
      </c>
      <c r="H30" s="12" t="str">
        <f aca="false">IF(J30&lt;&gt;1,"",IF(I30="SBJ","CB","?"))</f>
        <v/>
      </c>
      <c r="I30" s="13" t="str">
        <f aca="false">IF(OR(E30="",E30="!!!",F30="NEW"),"",INDEX(B$2:B29,-1+SUMPRODUCT(MAX(ROW(E$2:E29)*(E30=E$2:E29)))))</f>
        <v/>
      </c>
      <c r="J30" s="14" t="str">
        <f aca="true">IF(OR(E30="",E30="!!!",F30="NEW"),"",COUNTBLANK(OFFSET(A$1,,,SUMPRODUCT(MAX(ROW(E$2:E30)*(E30=E$2:E30)))))-COUNTBLANK(OFFSET(A$1,,,SUMPRODUCT(MAX(ROW(E$1:E29)*(E30=E$1:E29))))))</f>
        <v/>
      </c>
      <c r="K30" s="14" t="str">
        <f aca="false">IF(OR(E30="",E30="!!!",F30="NEW"),"",INDEX(J$1:J29,SUMPRODUCT(MAX(ROW(E$1:E29)*(E30=E$1:E29)))))</f>
        <v/>
      </c>
      <c r="L30" s="15"/>
    </row>
    <row r="31" customFormat="false" ht="12.75" hidden="false" customHeight="false" outlineLevel="0" collapsed="false">
      <c r="A31" s="0" t="s">
        <v>58</v>
      </c>
      <c r="B31" s="0" t="s">
        <v>59</v>
      </c>
      <c r="C31" s="0" t="s">
        <v>15</v>
      </c>
      <c r="D31" s="0" t="s">
        <v>16</v>
      </c>
      <c r="E31" s="9" t="s">
        <v>58</v>
      </c>
      <c r="F31" s="10" t="str">
        <f aca="false">IF(OR(E31="",E31="!!!"),"",IF(NOT(ISNA(VLOOKUP(E31,E$1:E30,1,FALSE()))),"OLD",IF(AND(E31&lt;&gt;"",E31&lt;&gt;"!!!"),"NEW","")))</f>
        <v>NEW</v>
      </c>
      <c r="G31" s="11" t="s">
        <v>60</v>
      </c>
      <c r="H31" s="12" t="str">
        <f aca="false">IF(J31&lt;&gt;1,"",IF(I31="SBJ","CB","?"))</f>
        <v/>
      </c>
      <c r="I31" s="13" t="str">
        <f aca="false">IF(OR(E31="",E31="!!!",F31="NEW"),"",INDEX(B$2:B30,-1+SUMPRODUCT(MAX(ROW(E$2:E30)*(E31=E$2:E30)))))</f>
        <v/>
      </c>
      <c r="J31" s="14" t="str">
        <f aca="true">IF(OR(E31="",E31="!!!",F31="NEW"),"",COUNTBLANK(OFFSET(A$1,,,SUMPRODUCT(MAX(ROW(E$2:E31)*(E31=E$2:E31)))))-COUNTBLANK(OFFSET(A$1,,,SUMPRODUCT(MAX(ROW(E$1:E30)*(E31=E$1:E30))))))</f>
        <v/>
      </c>
      <c r="K31" s="14" t="str">
        <f aca="false">IF(OR(E31="",E31="!!!",F31="NEW"),"",INDEX(J$1:J30,SUMPRODUCT(MAX(ROW(E$1:E30)*(E31=E$1:E30)))))</f>
        <v/>
      </c>
      <c r="L31" s="15"/>
    </row>
    <row r="32" customFormat="false" ht="12.75" hidden="false" customHeight="false" outlineLevel="0" collapsed="false">
      <c r="A32" s="0" t="s">
        <v>51</v>
      </c>
      <c r="E32" s="9" t="str">
        <f aca="false">IF(D32="?OLD","!!!","")</f>
        <v/>
      </c>
      <c r="F32" s="10" t="str">
        <f aca="false">IF(OR(E32="",E32="!!!"),"",IF(NOT(ISNA(VLOOKUP(E32,E$1:E31,1,FALSE()))),"OLD",IF(AND(E32&lt;&gt;"",E32&lt;&gt;"!!!"),"NEW","")))</f>
        <v/>
      </c>
      <c r="G32" s="11" t="str">
        <f aca="false">IF(OR(E32="",E32="!!!"),"",IF(OR(J32=0,AND(J32=1,K32=1),AND(J32=1,I32="SBJ"),AND(J32=1,I32=0)),"?IN_FOCUS",IF(J32&lt;=2,"?ACTIVATED",IF(J32&lt;&gt;"","?FAMILIAR",IF(F32="NEW",IF(ISNA(VLOOKUP(E32,#REF!,1,FALSE())),"?TYPE_IDENTIFIABLE","?REFERENTIAL"),"_")))))</f>
        <v/>
      </c>
      <c r="H32" s="12" t="str">
        <f aca="false">IF(J32&lt;&gt;1,"",IF(I32="SBJ","CB","?"))</f>
        <v/>
      </c>
      <c r="I32" s="13" t="str">
        <f aca="false">IF(OR(E32="",E32="!!!",F32="NEW"),"",INDEX(B$2:B31,-1+SUMPRODUCT(MAX(ROW(E$2:E31)*(E32=E$2:E31)))))</f>
        <v/>
      </c>
      <c r="J32" s="14" t="str">
        <f aca="true">IF(OR(E32="",E32="!!!",F32="NEW"),"",COUNTBLANK(OFFSET(A$1,,,SUMPRODUCT(MAX(ROW(E$2:E32)*(E32=E$2:E32)))))-COUNTBLANK(OFFSET(A$1,,,SUMPRODUCT(MAX(ROW(E$1:E31)*(E32=E$1:E31))))))</f>
        <v/>
      </c>
      <c r="K32" s="14" t="str">
        <f aca="false">IF(OR(E32="",E32="!!!",F32="NEW"),"",INDEX(J$1:J31,SUMPRODUCT(MAX(ROW(E$1:E31)*(E32=E$1:E31)))))</f>
        <v/>
      </c>
      <c r="L32" s="15"/>
    </row>
    <row r="33" customFormat="false" ht="12.75" hidden="false" customHeight="false" outlineLevel="0" collapsed="false">
      <c r="A33" s="0" t="s">
        <v>61</v>
      </c>
      <c r="E33" s="9" t="str">
        <f aca="false">IF(D33="?OLD","!!!","")</f>
        <v/>
      </c>
      <c r="F33" s="10" t="str">
        <f aca="false">IF(OR(E33="",E33="!!!"),"",IF(NOT(ISNA(VLOOKUP(E33,E$1:E32,1,FALSE()))),"OLD",IF(AND(E33&lt;&gt;"",E33&lt;&gt;"!!!"),"NEW","")))</f>
        <v/>
      </c>
      <c r="G33" s="11" t="str">
        <f aca="false">IF(OR(E33="",E33="!!!"),"",IF(OR(J33=0,AND(J33=1,K33=1),AND(J33=1,I33="SBJ"),AND(J33=1,I33=0)),"?IN_FOCUS",IF(J33&lt;=2,"?ACTIVATED",IF(J33&lt;&gt;"","?FAMILIAR",IF(F33="NEW",IF(ISNA(VLOOKUP(E33,#REF!,1,FALSE())),"?TYPE_IDENTIFIABLE","?REFERENTIAL"),"_")))))</f>
        <v/>
      </c>
      <c r="H33" s="12" t="str">
        <f aca="false">IF(J33&lt;&gt;1,"",IF(I33="SBJ","CB","?"))</f>
        <v/>
      </c>
      <c r="I33" s="13" t="str">
        <f aca="false">IF(OR(E33="",E33="!!!",F33="NEW"),"",INDEX(B$2:B32,-1+SUMPRODUCT(MAX(ROW(E$2:E32)*(E33=E$2:E32)))))</f>
        <v/>
      </c>
      <c r="J33" s="14" t="str">
        <f aca="true">IF(OR(E33="",E33="!!!",F33="NEW"),"",COUNTBLANK(OFFSET(A$1,,,SUMPRODUCT(MAX(ROW(E$2:E33)*(E33=E$2:E33)))))-COUNTBLANK(OFFSET(A$1,,,SUMPRODUCT(MAX(ROW(E$1:E32)*(E33=E$1:E32))))))</f>
        <v/>
      </c>
      <c r="K33" s="14" t="str">
        <f aca="false">IF(OR(E33="",E33="!!!",F33="NEW"),"",INDEX(J$1:J32,SUMPRODUCT(MAX(ROW(E$1:E32)*(E33=E$1:E32)))))</f>
        <v/>
      </c>
      <c r="L33" s="15"/>
    </row>
    <row r="34" customFormat="false" ht="12.75" hidden="false" customHeight="false" outlineLevel="0" collapsed="false">
      <c r="A34" s="0" t="s">
        <v>62</v>
      </c>
      <c r="E34" s="9" t="str">
        <f aca="false">IF(D34="?OLD","!!!","")</f>
        <v/>
      </c>
      <c r="F34" s="10" t="str">
        <f aca="false">IF(OR(E34="",E34="!!!"),"",IF(NOT(ISNA(VLOOKUP(E34,E$1:E33,1,FALSE()))),"OLD",IF(AND(E34&lt;&gt;"",E34&lt;&gt;"!!!"),"NEW","")))</f>
        <v/>
      </c>
      <c r="G34" s="11" t="str">
        <f aca="false">IF(OR(E34="",E34="!!!"),"",IF(OR(J34=0,AND(J34=1,K34=1),AND(J34=1,I34="SBJ"),AND(J34=1,I34=0)),"?IN_FOCUS",IF(J34&lt;=2,"?ACTIVATED",IF(J34&lt;&gt;"","?FAMILIAR",IF(F34="NEW",IF(ISNA(VLOOKUP(E34,#REF!,1,FALSE())),"?TYPE_IDENTIFIABLE","?REFERENTIAL"),"_")))))</f>
        <v/>
      </c>
      <c r="H34" s="12" t="str">
        <f aca="false">IF(J34&lt;&gt;1,"",IF(I34="SBJ","CB","?"))</f>
        <v/>
      </c>
      <c r="I34" s="13" t="str">
        <f aca="false">IF(OR(E34="",E34="!!!",F34="NEW"),"",INDEX(B$2:B33,-1+SUMPRODUCT(MAX(ROW(E$2:E33)*(E34=E$2:E33)))))</f>
        <v/>
      </c>
      <c r="J34" s="14" t="str">
        <f aca="true">IF(OR(E34="",E34="!!!",F34="NEW"),"",COUNTBLANK(OFFSET(A$1,,,SUMPRODUCT(MAX(ROW(E$2:E34)*(E34=E$2:E34)))))-COUNTBLANK(OFFSET(A$1,,,SUMPRODUCT(MAX(ROW(E$1:E33)*(E34=E$1:E33))))))</f>
        <v/>
      </c>
      <c r="K34" s="14" t="str">
        <f aca="false">IF(OR(E34="",E34="!!!",F34="NEW"),"",INDEX(J$1:J33,SUMPRODUCT(MAX(ROW(E$1:E33)*(E34=E$1:E33)))))</f>
        <v/>
      </c>
      <c r="L34" s="15"/>
    </row>
    <row r="35" customFormat="false" ht="12.75" hidden="false" customHeight="false" outlineLevel="0" collapsed="false">
      <c r="A35" s="0" t="s">
        <v>63</v>
      </c>
      <c r="B35" s="0" t="s">
        <v>64</v>
      </c>
      <c r="C35" s="0" t="s">
        <v>43</v>
      </c>
      <c r="E35" s="9" t="str">
        <f aca="false">IF(D35="?OLD","!!!","")</f>
        <v/>
      </c>
      <c r="F35" s="10" t="str">
        <f aca="false">IF(OR(E35="",E35="!!!"),"",IF(NOT(ISNA(VLOOKUP(E35,E$1:E34,1,FALSE()))),"OLD",IF(AND(E35&lt;&gt;"",E35&lt;&gt;"!!!"),"NEW","")))</f>
        <v/>
      </c>
      <c r="G35" s="11" t="str">
        <f aca="false">IF(OR(E35="",E35="!!!"),"",IF(OR(J35=0,AND(J35=1,K35=1),AND(J35=1,I35="SBJ"),AND(J35=1,I35=0)),"?IN_FOCUS",IF(J35&lt;=2,"?ACTIVATED",IF(J35&lt;&gt;"","?FAMILIAR",IF(F35="NEW",IF(ISNA(VLOOKUP(E35,#REF!,1,FALSE())),"?TYPE_IDENTIFIABLE","?REFERENTIAL"),"_")))))</f>
        <v/>
      </c>
      <c r="H35" s="12" t="str">
        <f aca="false">IF(J35&lt;&gt;1,"",IF(I35="SBJ","CB","?"))</f>
        <v/>
      </c>
      <c r="I35" s="13" t="str">
        <f aca="false">IF(OR(E35="",E35="!!!",F35="NEW"),"",INDEX(B$2:B34,-1+SUMPRODUCT(MAX(ROW(E$2:E34)*(E35=E$2:E34)))))</f>
        <v/>
      </c>
      <c r="J35" s="14" t="str">
        <f aca="true">IF(OR(E35="",E35="!!!",F35="NEW"),"",COUNTBLANK(OFFSET(A$1,,,SUMPRODUCT(MAX(ROW(E$2:E35)*(E35=E$2:E35)))))-COUNTBLANK(OFFSET(A$1,,,SUMPRODUCT(MAX(ROW(E$1:E34)*(E35=E$1:E34))))))</f>
        <v/>
      </c>
      <c r="K35" s="14" t="str">
        <f aca="false">IF(OR(E35="",E35="!!!",F35="NEW"),"",INDEX(J$1:J34,SUMPRODUCT(MAX(ROW(E$1:E34)*(E35=E$1:E34)))))</f>
        <v/>
      </c>
      <c r="L35" s="15"/>
    </row>
    <row r="36" customFormat="false" ht="12.75" hidden="false" customHeight="false" outlineLevel="0" collapsed="false">
      <c r="A36" s="0" t="s">
        <v>65</v>
      </c>
      <c r="E36" s="9" t="str">
        <f aca="false">IF(D36="?OLD","!!!","")</f>
        <v/>
      </c>
      <c r="F36" s="10" t="str">
        <f aca="false">IF(OR(E36="",E36="!!!"),"",IF(NOT(ISNA(VLOOKUP(E36,E$1:E35,1,FALSE()))),"OLD",IF(AND(E36&lt;&gt;"",E36&lt;&gt;"!!!"),"NEW","")))</f>
        <v/>
      </c>
      <c r="G36" s="11" t="str">
        <f aca="false">IF(OR(E36="",E36="!!!"),"",IF(OR(J36=0,AND(J36=1,K36=1),AND(J36=1,I36="SBJ"),AND(J36=1,I36=0)),"?IN_FOCUS",IF(J36&lt;=2,"?ACTIVATED",IF(J36&lt;&gt;"","?FAMILIAR",IF(F36="NEW",IF(ISNA(VLOOKUP(E36,#REF!,1,FALSE())),"?TYPE_IDENTIFIABLE","?REFERENTIAL"),"_")))))</f>
        <v/>
      </c>
      <c r="H36" s="12" t="str">
        <f aca="false">IF(J36&lt;&gt;1,"",IF(I36="SBJ","CB","?"))</f>
        <v/>
      </c>
      <c r="I36" s="13" t="str">
        <f aca="false">IF(OR(E36="",E36="!!!",F36="NEW"),"",INDEX(B$2:B35,-1+SUMPRODUCT(MAX(ROW(E$2:E35)*(E36=E$2:E35)))))</f>
        <v/>
      </c>
      <c r="J36" s="14" t="str">
        <f aca="true">IF(OR(E36="",E36="!!!",F36="NEW"),"",COUNTBLANK(OFFSET(A$1,,,SUMPRODUCT(MAX(ROW(E$2:E36)*(E36=E$2:E36)))))-COUNTBLANK(OFFSET(A$1,,,SUMPRODUCT(MAX(ROW(E$1:E35)*(E36=E$1:E35))))))</f>
        <v/>
      </c>
      <c r="K36" s="14" t="str">
        <f aca="false">IF(OR(E36="",E36="!!!",F36="NEW"),"",INDEX(J$1:J35,SUMPRODUCT(MAX(ROW(E$1:E35)*(E36=E$1:E35)))))</f>
        <v/>
      </c>
      <c r="L36" s="15"/>
    </row>
    <row r="37" customFormat="false" ht="12.75" hidden="false" customHeight="false" outlineLevel="0" collapsed="false">
      <c r="A37" s="0" t="s">
        <v>66</v>
      </c>
      <c r="E37" s="9" t="str">
        <f aca="false">IF(D37="?OLD","!!!","")</f>
        <v/>
      </c>
      <c r="F37" s="10" t="str">
        <f aca="false">IF(OR(E37="",E37="!!!"),"",IF(NOT(ISNA(VLOOKUP(E37,E$1:E36,1,FALSE()))),"OLD",IF(AND(E37&lt;&gt;"",E37&lt;&gt;"!!!"),"NEW","")))</f>
        <v/>
      </c>
      <c r="G37" s="11" t="str">
        <f aca="false">IF(OR(E37="",E37="!!!"),"",IF(OR(J37=0,AND(J37=1,K37=1),AND(J37=1,I37="SBJ"),AND(J37=1,I37=0)),"?IN_FOCUS",IF(J37&lt;=2,"?ACTIVATED",IF(J37&lt;&gt;"","?FAMILIAR",IF(F37="NEW",IF(ISNA(VLOOKUP(E37,#REF!,1,FALSE())),"?TYPE_IDENTIFIABLE","?REFERENTIAL"),"_")))))</f>
        <v/>
      </c>
      <c r="H37" s="12" t="str">
        <f aca="false">IF(J37&lt;&gt;1,"",IF(I37="SBJ","CB","?"))</f>
        <v/>
      </c>
      <c r="I37" s="13" t="str">
        <f aca="false">IF(OR(E37="",E37="!!!",F37="NEW"),"",INDEX(B$2:B36,-1+SUMPRODUCT(MAX(ROW(E$2:E36)*(E37=E$2:E36)))))</f>
        <v/>
      </c>
      <c r="J37" s="14" t="str">
        <f aca="true">IF(OR(E37="",E37="!!!",F37="NEW"),"",COUNTBLANK(OFFSET(A$1,,,SUMPRODUCT(MAX(ROW(E$2:E37)*(E37=E$2:E37)))))-COUNTBLANK(OFFSET(A$1,,,SUMPRODUCT(MAX(ROW(E$1:E36)*(E37=E$1:E36))))))</f>
        <v/>
      </c>
      <c r="K37" s="14" t="str">
        <f aca="false">IF(OR(E37="",E37="!!!",F37="NEW"),"",INDEX(J$1:J36,SUMPRODUCT(MAX(ROW(E$1:E36)*(E37=E$1:E36)))))</f>
        <v/>
      </c>
      <c r="L37" s="15"/>
    </row>
    <row r="38" customFormat="false" ht="12.75" hidden="false" customHeight="false" outlineLevel="0" collapsed="false">
      <c r="A38" s="0" t="s">
        <v>67</v>
      </c>
      <c r="B38" s="0" t="s">
        <v>64</v>
      </c>
      <c r="C38" s="0" t="s">
        <v>15</v>
      </c>
      <c r="D38" s="0" t="s">
        <v>29</v>
      </c>
      <c r="E38" s="9" t="s">
        <v>68</v>
      </c>
      <c r="F38" s="10" t="s">
        <v>69</v>
      </c>
      <c r="G38" s="11"/>
      <c r="H38" s="12" t="e">
        <f aca="false">IF(J38&lt;&gt;1,"",IF(I38="SBJ","CB","?"))</f>
        <v>#VALUE!</v>
      </c>
      <c r="I38" s="13" t="e">
        <f aca="false">IF(OR(E38="",E38="!!!",F38="NEW"),"",INDEX(B$2:B37,-1+SUMPRODUCT(MAX(ROW(E$2:E37)*(E38=E$2:E37)))))</f>
        <v>#VALUE!</v>
      </c>
      <c r="J38" s="14" t="e">
        <f aca="true">IF(OR(E38="",E38="!!!",F38="NEW"),"",COUNTBLANK(OFFSET(A$1,,,SUMPRODUCT(MAX(ROW(E$2:E38)*(E38=E$2:E38)))))-COUNTBLANK(OFFSET(A$1,,,SUMPRODUCT(MAX(ROW(E$1:E37)*(E38=E$1:E37))))))</f>
        <v>#VALUE!</v>
      </c>
      <c r="K38" s="14" t="e">
        <f aca="false">IF(OR(E38="",E38="!!!",F38="NEW"),"",INDEX(J$1:J37,SUMPRODUCT(MAX(ROW(E$1:E37)*(E38=E$1:E37)))))</f>
        <v>#VALUE!</v>
      </c>
      <c r="L38" s="15"/>
    </row>
    <row r="39" customFormat="false" ht="12.75" hidden="false" customHeight="false" outlineLevel="0" collapsed="false">
      <c r="A39" s="0" t="s">
        <v>19</v>
      </c>
      <c r="E39" s="9" t="str">
        <f aca="false">IF(D39="?OLD","!!!","")</f>
        <v/>
      </c>
      <c r="F39" s="10" t="str">
        <f aca="false">IF(OR(E39="",E39="!!!"),"",IF(NOT(ISNA(VLOOKUP(E39,E$1:E38,1,FALSE()))),"OLD",IF(AND(E39&lt;&gt;"",E39&lt;&gt;"!!!"),"NEW","")))</f>
        <v/>
      </c>
      <c r="G39" s="11" t="str">
        <f aca="false">IF(OR(E39="",E39="!!!"),"",IF(OR(J39=0,AND(J39=1,K39=1),AND(J39=1,I39="SBJ"),AND(J39=1,I39=0)),"?IN_FOCUS",IF(J39&lt;=2,"?ACTIVATED",IF(J39&lt;&gt;"","?FAMILIAR",IF(F39="NEW",IF(ISNA(VLOOKUP(E39,#REF!,1,FALSE())),"?TYPE_IDENTIFIABLE","?REFERENTIAL"),"_")))))</f>
        <v/>
      </c>
      <c r="H39" s="12" t="str">
        <f aca="false">IF(J39&lt;&gt;1,"",IF(I39="SBJ","CB","?"))</f>
        <v/>
      </c>
      <c r="I39" s="13" t="str">
        <f aca="false">IF(OR(E39="",E39="!!!",F39="NEW"),"",INDEX(B$2:B38,-1+SUMPRODUCT(MAX(ROW(E$2:E38)*(E39=E$2:E38)))))</f>
        <v/>
      </c>
      <c r="J39" s="14" t="str">
        <f aca="true">IF(OR(E39="",E39="!!!",F39="NEW"),"",COUNTBLANK(OFFSET(A$1,,,SUMPRODUCT(MAX(ROW(E$2:E39)*(E39=E$2:E39)))))-COUNTBLANK(OFFSET(A$1,,,SUMPRODUCT(MAX(ROW(E$1:E38)*(E39=E$1:E38))))))</f>
        <v/>
      </c>
      <c r="K39" s="14" t="str">
        <f aca="false">IF(OR(E39="",E39="!!!",F39="NEW"),"",INDEX(J$1:J38,SUMPRODUCT(MAX(ROW(E$1:E38)*(E39=E$1:E38)))))</f>
        <v/>
      </c>
      <c r="L39" s="15"/>
    </row>
    <row r="40" customFormat="false" ht="12.75" hidden="false" customHeight="false" outlineLevel="0" collapsed="false">
      <c r="A40" s="0" t="s">
        <v>70</v>
      </c>
      <c r="B40" s="0" t="s">
        <v>71</v>
      </c>
      <c r="C40" s="0" t="s">
        <v>55</v>
      </c>
      <c r="D40" s="0" t="s">
        <v>16</v>
      </c>
      <c r="E40" s="9" t="s">
        <v>58</v>
      </c>
      <c r="F40" s="10" t="str">
        <f aca="false">IF(OR(E40="",E40="!!!"),"",IF(NOT(ISNA(VLOOKUP(E40,E$1:E39,1,FALSE()))),"OLD",IF(AND(E40&lt;&gt;"",E40&lt;&gt;"!!!"),"NEW","")))</f>
        <v>OLD</v>
      </c>
      <c r="G40" s="11" t="s">
        <v>60</v>
      </c>
      <c r="H40" s="12" t="str">
        <f aca="false">IF(J40&lt;&gt;1,"",IF(I40="SBJ","CB","?"))</f>
        <v/>
      </c>
      <c r="I40" s="13" t="str">
        <f aca="false">IF(OR(E40="",E40="!!!",F40="NEW"),"",INDEX(B$2:B39,-1+SUMPRODUCT(MAX(ROW(E$2:E39)*(E40=E$2:E39)))))</f>
        <v>OBJ_4</v>
      </c>
      <c r="J40" s="14" t="n">
        <f aca="true">IF(OR(E40="",E40="!!!",F40="NEW"),"",COUNTBLANK(OFFSET(A$1,,,SUMPRODUCT(MAX(ROW(E$2:E40)*(E40=E$2:E40)))))-COUNTBLANK(OFFSET(A$1,,,SUMPRODUCT(MAX(ROW(E$1:E39)*(E40=E$1:E39))))))</f>
        <v>0</v>
      </c>
      <c r="K40" s="14" t="str">
        <f aca="false">IF(OR(E40="",E40="!!!",F40="NEW"),"",INDEX(J$1:J39,SUMPRODUCT(MAX(ROW(E$1:E39)*(E40=E$1:E39)))))</f>
        <v/>
      </c>
      <c r="L40" s="15"/>
    </row>
    <row r="41" customFormat="false" ht="12.75" hidden="false" customHeight="false" outlineLevel="0" collapsed="false">
      <c r="A41" s="0" t="s">
        <v>72</v>
      </c>
      <c r="B41" s="0" t="s">
        <v>54</v>
      </c>
      <c r="C41" s="0" t="s">
        <v>15</v>
      </c>
      <c r="D41" s="0" t="s">
        <v>29</v>
      </c>
      <c r="E41" s="9" t="s">
        <v>68</v>
      </c>
      <c r="F41" s="10" t="s">
        <v>69</v>
      </c>
      <c r="G41" s="11"/>
      <c r="H41" s="12" t="str">
        <f aca="false">IF(J41&lt;&gt;1,"",IF(I41="SBJ","CB","?"))</f>
        <v/>
      </c>
      <c r="I41" s="13" t="str">
        <f aca="false">IF(OR(E41="",E41="!!!",F41="NEW"),"",INDEX(B$2:B40,-1+SUMPRODUCT(MAX(ROW(E$2:E40)*(E41=E$2:E40)))))</f>
        <v>other_4</v>
      </c>
      <c r="J41" s="14" t="n">
        <f aca="true">IF(OR(E41="",E41="!!!",F41="NEW"),"",COUNTBLANK(OFFSET(A$1,,,SUMPRODUCT(MAX(ROW(E$2:E41)*(E41=E$2:E41)))))-COUNTBLANK(OFFSET(A$1,,,SUMPRODUCT(MAX(ROW(E$1:E40)*(E41=E$1:E40))))))</f>
        <v>0</v>
      </c>
      <c r="K41" s="14" t="e">
        <f aca="false">IF(OR(E41="",E41="!!!",F41="NEW"),"",INDEX(J$1:J40,SUMPRODUCT(MAX(ROW(E$1:E40)*(E41=E$1:E40)))))</f>
        <v>#VALUE!</v>
      </c>
      <c r="L41" s="15"/>
    </row>
    <row r="42" customFormat="false" ht="12.75" hidden="false" customHeight="false" outlineLevel="0" collapsed="false">
      <c r="A42" s="0" t="s">
        <v>73</v>
      </c>
      <c r="E42" s="9" t="str">
        <f aca="false">IF(D42="?OLD","!!!","")</f>
        <v/>
      </c>
      <c r="F42" s="10" t="str">
        <f aca="false">IF(OR(E42="",E42="!!!"),"",IF(NOT(ISNA(VLOOKUP(E42,E$1:E41,1,FALSE()))),"OLD",IF(AND(E42&lt;&gt;"",E42&lt;&gt;"!!!"),"NEW","")))</f>
        <v/>
      </c>
      <c r="G42" s="11" t="str">
        <f aca="false">IF(OR(E42="",E42="!!!"),"",IF(OR(J42=0,AND(J42=1,K42=1),AND(J42=1,I42="SBJ"),AND(J42=1,I42=0)),"?IN_FOCUS",IF(J42&lt;=2,"?ACTIVATED",IF(J42&lt;&gt;"","?FAMILIAR",IF(F42="NEW",IF(ISNA(VLOOKUP(E42,#REF!,1,FALSE())),"?TYPE_IDENTIFIABLE","?REFERENTIAL"),"_")))))</f>
        <v/>
      </c>
      <c r="H42" s="12" t="str">
        <f aca="false">IF(J42&lt;&gt;1,"",IF(I42="SBJ","CB","?"))</f>
        <v/>
      </c>
      <c r="I42" s="13" t="str">
        <f aca="false">IF(OR(E42="",E42="!!!",F42="NEW"),"",INDEX(B$2:B41,-1+SUMPRODUCT(MAX(ROW(E$2:E41)*(E42=E$2:E41)))))</f>
        <v/>
      </c>
      <c r="J42" s="14" t="str">
        <f aca="true">IF(OR(E42="",E42="!!!",F42="NEW"),"",COUNTBLANK(OFFSET(A$1,,,SUMPRODUCT(MAX(ROW(E$2:E42)*(E42=E$2:E42)))))-COUNTBLANK(OFFSET(A$1,,,SUMPRODUCT(MAX(ROW(E$1:E41)*(E42=E$1:E41))))))</f>
        <v/>
      </c>
      <c r="K42" s="14" t="str">
        <f aca="false">IF(OR(E42="",E42="!!!",F42="NEW"),"",INDEX(J$1:J41,SUMPRODUCT(MAX(ROW(E$1:E41)*(E42=E$1:E41)))))</f>
        <v/>
      </c>
      <c r="L42" s="15"/>
    </row>
    <row r="43" customFormat="false" ht="12.75" hidden="false" customHeight="false" outlineLevel="0" collapsed="false">
      <c r="E43" s="9" t="str">
        <f aca="false">IF(D43="?OLD","!!!","")</f>
        <v/>
      </c>
      <c r="F43" s="10" t="str">
        <f aca="false">IF(OR(E43="",E43="!!!"),"",IF(NOT(ISNA(VLOOKUP(E43,E$1:E42,1,FALSE()))),"OLD",IF(AND(E43&lt;&gt;"",E43&lt;&gt;"!!!"),"NEW","")))</f>
        <v/>
      </c>
      <c r="G43" s="11" t="str">
        <f aca="false">IF(OR(E43="",E43="!!!"),"",IF(OR(J43=0,AND(J43=1,K43=1),AND(J43=1,I43="SBJ"),AND(J43=1,I43=0)),"?IN_FOCUS",IF(J43&lt;=2,"?ACTIVATED",IF(J43&lt;&gt;"","?FAMILIAR",IF(F43="NEW",IF(ISNA(VLOOKUP(E43,#REF!,1,FALSE())),"?TYPE_IDENTIFIABLE","?REFERENTIAL"),"_")))))</f>
        <v/>
      </c>
      <c r="H43" s="12" t="str">
        <f aca="false">IF(J43&lt;&gt;1,"",IF(I43="SBJ","CB","?"))</f>
        <v/>
      </c>
      <c r="I43" s="13" t="str">
        <f aca="false">IF(OR(E43="",E43="!!!",F43="NEW"),"",INDEX(B$2:B42,-1+SUMPRODUCT(MAX(ROW(E$2:E42)*(E43=E$2:E42)))))</f>
        <v/>
      </c>
      <c r="J43" s="14" t="str">
        <f aca="true">IF(OR(E43="",E43="!!!",F43="NEW"),"",COUNTBLANK(OFFSET(A$1,,,SUMPRODUCT(MAX(ROW(E$2:E43)*(E43=E$2:E43)))))-COUNTBLANK(OFFSET(A$1,,,SUMPRODUCT(MAX(ROW(E$1:E42)*(E43=E$1:E42))))))</f>
        <v/>
      </c>
      <c r="K43" s="14" t="str">
        <f aca="false">IF(OR(E43="",E43="!!!",F43="NEW"),"",INDEX(J$1:J42,SUMPRODUCT(MAX(ROW(E$1:E42)*(E43=E$1:E42)))))</f>
        <v/>
      </c>
      <c r="L43" s="15"/>
    </row>
    <row r="44" customFormat="false" ht="12.75" hidden="false" customHeight="false" outlineLevel="0" collapsed="false">
      <c r="A44" s="0" t="s">
        <v>74</v>
      </c>
      <c r="E44" s="9" t="str">
        <f aca="false">IF(D44="?OLD","!!!","")</f>
        <v/>
      </c>
      <c r="F44" s="10" t="str">
        <f aca="false">IF(OR(E44="",E44="!!!"),"",IF(NOT(ISNA(VLOOKUP(E44,E$1:E43,1,FALSE()))),"OLD",IF(AND(E44&lt;&gt;"",E44&lt;&gt;"!!!"),"NEW","")))</f>
        <v/>
      </c>
      <c r="G44" s="11" t="str">
        <f aca="false">IF(OR(E44="",E44="!!!"),"",IF(OR(J44=0,AND(J44=1,K44=1),AND(J44=1,I44="SBJ"),AND(J44=1,I44=0)),"?IN_FOCUS",IF(J44&lt;=2,"?ACTIVATED",IF(J44&lt;&gt;"","?FAMILIAR",IF(F44="NEW",IF(ISNA(VLOOKUP(E44,#REF!,1,FALSE())),"?TYPE_IDENTIFIABLE","?REFERENTIAL"),"_")))))</f>
        <v/>
      </c>
      <c r="H44" s="12" t="str">
        <f aca="false">IF(J44&lt;&gt;1,"",IF(I44="SBJ","CB","?"))</f>
        <v/>
      </c>
      <c r="I44" s="13" t="str">
        <f aca="false">IF(OR(E44="",E44="!!!",F44="NEW"),"",INDEX(B$2:B43,-1+SUMPRODUCT(MAX(ROW(E$2:E43)*(E44=E$2:E43)))))</f>
        <v/>
      </c>
      <c r="J44" s="14" t="str">
        <f aca="true">IF(OR(E44="",E44="!!!",F44="NEW"),"",COUNTBLANK(OFFSET(A$1,,,SUMPRODUCT(MAX(ROW(E$2:E44)*(E44=E$2:E44)))))-COUNTBLANK(OFFSET(A$1,,,SUMPRODUCT(MAX(ROW(E$1:E43)*(E44=E$1:E43))))))</f>
        <v/>
      </c>
      <c r="K44" s="14" t="str">
        <f aca="false">IF(OR(E44="",E44="!!!",F44="NEW"),"",INDEX(J$1:J43,SUMPRODUCT(MAX(ROW(E$1:E43)*(E44=E$1:E43)))))</f>
        <v/>
      </c>
      <c r="L44" s="15"/>
    </row>
    <row r="45" customFormat="false" ht="12.75" hidden="false" customHeight="false" outlineLevel="0" collapsed="false">
      <c r="A45" s="0" t="s">
        <v>75</v>
      </c>
      <c r="E45" s="9" t="str">
        <f aca="false">IF(D45="?OLD","!!!","")</f>
        <v/>
      </c>
      <c r="F45" s="10" t="str">
        <f aca="false">IF(OR(E45="",E45="!!!"),"",IF(NOT(ISNA(VLOOKUP(E45,E$1:E44,1,FALSE()))),"OLD",IF(AND(E45&lt;&gt;"",E45&lt;&gt;"!!!"),"NEW","")))</f>
        <v/>
      </c>
      <c r="G45" s="11" t="str">
        <f aca="false">IF(OR(E45="",E45="!!!"),"",IF(OR(J45=0,AND(J45=1,K45=1),AND(J45=1,I45="SBJ"),AND(J45=1,I45=0)),"?IN_FOCUS",IF(J45&lt;=2,"?ACTIVATED",IF(J45&lt;&gt;"","?FAMILIAR",IF(F45="NEW",IF(ISNA(VLOOKUP(E45,#REF!,1,FALSE())),"?TYPE_IDENTIFIABLE","?REFERENTIAL"),"_")))))</f>
        <v/>
      </c>
      <c r="H45" s="12" t="str">
        <f aca="false">IF(J45&lt;&gt;1,"",IF(I45="SBJ","CB","?"))</f>
        <v/>
      </c>
      <c r="I45" s="13" t="str">
        <f aca="false">IF(OR(E45="",E45="!!!",F45="NEW"),"",INDEX(B$2:B44,-1+SUMPRODUCT(MAX(ROW(E$2:E44)*(E45=E$2:E44)))))</f>
        <v/>
      </c>
      <c r="J45" s="14" t="str">
        <f aca="true">IF(OR(E45="",E45="!!!",F45="NEW"),"",COUNTBLANK(OFFSET(A$1,,,SUMPRODUCT(MAX(ROW(E$2:E45)*(E45=E$2:E45)))))-COUNTBLANK(OFFSET(A$1,,,SUMPRODUCT(MAX(ROW(E$1:E44)*(E45=E$1:E44))))))</f>
        <v/>
      </c>
      <c r="K45" s="14" t="str">
        <f aca="false">IF(OR(E45="",E45="!!!",F45="NEW"),"",INDEX(J$1:J44,SUMPRODUCT(MAX(ROW(E$1:E44)*(E45=E$1:E44)))))</f>
        <v/>
      </c>
      <c r="L45" s="15"/>
    </row>
    <row r="46" customFormat="false" ht="12.75" hidden="false" customHeight="false" outlineLevel="0" collapsed="false">
      <c r="A46" s="0" t="s">
        <v>36</v>
      </c>
      <c r="B46" s="0" t="s">
        <v>14</v>
      </c>
      <c r="C46" s="0" t="s">
        <v>38</v>
      </c>
      <c r="D46" s="0" t="s">
        <v>56</v>
      </c>
      <c r="E46" s="9" t="s">
        <v>17</v>
      </c>
      <c r="F46" s="10" t="str">
        <f aca="false">IF(OR(E46="",E46="!!!"),"",IF(NOT(ISNA(VLOOKUP(E46,E$1:E45,1,FALSE()))),"OLD",IF(AND(E46&lt;&gt;"",E46&lt;&gt;"!!!"),"NEW","")))</f>
        <v>OLD</v>
      </c>
      <c r="G46" s="11" t="s">
        <v>39</v>
      </c>
      <c r="H46" s="12" t="s">
        <v>7</v>
      </c>
      <c r="I46" s="13" t="str">
        <f aca="false">IF(OR(E46="",E46="!!!",F46="NEW"),"",INDEX(B$2:B45,-1+SUMPRODUCT(MAX(ROW(E$2:E45)*(E46=E$2:E45)))))</f>
        <v>OBJ</v>
      </c>
      <c r="J46" s="14" t="n">
        <f aca="true">IF(OR(E46="",E46="!!!",F46="NEW"),"",COUNTBLANK(OFFSET(A$1,,,SUMPRODUCT(MAX(ROW(E$2:E46)*(E46=E$2:E46)))))-COUNTBLANK(OFFSET(A$1,,,SUMPRODUCT(MAX(ROW(E$1:E45)*(E46=E$1:E45))))))</f>
        <v>1</v>
      </c>
      <c r="K46" s="14" t="n">
        <f aca="false">IF(OR(E46="",E46="!!!",F46="NEW"),"",INDEX(J$1:J45,SUMPRODUCT(MAX(ROW(E$1:E45)*(E46=E$1:E45)))))</f>
        <v>0</v>
      </c>
      <c r="L46" s="15"/>
    </row>
    <row r="47" customFormat="false" ht="12.75" hidden="false" customHeight="false" outlineLevel="0" collapsed="false">
      <c r="A47" s="0" t="s">
        <v>76</v>
      </c>
      <c r="E47" s="9" t="str">
        <f aca="false">IF(D47="?OLD","!!!","")</f>
        <v/>
      </c>
      <c r="F47" s="10" t="str">
        <f aca="false">IF(OR(E47="",E47="!!!"),"",IF(NOT(ISNA(VLOOKUP(E47,E$1:E46,1,FALSE()))),"OLD",IF(AND(E47&lt;&gt;"",E47&lt;&gt;"!!!"),"NEW","")))</f>
        <v/>
      </c>
      <c r="G47" s="11" t="str">
        <f aca="false">IF(OR(E47="",E47="!!!"),"",IF(OR(J47=0,AND(J47=1,K47=1),AND(J47=1,I47="SBJ"),AND(J47=1,I47=0)),"?IN_FOCUS",IF(J47&lt;=2,"?ACTIVATED",IF(J47&lt;&gt;"","?FAMILIAR",IF(F47="NEW",IF(ISNA(VLOOKUP(E47,#REF!,1,FALSE())),"?TYPE_IDENTIFIABLE","?REFERENTIAL"),"_")))))</f>
        <v/>
      </c>
      <c r="H47" s="12" t="str">
        <f aca="false">IF(J47&lt;&gt;1,"",IF(I47="SBJ","CB","?"))</f>
        <v/>
      </c>
      <c r="I47" s="13" t="str">
        <f aca="false">IF(OR(E47="",E47="!!!",F47="NEW"),"",INDEX(B$2:B46,-1+SUMPRODUCT(MAX(ROW(E$2:E46)*(E47=E$2:E46)))))</f>
        <v/>
      </c>
      <c r="J47" s="14" t="str">
        <f aca="true">IF(OR(E47="",E47="!!!",F47="NEW"),"",COUNTBLANK(OFFSET(A$1,,,SUMPRODUCT(MAX(ROW(E$2:E47)*(E47=E$2:E47)))))-COUNTBLANK(OFFSET(A$1,,,SUMPRODUCT(MAX(ROW(E$1:E46)*(E47=E$1:E46))))))</f>
        <v/>
      </c>
      <c r="K47" s="14" t="str">
        <f aca="false">IF(OR(E47="",E47="!!!",F47="NEW"),"",INDEX(J$1:J46,SUMPRODUCT(MAX(ROW(E$1:E46)*(E47=E$1:E46)))))</f>
        <v/>
      </c>
      <c r="L47" s="15"/>
    </row>
    <row r="48" customFormat="false" ht="12.75" hidden="false" customHeight="false" outlineLevel="0" collapsed="false">
      <c r="A48" s="0" t="s">
        <v>77</v>
      </c>
      <c r="E48" s="9" t="str">
        <f aca="false">IF(D48="?OLD","!!!","")</f>
        <v/>
      </c>
      <c r="F48" s="10" t="str">
        <f aca="false">IF(OR(E48="",E48="!!!"),"",IF(NOT(ISNA(VLOOKUP(E48,E$1:E47,1,FALSE()))),"OLD",IF(AND(E48&lt;&gt;"",E48&lt;&gt;"!!!"),"NEW","")))</f>
        <v/>
      </c>
      <c r="G48" s="11" t="str">
        <f aca="false">IF(OR(E48="",E48="!!!"),"",IF(OR(J48=0,AND(J48=1,K48=1),AND(J48=1,I48="SBJ"),AND(J48=1,I48=0)),"?IN_FOCUS",IF(J48&lt;=2,"?ACTIVATED",IF(J48&lt;&gt;"","?FAMILIAR",IF(F48="NEW",IF(ISNA(VLOOKUP(E48,#REF!,1,FALSE())),"?TYPE_IDENTIFIABLE","?REFERENTIAL"),"_")))))</f>
        <v/>
      </c>
      <c r="H48" s="12" t="str">
        <f aca="false">IF(J48&lt;&gt;1,"",IF(I48="SBJ","CB","?"))</f>
        <v/>
      </c>
      <c r="I48" s="13" t="str">
        <f aca="false">IF(OR(E48="",E48="!!!",F48="NEW"),"",INDEX(B$2:B47,-1+SUMPRODUCT(MAX(ROW(E$2:E47)*(E48=E$2:E47)))))</f>
        <v/>
      </c>
      <c r="J48" s="14" t="str">
        <f aca="true">IF(OR(E48="",E48="!!!",F48="NEW"),"",COUNTBLANK(OFFSET(A$1,,,SUMPRODUCT(MAX(ROW(E$2:E48)*(E48=E$2:E48)))))-COUNTBLANK(OFFSET(A$1,,,SUMPRODUCT(MAX(ROW(E$1:E47)*(E48=E$1:E47))))))</f>
        <v/>
      </c>
      <c r="K48" s="14" t="str">
        <f aca="false">IF(OR(E48="",E48="!!!",F48="NEW"),"",INDEX(J$1:J47,SUMPRODUCT(MAX(ROW(E$1:E47)*(E48=E$1:E47)))))</f>
        <v/>
      </c>
      <c r="L48" s="15"/>
    </row>
    <row r="49" customFormat="false" ht="12.75" hidden="false" customHeight="false" outlineLevel="0" collapsed="false">
      <c r="A49" s="0" t="s">
        <v>78</v>
      </c>
      <c r="E49" s="9" t="str">
        <f aca="false">IF(D49="?OLD","!!!","")</f>
        <v/>
      </c>
      <c r="F49" s="10" t="str">
        <f aca="false">IF(OR(E49="",E49="!!!"),"",IF(NOT(ISNA(VLOOKUP(E49,E$1:E48,1,FALSE()))),"OLD",IF(AND(E49&lt;&gt;"",E49&lt;&gt;"!!!"),"NEW","")))</f>
        <v/>
      </c>
      <c r="G49" s="11" t="str">
        <f aca="false">IF(OR(E49="",E49="!!!"),"",IF(OR(J49=0,AND(J49=1,K49=1),AND(J49=1,I49="SBJ"),AND(J49=1,I49=0)),"?IN_FOCUS",IF(J49&lt;=2,"?ACTIVATED",IF(J49&lt;&gt;"","?FAMILIAR",IF(F49="NEW",IF(ISNA(VLOOKUP(E49,#REF!,1,FALSE())),"?TYPE_IDENTIFIABLE","?REFERENTIAL"),"_")))))</f>
        <v/>
      </c>
      <c r="H49" s="12" t="str">
        <f aca="false">IF(J49&lt;&gt;1,"",IF(I49="SBJ","CB","?"))</f>
        <v/>
      </c>
      <c r="I49" s="13" t="str">
        <f aca="false">IF(OR(E49="",E49="!!!",F49="NEW"),"",INDEX(B$2:B48,-1+SUMPRODUCT(MAX(ROW(E$2:E48)*(E49=E$2:E48)))))</f>
        <v/>
      </c>
      <c r="J49" s="14" t="str">
        <f aca="true">IF(OR(E49="",E49="!!!",F49="NEW"),"",COUNTBLANK(OFFSET(A$1,,,SUMPRODUCT(MAX(ROW(E$2:E49)*(E49=E$2:E49)))))-COUNTBLANK(OFFSET(A$1,,,SUMPRODUCT(MAX(ROW(E$1:E48)*(E49=E$1:E48))))))</f>
        <v/>
      </c>
      <c r="K49" s="14" t="str">
        <f aca="false">IF(OR(E49="",E49="!!!",F49="NEW"),"",INDEX(J$1:J48,SUMPRODUCT(MAX(ROW(E$1:E48)*(E49=E$1:E48)))))</f>
        <v/>
      </c>
      <c r="L49" s="15"/>
    </row>
    <row r="50" customFormat="false" ht="12.75" hidden="false" customHeight="false" outlineLevel="0" collapsed="false">
      <c r="A50" s="0" t="s">
        <v>79</v>
      </c>
      <c r="E50" s="9" t="str">
        <f aca="false">IF(D50="?OLD","!!!","")</f>
        <v/>
      </c>
      <c r="F50" s="10" t="str">
        <f aca="false">IF(OR(E50="",E50="!!!"),"",IF(NOT(ISNA(VLOOKUP(E50,E$1:E49,1,FALSE()))),"OLD",IF(AND(E50&lt;&gt;"",E50&lt;&gt;"!!!"),"NEW","")))</f>
        <v/>
      </c>
      <c r="G50" s="11" t="str">
        <f aca="false">IF(OR(E50="",E50="!!!"),"",IF(OR(J50=0,AND(J50=1,K50=1),AND(J50=1,I50="SBJ"),AND(J50=1,I50=0)),"?IN_FOCUS",IF(J50&lt;=2,"?ACTIVATED",IF(J50&lt;&gt;"","?FAMILIAR",IF(F50="NEW",IF(ISNA(VLOOKUP(E50,#REF!,1,FALSE())),"?TYPE_IDENTIFIABLE","?REFERENTIAL"),"_")))))</f>
        <v/>
      </c>
      <c r="H50" s="12" t="str">
        <f aca="false">IF(J50&lt;&gt;1,"",IF(I50="SBJ","CB","?"))</f>
        <v/>
      </c>
      <c r="I50" s="13" t="str">
        <f aca="false">IF(OR(E50="",E50="!!!",F50="NEW"),"",INDEX(B$2:B49,-1+SUMPRODUCT(MAX(ROW(E$2:E49)*(E50=E$2:E49)))))</f>
        <v/>
      </c>
      <c r="J50" s="14" t="str">
        <f aca="true">IF(OR(E50="",E50="!!!",F50="NEW"),"",COUNTBLANK(OFFSET(A$1,,,SUMPRODUCT(MAX(ROW(E$2:E50)*(E50=E$2:E50)))))-COUNTBLANK(OFFSET(A$1,,,SUMPRODUCT(MAX(ROW(E$1:E49)*(E50=E$1:E49))))))</f>
        <v/>
      </c>
      <c r="K50" s="14" t="str">
        <f aca="false">IF(OR(E50="",E50="!!!",F50="NEW"),"",INDEX(J$1:J49,SUMPRODUCT(MAX(ROW(E$1:E49)*(E50=E$1:E49)))))</f>
        <v/>
      </c>
      <c r="L50" s="15"/>
    </row>
    <row r="51" customFormat="false" ht="12.75" hidden="false" customHeight="false" outlineLevel="0" collapsed="false">
      <c r="A51" s="0" t="s">
        <v>53</v>
      </c>
      <c r="B51" s="0" t="s">
        <v>28</v>
      </c>
      <c r="C51" s="0" t="s">
        <v>55</v>
      </c>
      <c r="D51" s="0" t="s">
        <v>56</v>
      </c>
      <c r="E51" s="9" t="s">
        <v>24</v>
      </c>
      <c r="F51" s="10" t="str">
        <f aca="false">IF(OR(E51="",E51="!!!"),"",IF(NOT(ISNA(VLOOKUP(E51,E$1:E50,1,FALSE()))),"OLD",IF(AND(E51&lt;&gt;"",E51&lt;&gt;"!!!"),"NEW","")))</f>
        <v>OLD</v>
      </c>
      <c r="G51" s="11" t="s">
        <v>80</v>
      </c>
      <c r="H51" s="12"/>
      <c r="I51" s="13" t="str">
        <f aca="false">IF(OR(E51="",E51="!!!",F51="NEW"),"",INDEX(B$2:B50,-1+SUMPRODUCT(MAX(ROW(E$2:E50)*(E51=E$2:E50)))))</f>
        <v>other_5</v>
      </c>
      <c r="J51" s="14" t="n">
        <f aca="true">IF(OR(E51="",E51="!!!",F51="NEW"),"",COUNTBLANK(OFFSET(A$1,,,SUMPRODUCT(MAX(ROW(E$2:E51)*(E51=E$2:E51)))))-COUNTBLANK(OFFSET(A$1,,,SUMPRODUCT(MAX(ROW(E$1:E50)*(E51=E$1:E50))))))</f>
        <v>1</v>
      </c>
      <c r="K51" s="14" t="n">
        <f aca="false">IF(OR(E51="",E51="!!!",F51="NEW"),"",INDEX(J$1:J50,SUMPRODUCT(MAX(ROW(E$1:E50)*(E51=E$1:E50)))))</f>
        <v>0</v>
      </c>
      <c r="L51" s="15"/>
    </row>
    <row r="52" customFormat="false" ht="12.75" hidden="false" customHeight="false" outlineLevel="0" collapsed="false">
      <c r="A52" s="0" t="s">
        <v>81</v>
      </c>
      <c r="E52" s="9" t="str">
        <f aca="false">IF(D52="?OLD","!!!","")</f>
        <v/>
      </c>
      <c r="F52" s="10" t="str">
        <f aca="false">IF(OR(E52="",E52="!!!"),"",IF(NOT(ISNA(VLOOKUP(E52,E$1:E51,1,FALSE()))),"OLD",IF(AND(E52&lt;&gt;"",E52&lt;&gt;"!!!"),"NEW","")))</f>
        <v/>
      </c>
      <c r="G52" s="11" t="str">
        <f aca="false">IF(OR(E52="",E52="!!!"),"",IF(OR(J52=0,AND(J52=1,K52=1),AND(J52=1,I52="SBJ"),AND(J52=1,I52=0)),"?IN_FOCUS",IF(J52&lt;=2,"?ACTIVATED",IF(J52&lt;&gt;"","?FAMILIAR",IF(F52="NEW",IF(ISNA(VLOOKUP(E52,#REF!,1,FALSE())),"?TYPE_IDENTIFIABLE","?REFERENTIAL"),"_")))))</f>
        <v/>
      </c>
      <c r="H52" s="12" t="str">
        <f aca="false">IF(J52&lt;&gt;1,"",IF(I52="SBJ","CB","?"))</f>
        <v/>
      </c>
      <c r="I52" s="13" t="str">
        <f aca="false">IF(OR(E52="",E52="!!!",F52="NEW"),"",INDEX(B$2:B51,-1+SUMPRODUCT(MAX(ROW(E$2:E51)*(E52=E$2:E51)))))</f>
        <v/>
      </c>
      <c r="J52" s="14" t="str">
        <f aca="true">IF(OR(E52="",E52="!!!",F52="NEW"),"",COUNTBLANK(OFFSET(A$1,,,SUMPRODUCT(MAX(ROW(E$2:E52)*(E52=E$2:E52)))))-COUNTBLANK(OFFSET(A$1,,,SUMPRODUCT(MAX(ROW(E$1:E51)*(E52=E$1:E51))))))</f>
        <v/>
      </c>
      <c r="K52" s="14" t="str">
        <f aca="false">IF(OR(E52="",E52="!!!",F52="NEW"),"",INDEX(J$1:J51,SUMPRODUCT(MAX(ROW(E$1:E51)*(E52=E$1:E51)))))</f>
        <v/>
      </c>
      <c r="L52" s="15"/>
    </row>
    <row r="53" customFormat="false" ht="12.75" hidden="false" customHeight="false" outlineLevel="0" collapsed="false">
      <c r="A53" s="0" t="s">
        <v>82</v>
      </c>
      <c r="E53" s="9" t="str">
        <f aca="false">IF(D53="?OLD","!!!","")</f>
        <v/>
      </c>
      <c r="F53" s="10" t="str">
        <f aca="false">IF(OR(E53="",E53="!!!"),"",IF(NOT(ISNA(VLOOKUP(E53,E$1:E52,1,FALSE()))),"OLD",IF(AND(E53&lt;&gt;"",E53&lt;&gt;"!!!"),"NEW","")))</f>
        <v/>
      </c>
      <c r="G53" s="11" t="str">
        <f aca="false">IF(OR(E53="",E53="!!!"),"",IF(OR(J53=0,AND(J53=1,K53=1),AND(J53=1,I53="SBJ"),AND(J53=1,I53=0)),"?IN_FOCUS",IF(J53&lt;=2,"?ACTIVATED",IF(J53&lt;&gt;"","?FAMILIAR",IF(F53="NEW",IF(ISNA(VLOOKUP(E53,#REF!,1,FALSE())),"?TYPE_IDENTIFIABLE","?REFERENTIAL"),"_")))))</f>
        <v/>
      </c>
      <c r="H53" s="12" t="str">
        <f aca="false">IF(J53&lt;&gt;1,"",IF(I53="SBJ","CB","?"))</f>
        <v/>
      </c>
      <c r="I53" s="13" t="str">
        <f aca="false">IF(OR(E53="",E53="!!!",F53="NEW"),"",INDEX(B$2:B52,-1+SUMPRODUCT(MAX(ROW(E$2:E52)*(E53=E$2:E52)))))</f>
        <v/>
      </c>
      <c r="J53" s="14" t="str">
        <f aca="true">IF(OR(E53="",E53="!!!",F53="NEW"),"",COUNTBLANK(OFFSET(A$1,,,SUMPRODUCT(MAX(ROW(E$2:E53)*(E53=E$2:E53)))))-COUNTBLANK(OFFSET(A$1,,,SUMPRODUCT(MAX(ROW(E$1:E52)*(E53=E$1:E52))))))</f>
        <v/>
      </c>
      <c r="K53" s="14" t="str">
        <f aca="false">IF(OR(E53="",E53="!!!",F53="NEW"),"",INDEX(J$1:J52,SUMPRODUCT(MAX(ROW(E$1:E52)*(E53=E$1:E52)))))</f>
        <v/>
      </c>
      <c r="L53" s="15"/>
    </row>
    <row r="54" customFormat="false" ht="12.75" hidden="false" customHeight="false" outlineLevel="0" collapsed="false">
      <c r="A54" s="0" t="s">
        <v>83</v>
      </c>
      <c r="B54" s="0" t="s">
        <v>62</v>
      </c>
      <c r="C54" s="0" t="s">
        <v>15</v>
      </c>
      <c r="D54" s="0" t="s">
        <v>29</v>
      </c>
      <c r="E54" s="9" t="s">
        <v>68</v>
      </c>
      <c r="F54" s="10" t="s">
        <v>84</v>
      </c>
      <c r="G54" s="11"/>
      <c r="H54" s="12"/>
      <c r="I54" s="13" t="str">
        <f aca="false">IF(OR(E54="",E54="!!!",F54="NEW"),"",INDEX(B$2:B53,-1+SUMPRODUCT(MAX(ROW(E$2:E53)*(E54=E$2:E53)))))</f>
        <v>other_5</v>
      </c>
      <c r="J54" s="14" t="n">
        <f aca="true">IF(OR(E54="",E54="!!!",F54="NEW"),"",COUNTBLANK(OFFSET(A$1,,,SUMPRODUCT(MAX(ROW(E$2:E54)*(E54=E$2:E54)))))-COUNTBLANK(OFFSET(A$1,,,SUMPRODUCT(MAX(ROW(E$1:E53)*(E54=E$1:E53))))))</f>
        <v>1</v>
      </c>
      <c r="K54" s="14" t="n">
        <f aca="false">IF(OR(E54="",E54="!!!",F54="NEW"),"",INDEX(J$1:J53,SUMPRODUCT(MAX(ROW(E$1:E53)*(E54=E$1:E53)))))</f>
        <v>0</v>
      </c>
      <c r="L54" s="15"/>
    </row>
    <row r="55" customFormat="false" ht="12.75" hidden="false" customHeight="false" outlineLevel="0" collapsed="false">
      <c r="A55" s="0" t="s">
        <v>31</v>
      </c>
      <c r="E55" s="9" t="str">
        <f aca="false">IF(D55="?OLD","!!!","")</f>
        <v/>
      </c>
      <c r="F55" s="10" t="str">
        <f aca="false">IF(OR(E55="",E55="!!!"),"",IF(NOT(ISNA(VLOOKUP(E55,E$1:E54,1,FALSE()))),"OLD",IF(AND(E55&lt;&gt;"",E55&lt;&gt;"!!!"),"NEW","")))</f>
        <v/>
      </c>
      <c r="G55" s="11" t="str">
        <f aca="false">IF(OR(E55="",E55="!!!"),"",IF(OR(J55=0,AND(J55=1,K55=1),AND(J55=1,I55="SBJ"),AND(J55=1,I55=0)),"?IN_FOCUS",IF(J55&lt;=2,"?ACTIVATED",IF(J55&lt;&gt;"","?FAMILIAR",IF(F55="NEW",IF(ISNA(VLOOKUP(E55,#REF!,1,FALSE())),"?TYPE_IDENTIFIABLE","?REFERENTIAL"),"_")))))</f>
        <v/>
      </c>
      <c r="H55" s="12" t="str">
        <f aca="false">IF(J55&lt;&gt;1,"",IF(I55="SBJ","CB","?"))</f>
        <v/>
      </c>
      <c r="I55" s="13" t="str">
        <f aca="false">IF(OR(E55="",E55="!!!",F55="NEW"),"",INDEX(B$2:B54,-1+SUMPRODUCT(MAX(ROW(E$2:E54)*(E55=E$2:E54)))))</f>
        <v/>
      </c>
      <c r="J55" s="14" t="str">
        <f aca="true">IF(OR(E55="",E55="!!!",F55="NEW"),"",COUNTBLANK(OFFSET(A$1,,,SUMPRODUCT(MAX(ROW(E$2:E55)*(E55=E$2:E55)))))-COUNTBLANK(OFFSET(A$1,,,SUMPRODUCT(MAX(ROW(E$1:E54)*(E55=E$1:E54))))))</f>
        <v/>
      </c>
      <c r="K55" s="14" t="str">
        <f aca="false">IF(OR(E55="",E55="!!!",F55="NEW"),"",INDEX(J$1:J54,SUMPRODUCT(MAX(ROW(E$1:E54)*(E55=E$1:E54)))))</f>
        <v/>
      </c>
      <c r="L55" s="15"/>
    </row>
    <row r="56" customFormat="false" ht="12.75" hidden="false" customHeight="false" outlineLevel="0" collapsed="false">
      <c r="A56" s="0" t="s">
        <v>85</v>
      </c>
      <c r="B56" s="0" t="s">
        <v>47</v>
      </c>
      <c r="E56" s="9" t="str">
        <f aca="false">IF(D56="?OLD","!!!","")</f>
        <v/>
      </c>
      <c r="F56" s="10" t="str">
        <f aca="false">IF(OR(E56="",E56="!!!"),"",IF(NOT(ISNA(VLOOKUP(E56,E$1:E55,1,FALSE()))),"OLD",IF(AND(E56&lt;&gt;"",E56&lt;&gt;"!!!"),"NEW","")))</f>
        <v/>
      </c>
      <c r="G56" s="11" t="str">
        <f aca="false">IF(OR(E56="",E56="!!!"),"",IF(OR(J56=0,AND(J56=1,K56=1),AND(J56=1,I56="SBJ"),AND(J56=1,I56=0)),"?IN_FOCUS",IF(J56&lt;=2,"?ACTIVATED",IF(J56&lt;&gt;"","?FAMILIAR",IF(F56="NEW",IF(ISNA(VLOOKUP(E56,#REF!,1,FALSE())),"?TYPE_IDENTIFIABLE","?REFERENTIAL"),"_")))))</f>
        <v/>
      </c>
      <c r="H56" s="12" t="str">
        <f aca="false">IF(J56&lt;&gt;1,"",IF(I56="SBJ","CB","?"))</f>
        <v/>
      </c>
      <c r="I56" s="13" t="str">
        <f aca="false">IF(OR(E56="",E56="!!!",F56="NEW"),"",INDEX(B$2:B55,-1+SUMPRODUCT(MAX(ROW(E$2:E55)*(E56=E$2:E55)))))</f>
        <v/>
      </c>
      <c r="J56" s="14" t="str">
        <f aca="true">IF(OR(E56="",E56="!!!",F56="NEW"),"",COUNTBLANK(OFFSET(A$1,,,SUMPRODUCT(MAX(ROW(E$2:E56)*(E56=E$2:E56)))))-COUNTBLANK(OFFSET(A$1,,,SUMPRODUCT(MAX(ROW(E$1:E55)*(E56=E$1:E55))))))</f>
        <v/>
      </c>
      <c r="K56" s="14" t="str">
        <f aca="false">IF(OR(E56="",E56="!!!",F56="NEW"),"",INDEX(J$1:J55,SUMPRODUCT(MAX(ROW(E$1:E55)*(E56=E$1:E55)))))</f>
        <v/>
      </c>
      <c r="L56" s="15"/>
    </row>
    <row r="57" customFormat="false" ht="12.75" hidden="false" customHeight="false" outlineLevel="0" collapsed="false">
      <c r="A57" s="0" t="s">
        <v>86</v>
      </c>
      <c r="E57" s="9" t="str">
        <f aca="false">IF(D57="?OLD","!!!","")</f>
        <v/>
      </c>
      <c r="F57" s="10" t="str">
        <f aca="false">IF(OR(E57="",E57="!!!"),"",IF(NOT(ISNA(VLOOKUP(E57,E$1:E56,1,FALSE()))),"OLD",IF(AND(E57&lt;&gt;"",E57&lt;&gt;"!!!"),"NEW","")))</f>
        <v/>
      </c>
      <c r="G57" s="11" t="str">
        <f aca="false">IF(OR(E57="",E57="!!!"),"",IF(OR(J57=0,AND(J57=1,K57=1),AND(J57=1,I57="SBJ"),AND(J57=1,I57=0)),"?IN_FOCUS",IF(J57&lt;=2,"?ACTIVATED",IF(J57&lt;&gt;"","?FAMILIAR",IF(F57="NEW",IF(ISNA(VLOOKUP(E57,#REF!,1,FALSE())),"?TYPE_IDENTIFIABLE","?REFERENTIAL"),"_")))))</f>
        <v/>
      </c>
      <c r="H57" s="12" t="str">
        <f aca="false">IF(J57&lt;&gt;1,"",IF(I57="SBJ","CB","?"))</f>
        <v/>
      </c>
      <c r="I57" s="13" t="str">
        <f aca="false">IF(OR(E57="",E57="!!!",F57="NEW"),"",INDEX(B$2:B56,-1+SUMPRODUCT(MAX(ROW(E$2:E56)*(E57=E$2:E56)))))</f>
        <v/>
      </c>
      <c r="J57" s="14" t="str">
        <f aca="true">IF(OR(E57="",E57="!!!",F57="NEW"),"",COUNTBLANK(OFFSET(A$1,,,SUMPRODUCT(MAX(ROW(E$2:E57)*(E57=E$2:E57)))))-COUNTBLANK(OFFSET(A$1,,,SUMPRODUCT(MAX(ROW(E$1:E56)*(E57=E$1:E56))))))</f>
        <v/>
      </c>
      <c r="K57" s="14" t="str">
        <f aca="false">IF(OR(E57="",E57="!!!",F57="NEW"),"",INDEX(J$1:J56,SUMPRODUCT(MAX(ROW(E$1:E56)*(E57=E$1:E56)))))</f>
        <v/>
      </c>
      <c r="L57" s="15"/>
    </row>
    <row r="58" customFormat="false" ht="12.75" hidden="false" customHeight="false" outlineLevel="0" collapsed="false">
      <c r="A58" s="0" t="s">
        <v>51</v>
      </c>
      <c r="E58" s="9" t="str">
        <f aca="false">IF(D58="?OLD","!!!","")</f>
        <v/>
      </c>
      <c r="F58" s="10" t="str">
        <f aca="false">IF(OR(E58="",E58="!!!"),"",IF(NOT(ISNA(VLOOKUP(E58,E$1:E57,1,FALSE()))),"OLD",IF(AND(E58&lt;&gt;"",E58&lt;&gt;"!!!"),"NEW","")))</f>
        <v/>
      </c>
      <c r="G58" s="11" t="str">
        <f aca="false">IF(OR(E58="",E58="!!!"),"",IF(OR(J58=0,AND(J58=1,K58=1),AND(J58=1,I58="SBJ"),AND(J58=1,I58=0)),"?IN_FOCUS",IF(J58&lt;=2,"?ACTIVATED",IF(J58&lt;&gt;"","?FAMILIAR",IF(F58="NEW",IF(ISNA(VLOOKUP(E58,#REF!,1,FALSE())),"?TYPE_IDENTIFIABLE","?REFERENTIAL"),"_")))))</f>
        <v/>
      </c>
      <c r="H58" s="12" t="str">
        <f aca="false">IF(J58&lt;&gt;1,"",IF(I58="SBJ","CB","?"))</f>
        <v/>
      </c>
      <c r="I58" s="13" t="str">
        <f aca="false">IF(OR(E58="",E58="!!!",F58="NEW"),"",INDEX(B$2:B57,-1+SUMPRODUCT(MAX(ROW(E$2:E57)*(E58=E$2:E57)))))</f>
        <v/>
      </c>
      <c r="J58" s="14" t="str">
        <f aca="true">IF(OR(E58="",E58="!!!",F58="NEW"),"",COUNTBLANK(OFFSET(A$1,,,SUMPRODUCT(MAX(ROW(E$2:E58)*(E58=E$2:E58)))))-COUNTBLANK(OFFSET(A$1,,,SUMPRODUCT(MAX(ROW(E$1:E57)*(E58=E$1:E57))))))</f>
        <v/>
      </c>
      <c r="K58" s="14" t="str">
        <f aca="false">IF(OR(E58="",E58="!!!",F58="NEW"),"",INDEX(J$1:J57,SUMPRODUCT(MAX(ROW(E$1:E57)*(E58=E$1:E57)))))</f>
        <v/>
      </c>
      <c r="L58" s="15"/>
    </row>
    <row r="59" customFormat="false" ht="12.75" hidden="false" customHeight="false" outlineLevel="0" collapsed="false">
      <c r="A59" s="0" t="s">
        <v>87</v>
      </c>
      <c r="E59" s="9" t="str">
        <f aca="false">IF(D59="?OLD","!!!","")</f>
        <v/>
      </c>
      <c r="F59" s="10" t="str">
        <f aca="false">IF(OR(E59="",E59="!!!"),"",IF(NOT(ISNA(VLOOKUP(E59,E$1:E58,1,FALSE()))),"OLD",IF(AND(E59&lt;&gt;"",E59&lt;&gt;"!!!"),"NEW","")))</f>
        <v/>
      </c>
      <c r="G59" s="11" t="str">
        <f aca="false">IF(OR(E59="",E59="!!!"),"",IF(OR(J59=0,AND(J59=1,K59=1),AND(J59=1,I59="SBJ"),AND(J59=1,I59=0)),"?IN_FOCUS",IF(J59&lt;=2,"?ACTIVATED",IF(J59&lt;&gt;"","?FAMILIAR",IF(F59="NEW",IF(ISNA(VLOOKUP(E59,#REF!,1,FALSE())),"?TYPE_IDENTIFIABLE","?REFERENTIAL"),"_")))))</f>
        <v/>
      </c>
      <c r="H59" s="12" t="str">
        <f aca="false">IF(J59&lt;&gt;1,"",IF(I59="SBJ","CB","?"))</f>
        <v/>
      </c>
      <c r="I59" s="13" t="str">
        <f aca="false">IF(OR(E59="",E59="!!!",F59="NEW"),"",INDEX(B$2:B58,-1+SUMPRODUCT(MAX(ROW(E$2:E58)*(E59=E$2:E58)))))</f>
        <v/>
      </c>
      <c r="J59" s="14" t="str">
        <f aca="true">IF(OR(E59="",E59="!!!",F59="NEW"),"",COUNTBLANK(OFFSET(A$1,,,SUMPRODUCT(MAX(ROW(E$2:E59)*(E59=E$2:E59)))))-COUNTBLANK(OFFSET(A$1,,,SUMPRODUCT(MAX(ROW(E$1:E58)*(E59=E$1:E58))))))</f>
        <v/>
      </c>
      <c r="K59" s="14" t="str">
        <f aca="false">IF(OR(E59="",E59="!!!",F59="NEW"),"",INDEX(J$1:J58,SUMPRODUCT(MAX(ROW(E$1:E58)*(E59=E$1:E58)))))</f>
        <v/>
      </c>
      <c r="L59" s="15"/>
    </row>
    <row r="60" customFormat="false" ht="12.75" hidden="false" customHeight="false" outlineLevel="0" collapsed="false">
      <c r="A60" s="0" t="s">
        <v>88</v>
      </c>
      <c r="E60" s="9" t="str">
        <f aca="false">IF(D60="?OLD","!!!","")</f>
        <v/>
      </c>
      <c r="F60" s="10" t="str">
        <f aca="false">IF(OR(E60="",E60="!!!"),"",IF(NOT(ISNA(VLOOKUP(E60,E$1:E59,1,FALSE()))),"OLD",IF(AND(E60&lt;&gt;"",E60&lt;&gt;"!!!"),"NEW","")))</f>
        <v/>
      </c>
      <c r="G60" s="11" t="str">
        <f aca="false">IF(OR(E60="",E60="!!!"),"",IF(OR(J60=0,AND(J60=1,K60=1),AND(J60=1,I60="SBJ"),AND(J60=1,I60=0)),"?IN_FOCUS",IF(J60&lt;=2,"?ACTIVATED",IF(J60&lt;&gt;"","?FAMILIAR",IF(F60="NEW",IF(ISNA(VLOOKUP(E60,#REF!,1,FALSE())),"?TYPE_IDENTIFIABLE","?REFERENTIAL"),"_")))))</f>
        <v/>
      </c>
      <c r="H60" s="12" t="str">
        <f aca="false">IF(J60&lt;&gt;1,"",IF(I60="SBJ","CB","?"))</f>
        <v/>
      </c>
      <c r="I60" s="13" t="str">
        <f aca="false">IF(OR(E60="",E60="!!!",F60="NEW"),"",INDEX(B$2:B59,-1+SUMPRODUCT(MAX(ROW(E$2:E59)*(E60=E$2:E59)))))</f>
        <v/>
      </c>
      <c r="J60" s="14" t="str">
        <f aca="true">IF(OR(E60="",E60="!!!",F60="NEW"),"",COUNTBLANK(OFFSET(A$1,,,SUMPRODUCT(MAX(ROW(E$2:E60)*(E60=E$2:E60)))))-COUNTBLANK(OFFSET(A$1,,,SUMPRODUCT(MAX(ROW(E$1:E59)*(E60=E$1:E59))))))</f>
        <v/>
      </c>
      <c r="K60" s="14" t="str">
        <f aca="false">IF(OR(E60="",E60="!!!",F60="NEW"),"",INDEX(J$1:J59,SUMPRODUCT(MAX(ROW(E$1:E59)*(E60=E$1:E59)))))</f>
        <v/>
      </c>
      <c r="L60" s="15"/>
    </row>
    <row r="61" customFormat="false" ht="12.75" hidden="false" customHeight="false" outlineLevel="0" collapsed="false">
      <c r="A61" s="0" t="s">
        <v>89</v>
      </c>
      <c r="E61" s="9" t="str">
        <f aca="false">IF(D61="?OLD","!!!","")</f>
        <v/>
      </c>
      <c r="F61" s="10" t="str">
        <f aca="false">IF(OR(E61="",E61="!!!"),"",IF(NOT(ISNA(VLOOKUP(E61,E$1:E60,1,FALSE()))),"OLD",IF(AND(E61&lt;&gt;"",E61&lt;&gt;"!!!"),"NEW","")))</f>
        <v/>
      </c>
      <c r="G61" s="11" t="str">
        <f aca="false">IF(OR(E61="",E61="!!!"),"",IF(OR(J61=0,AND(J61=1,K61=1),AND(J61=1,I61="SBJ"),AND(J61=1,I61=0)),"?IN_FOCUS",IF(J61&lt;=2,"?ACTIVATED",IF(J61&lt;&gt;"","?FAMILIAR",IF(F61="NEW",IF(ISNA(VLOOKUP(E61,#REF!,1,FALSE())),"?TYPE_IDENTIFIABLE","?REFERENTIAL"),"_")))))</f>
        <v/>
      </c>
      <c r="H61" s="12" t="str">
        <f aca="false">IF(J61&lt;&gt;1,"",IF(I61="SBJ","CB","?"))</f>
        <v/>
      </c>
      <c r="I61" s="13" t="str">
        <f aca="false">IF(OR(E61="",E61="!!!",F61="NEW"),"",INDEX(B$2:B60,-1+SUMPRODUCT(MAX(ROW(E$2:E60)*(E61=E$2:E60)))))</f>
        <v/>
      </c>
      <c r="J61" s="14" t="str">
        <f aca="true">IF(OR(E61="",E61="!!!",F61="NEW"),"",COUNTBLANK(OFFSET(A$1,,,SUMPRODUCT(MAX(ROW(E$2:E61)*(E61=E$2:E61)))))-COUNTBLANK(OFFSET(A$1,,,SUMPRODUCT(MAX(ROW(E$1:E60)*(E61=E$1:E60))))))</f>
        <v/>
      </c>
      <c r="K61" s="14" t="str">
        <f aca="false">IF(OR(E61="",E61="!!!",F61="NEW"),"",INDEX(J$1:J60,SUMPRODUCT(MAX(ROW(E$1:E60)*(E61=E$1:E60)))))</f>
        <v/>
      </c>
      <c r="L61" s="15"/>
    </row>
    <row r="62" customFormat="false" ht="12.75" hidden="false" customHeight="false" outlineLevel="0" collapsed="false">
      <c r="A62" s="0" t="s">
        <v>90</v>
      </c>
      <c r="B62" s="0" t="s">
        <v>91</v>
      </c>
      <c r="C62" s="0" t="s">
        <v>92</v>
      </c>
      <c r="D62" s="0" t="s">
        <v>16</v>
      </c>
      <c r="E62" s="9" t="s">
        <v>68</v>
      </c>
      <c r="F62" s="10" t="s">
        <v>69</v>
      </c>
      <c r="G62" s="11"/>
      <c r="H62" s="12" t="str">
        <f aca="false">IF(J62&lt;&gt;1,"",IF(I62="SBJ","CB","?"))</f>
        <v/>
      </c>
      <c r="I62" s="13" t="str">
        <f aca="false">IF(OR(E62="",E62="!!!",F62="NEW"),"",INDEX(B$2:B61,-1+SUMPRODUCT(MAX(ROW(E$2:E61)*(E62=E$2:E61)))))</f>
        <v>other</v>
      </c>
      <c r="J62" s="14" t="n">
        <f aca="true">IF(OR(E62="",E62="!!!",F62="NEW"),"",COUNTBLANK(OFFSET(A$1,,,SUMPRODUCT(MAX(ROW(E$2:E62)*(E62=E$2:E62)))))-COUNTBLANK(OFFSET(A$1,,,SUMPRODUCT(MAX(ROW(E$1:E61)*(E62=E$1:E61))))))</f>
        <v>0</v>
      </c>
      <c r="K62" s="14" t="n">
        <f aca="false">IF(OR(E62="",E62="!!!",F62="NEW"),"",INDEX(J$1:J61,SUMPRODUCT(MAX(ROW(E$1:E61)*(E62=E$1:E61)))))</f>
        <v>1</v>
      </c>
      <c r="L62" s="15"/>
    </row>
    <row r="63" customFormat="false" ht="12.75" hidden="false" customHeight="false" outlineLevel="0" collapsed="false">
      <c r="A63" s="0" t="s">
        <v>93</v>
      </c>
      <c r="B63" s="0" t="s">
        <v>94</v>
      </c>
      <c r="E63" s="9" t="str">
        <f aca="false">IF(D63="?OLD","!!!","")</f>
        <v/>
      </c>
      <c r="F63" s="10" t="str">
        <f aca="false">IF(OR(E63="",E63="!!!"),"",IF(NOT(ISNA(VLOOKUP(E63,E$1:E62,1,FALSE()))),"OLD",IF(AND(E63&lt;&gt;"",E63&lt;&gt;"!!!"),"NEW","")))</f>
        <v/>
      </c>
      <c r="G63" s="11" t="str">
        <f aca="false">IF(OR(E63="",E63="!!!"),"",IF(OR(J63=0,AND(J63=1,K63=1),AND(J63=1,I63="SBJ"),AND(J63=1,I63=0)),"?IN_FOCUS",IF(J63&lt;=2,"?ACTIVATED",IF(J63&lt;&gt;"","?FAMILIAR",IF(F63="NEW",IF(ISNA(VLOOKUP(E63,#REF!,1,FALSE())),"?TYPE_IDENTIFIABLE","?REFERENTIAL"),"_")))))</f>
        <v/>
      </c>
      <c r="H63" s="12" t="str">
        <f aca="false">IF(J63&lt;&gt;1,"",IF(I63="SBJ","CB","?"))</f>
        <v/>
      </c>
      <c r="I63" s="13" t="str">
        <f aca="false">IF(OR(E63="",E63="!!!",F63="NEW"),"",INDEX(B$2:B62,-1+SUMPRODUCT(MAX(ROW(E$2:E62)*(E63=E$2:E62)))))</f>
        <v/>
      </c>
      <c r="J63" s="14" t="str">
        <f aca="true">IF(OR(E63="",E63="!!!",F63="NEW"),"",COUNTBLANK(OFFSET(A$1,,,SUMPRODUCT(MAX(ROW(E$2:E63)*(E63=E$2:E63)))))-COUNTBLANK(OFFSET(A$1,,,SUMPRODUCT(MAX(ROW(E$1:E62)*(E63=E$1:E62))))))</f>
        <v/>
      </c>
      <c r="K63" s="14" t="str">
        <f aca="false">IF(OR(E63="",E63="!!!",F63="NEW"),"",INDEX(J$1:J62,SUMPRODUCT(MAX(ROW(E$1:E62)*(E63=E$1:E62)))))</f>
        <v/>
      </c>
      <c r="L63" s="15"/>
    </row>
    <row r="64" customFormat="false" ht="12.75" hidden="false" customHeight="false" outlineLevel="0" collapsed="false">
      <c r="A64" s="0" t="s">
        <v>95</v>
      </c>
      <c r="E64" s="9" t="str">
        <f aca="false">IF(D64="?OLD","!!!","")</f>
        <v/>
      </c>
      <c r="F64" s="10" t="str">
        <f aca="false">IF(OR(E64="",E64="!!!"),"",IF(NOT(ISNA(VLOOKUP(E64,E$1:E63,1,FALSE()))),"OLD",IF(AND(E64&lt;&gt;"",E64&lt;&gt;"!!!"),"NEW","")))</f>
        <v/>
      </c>
      <c r="G64" s="11" t="str">
        <f aca="false">IF(OR(E64="",E64="!!!"),"",IF(OR(J64=0,AND(J64=1,K64=1),AND(J64=1,I64="SBJ"),AND(J64=1,I64=0)),"?IN_FOCUS",IF(J64&lt;=2,"?ACTIVATED",IF(J64&lt;&gt;"","?FAMILIAR",IF(F64="NEW",IF(ISNA(VLOOKUP(E64,#REF!,1,FALSE())),"?TYPE_IDENTIFIABLE","?REFERENTIAL"),"_")))))</f>
        <v/>
      </c>
      <c r="H64" s="12" t="str">
        <f aca="false">IF(J64&lt;&gt;1,"",IF(I64="SBJ","CB","?"))</f>
        <v/>
      </c>
      <c r="I64" s="13" t="str">
        <f aca="false">IF(OR(E64="",E64="!!!",F64="NEW"),"",INDEX(B$2:B63,-1+SUMPRODUCT(MAX(ROW(E$2:E63)*(E64=E$2:E63)))))</f>
        <v/>
      </c>
      <c r="J64" s="14" t="str">
        <f aca="true">IF(OR(E64="",E64="!!!",F64="NEW"),"",COUNTBLANK(OFFSET(A$1,,,SUMPRODUCT(MAX(ROW(E$2:E64)*(E64=E$2:E64)))))-COUNTBLANK(OFFSET(A$1,,,SUMPRODUCT(MAX(ROW(E$1:E63)*(E64=E$1:E63))))))</f>
        <v/>
      </c>
      <c r="K64" s="14" t="str">
        <f aca="false">IF(OR(E64="",E64="!!!",F64="NEW"),"",INDEX(J$1:J63,SUMPRODUCT(MAX(ROW(E$1:E63)*(E64=E$1:E63)))))</f>
        <v/>
      </c>
      <c r="L64" s="15"/>
    </row>
    <row r="65" customFormat="false" ht="12.75" hidden="false" customHeight="false" outlineLevel="0" collapsed="false">
      <c r="A65" s="0" t="s">
        <v>96</v>
      </c>
      <c r="E65" s="9" t="str">
        <f aca="false">IF(D65="?OLD","!!!","")</f>
        <v/>
      </c>
      <c r="F65" s="10" t="str">
        <f aca="false">IF(OR(E65="",E65="!!!"),"",IF(NOT(ISNA(VLOOKUP(E65,E$1:E64,1,FALSE()))),"OLD",IF(AND(E65&lt;&gt;"",E65&lt;&gt;"!!!"),"NEW","")))</f>
        <v/>
      </c>
      <c r="G65" s="11" t="str">
        <f aca="false">IF(OR(E65="",E65="!!!"),"",IF(OR(J65=0,AND(J65=1,K65=1),AND(J65=1,I65="SBJ"),AND(J65=1,I65=0)),"?IN_FOCUS",IF(J65&lt;=2,"?ACTIVATED",IF(J65&lt;&gt;"","?FAMILIAR",IF(F65="NEW",IF(ISNA(VLOOKUP(E65,#REF!,1,FALSE())),"?TYPE_IDENTIFIABLE","?REFERENTIAL"),"_")))))</f>
        <v/>
      </c>
      <c r="H65" s="12" t="str">
        <f aca="false">IF(J65&lt;&gt;1,"",IF(I65="SBJ","CB","?"))</f>
        <v/>
      </c>
      <c r="I65" s="13" t="str">
        <f aca="false">IF(OR(E65="",E65="!!!",F65="NEW"),"",INDEX(B$2:B64,-1+SUMPRODUCT(MAX(ROW(E$2:E64)*(E65=E$2:E64)))))</f>
        <v/>
      </c>
      <c r="J65" s="14" t="str">
        <f aca="true">IF(OR(E65="",E65="!!!",F65="NEW"),"",COUNTBLANK(OFFSET(A$1,,,SUMPRODUCT(MAX(ROW(E$2:E65)*(E65=E$2:E65)))))-COUNTBLANK(OFFSET(A$1,,,SUMPRODUCT(MAX(ROW(E$1:E64)*(E65=E$1:E64))))))</f>
        <v/>
      </c>
      <c r="K65" s="14" t="str">
        <f aca="false">IF(OR(E65="",E65="!!!",F65="NEW"),"",INDEX(J$1:J64,SUMPRODUCT(MAX(ROW(E$1:E64)*(E65=E$1:E64)))))</f>
        <v/>
      </c>
      <c r="L65" s="15"/>
    </row>
    <row r="66" customFormat="false" ht="12.75" hidden="false" customHeight="false" outlineLevel="0" collapsed="false">
      <c r="A66" s="0" t="s">
        <v>97</v>
      </c>
      <c r="B66" s="0" t="s">
        <v>71</v>
      </c>
      <c r="C66" s="0" t="s">
        <v>38</v>
      </c>
      <c r="D66" s="0" t="s">
        <v>16</v>
      </c>
      <c r="E66" s="9" t="s">
        <v>24</v>
      </c>
      <c r="F66" s="10" t="str">
        <f aca="false">IF(OR(E66="",E66="!!!"),"",IF(NOT(ISNA(VLOOKUP(E66,E$1:E65,1,FALSE()))),"OLD",IF(AND(E66&lt;&gt;"",E66&lt;&gt;"!!!"),"NEW","")))</f>
        <v>OLD</v>
      </c>
      <c r="G66" s="11" t="s">
        <v>39</v>
      </c>
      <c r="H66" s="12" t="str">
        <f aca="false">IF(J66&lt;&gt;1,"",IF(I66="SBJ","CB","?"))</f>
        <v/>
      </c>
      <c r="I66" s="13" t="str">
        <f aca="false">IF(OR(E66="",E66="!!!",F66="NEW"),"",INDEX(B$2:B65,-1+SUMPRODUCT(MAX(ROW(E$2:E65)*(E66=E$2:E65)))))</f>
        <v>other_2</v>
      </c>
      <c r="J66" s="14" t="n">
        <f aca="true">IF(OR(E66="",E66="!!!",F66="NEW"),"",COUNTBLANK(OFFSET(A$1,,,SUMPRODUCT(MAX(ROW(E$2:E66)*(E66=E$2:E66)))))-COUNTBLANK(OFFSET(A$1,,,SUMPRODUCT(MAX(ROW(E$1:E65)*(E66=E$1:E65))))))</f>
        <v>0</v>
      </c>
      <c r="K66" s="14" t="n">
        <f aca="false">IF(OR(E66="",E66="!!!",F66="NEW"),"",INDEX(J$1:J65,SUMPRODUCT(MAX(ROW(E$1:E65)*(E66=E$1:E65)))))</f>
        <v>1</v>
      </c>
      <c r="L66" s="15"/>
    </row>
    <row r="67" customFormat="false" ht="12.75" hidden="false" customHeight="false" outlineLevel="0" collapsed="false">
      <c r="A67" s="0" t="s">
        <v>73</v>
      </c>
      <c r="E67" s="9" t="str">
        <f aca="false">IF(D67="?OLD","!!!","")</f>
        <v/>
      </c>
      <c r="F67" s="10" t="str">
        <f aca="false">IF(OR(E67="",E67="!!!"),"",IF(NOT(ISNA(VLOOKUP(E67,E$1:E66,1,FALSE()))),"OLD",IF(AND(E67&lt;&gt;"",E67&lt;&gt;"!!!"),"NEW","")))</f>
        <v/>
      </c>
      <c r="G67" s="11" t="str">
        <f aca="false">IF(OR(E67="",E67="!!!"),"",IF(OR(J67=0,AND(J67=1,K67=1),AND(J67=1,I67="SBJ"),AND(J67=1,I67=0)),"?IN_FOCUS",IF(J67&lt;=2,"?ACTIVATED",IF(J67&lt;&gt;"","?FAMILIAR",IF(F67="NEW",IF(ISNA(VLOOKUP(E67,#REF!,1,FALSE())),"?TYPE_IDENTIFIABLE","?REFERENTIAL"),"_")))))</f>
        <v/>
      </c>
      <c r="H67" s="12" t="str">
        <f aca="false">IF(J67&lt;&gt;1,"",IF(I67="SBJ","CB","?"))</f>
        <v/>
      </c>
      <c r="I67" s="13" t="str">
        <f aca="false">IF(OR(E67="",E67="!!!",F67="NEW"),"",INDEX(B$2:B66,-1+SUMPRODUCT(MAX(ROW(E$2:E66)*(E67=E$2:E66)))))</f>
        <v/>
      </c>
      <c r="J67" s="14" t="str">
        <f aca="true">IF(OR(E67="",E67="!!!",F67="NEW"),"",COUNTBLANK(OFFSET(A$1,,,SUMPRODUCT(MAX(ROW(E$2:E67)*(E67=E$2:E67)))))-COUNTBLANK(OFFSET(A$1,,,SUMPRODUCT(MAX(ROW(E$1:E66)*(E67=E$1:E66))))))</f>
        <v/>
      </c>
      <c r="K67" s="14" t="str">
        <f aca="false">IF(OR(E67="",E67="!!!",F67="NEW"),"",INDEX(J$1:J66,SUMPRODUCT(MAX(ROW(E$1:E66)*(E67=E$1:E66)))))</f>
        <v/>
      </c>
      <c r="L67" s="15"/>
    </row>
    <row r="68" customFormat="false" ht="12.75" hidden="false" customHeight="false" outlineLevel="0" collapsed="false">
      <c r="E68" s="9" t="str">
        <f aca="false">IF(D68="?OLD","!!!","")</f>
        <v/>
      </c>
      <c r="F68" s="10" t="str">
        <f aca="false">IF(OR(E68="",E68="!!!"),"",IF(NOT(ISNA(VLOOKUP(E68,E$1:E67,1,FALSE()))),"OLD",IF(AND(E68&lt;&gt;"",E68&lt;&gt;"!!!"),"NEW","")))</f>
        <v/>
      </c>
      <c r="G68" s="11" t="str">
        <f aca="false">IF(OR(E68="",E68="!!!"),"",IF(OR(J68=0,AND(J68=1,K68=1),AND(J68=1,I68="SBJ"),AND(J68=1,I68=0)),"?IN_FOCUS",IF(J68&lt;=2,"?ACTIVATED",IF(J68&lt;&gt;"","?FAMILIAR",IF(F68="NEW",IF(ISNA(VLOOKUP(E68,#REF!,1,FALSE())),"?TYPE_IDENTIFIABLE","?REFERENTIAL"),"_")))))</f>
        <v/>
      </c>
      <c r="H68" s="12" t="str">
        <f aca="false">IF(J68&lt;&gt;1,"",IF(I68="SBJ","CB","?"))</f>
        <v/>
      </c>
      <c r="I68" s="13" t="str">
        <f aca="false">IF(OR(E68="",E68="!!!",F68="NEW"),"",INDEX(B$2:B67,-1+SUMPRODUCT(MAX(ROW(E$2:E67)*(E68=E$2:E67)))))</f>
        <v/>
      </c>
      <c r="J68" s="14" t="str">
        <f aca="true">IF(OR(E68="",E68="!!!",F68="NEW"),"",COUNTBLANK(OFFSET(A$1,,,SUMPRODUCT(MAX(ROW(E$2:E68)*(E68=E$2:E68)))))-COUNTBLANK(OFFSET(A$1,,,SUMPRODUCT(MAX(ROW(E$1:E67)*(E68=E$1:E67))))))</f>
        <v/>
      </c>
      <c r="K68" s="14" t="str">
        <f aca="false">IF(OR(E68="",E68="!!!",F68="NEW"),"",INDEX(J$1:J67,SUMPRODUCT(MAX(ROW(E$1:E67)*(E68=E$1:E67)))))</f>
        <v/>
      </c>
      <c r="L68" s="15"/>
    </row>
    <row r="69" customFormat="false" ht="12.75" hidden="false" customHeight="false" outlineLevel="0" collapsed="false">
      <c r="A69" s="0" t="s">
        <v>98</v>
      </c>
      <c r="E69" s="9" t="str">
        <f aca="false">IF(D69="?OLD","!!!","")</f>
        <v/>
      </c>
      <c r="F69" s="10" t="str">
        <f aca="false">IF(OR(E69="",E69="!!!"),"",IF(NOT(ISNA(VLOOKUP(E69,E$1:E68,1,FALSE()))),"OLD",IF(AND(E69&lt;&gt;"",E69&lt;&gt;"!!!"),"NEW","")))</f>
        <v/>
      </c>
      <c r="G69" s="11" t="str">
        <f aca="false">IF(OR(E69="",E69="!!!"),"",IF(OR(J69=0,AND(J69=1,K69=1),AND(J69=1,I69="SBJ"),AND(J69=1,I69=0)),"?IN_FOCUS",IF(J69&lt;=2,"?ACTIVATED",IF(J69&lt;&gt;"","?FAMILIAR",IF(F69="NEW",IF(ISNA(VLOOKUP(E69,#REF!,1,FALSE())),"?TYPE_IDENTIFIABLE","?REFERENTIAL"),"_")))))</f>
        <v/>
      </c>
      <c r="H69" s="12" t="str">
        <f aca="false">IF(J69&lt;&gt;1,"",IF(I69="SBJ","CB","?"))</f>
        <v/>
      </c>
      <c r="I69" s="13" t="str">
        <f aca="false">IF(OR(E69="",E69="!!!",F69="NEW"),"",INDEX(B$2:B68,-1+SUMPRODUCT(MAX(ROW(E$2:E68)*(E69=E$2:E68)))))</f>
        <v/>
      </c>
      <c r="J69" s="14" t="str">
        <f aca="true">IF(OR(E69="",E69="!!!",F69="NEW"),"",COUNTBLANK(OFFSET(A$1,,,SUMPRODUCT(MAX(ROW(E$2:E69)*(E69=E$2:E69)))))-COUNTBLANK(OFFSET(A$1,,,SUMPRODUCT(MAX(ROW(E$1:E68)*(E69=E$1:E68))))))</f>
        <v/>
      </c>
      <c r="K69" s="14" t="str">
        <f aca="false">IF(OR(E69="",E69="!!!",F69="NEW"),"",INDEX(J$1:J68,SUMPRODUCT(MAX(ROW(E$1:E68)*(E69=E$1:E68)))))</f>
        <v/>
      </c>
      <c r="L69" s="15"/>
    </row>
    <row r="70" customFormat="false" ht="12.75" hidden="false" customHeight="false" outlineLevel="0" collapsed="false">
      <c r="A70" s="0" t="s">
        <v>75</v>
      </c>
      <c r="E70" s="9" t="str">
        <f aca="false">IF(D70="?OLD","!!!","")</f>
        <v/>
      </c>
      <c r="F70" s="10" t="str">
        <f aca="false">IF(OR(E70="",E70="!!!"),"",IF(NOT(ISNA(VLOOKUP(E70,E$1:E69,1,FALSE()))),"OLD",IF(AND(E70&lt;&gt;"",E70&lt;&gt;"!!!"),"NEW","")))</f>
        <v/>
      </c>
      <c r="G70" s="11" t="str">
        <f aca="false">IF(OR(E70="",E70="!!!"),"",IF(OR(J70=0,AND(J70=1,K70=1),AND(J70=1,I70="SBJ"),AND(J70=1,I70=0)),"?IN_FOCUS",IF(J70&lt;=2,"?ACTIVATED",IF(J70&lt;&gt;"","?FAMILIAR",IF(F70="NEW",IF(ISNA(VLOOKUP(E70,#REF!,1,FALSE())),"?TYPE_IDENTIFIABLE","?REFERENTIAL"),"_")))))</f>
        <v/>
      </c>
      <c r="H70" s="12" t="str">
        <f aca="false">IF(J70&lt;&gt;1,"",IF(I70="SBJ","CB","?"))</f>
        <v/>
      </c>
      <c r="I70" s="13" t="str">
        <f aca="false">IF(OR(E70="",E70="!!!",F70="NEW"),"",INDEX(B$2:B69,-1+SUMPRODUCT(MAX(ROW(E$2:E69)*(E70=E$2:E69)))))</f>
        <v/>
      </c>
      <c r="J70" s="14" t="str">
        <f aca="true">IF(OR(E70="",E70="!!!",F70="NEW"),"",COUNTBLANK(OFFSET(A$1,,,SUMPRODUCT(MAX(ROW(E$2:E70)*(E70=E$2:E70)))))-COUNTBLANK(OFFSET(A$1,,,SUMPRODUCT(MAX(ROW(E$1:E69)*(E70=E$1:E69))))))</f>
        <v/>
      </c>
      <c r="K70" s="14" t="str">
        <f aca="false">IF(OR(E70="",E70="!!!",F70="NEW"),"",INDEX(J$1:J69,SUMPRODUCT(MAX(ROW(E$1:E69)*(E70=E$1:E69)))))</f>
        <v/>
      </c>
      <c r="L70" s="15"/>
    </row>
    <row r="71" customFormat="false" ht="12.75" hidden="false" customHeight="false" outlineLevel="0" collapsed="false">
      <c r="A71" s="0" t="s">
        <v>99</v>
      </c>
      <c r="E71" s="9" t="str">
        <f aca="false">IF(D71="?OLD","!!!","")</f>
        <v/>
      </c>
      <c r="F71" s="10" t="str">
        <f aca="false">IF(OR(E71="",E71="!!!"),"",IF(NOT(ISNA(VLOOKUP(E71,E$1:E70,1,FALSE()))),"OLD",IF(AND(E71&lt;&gt;"",E71&lt;&gt;"!!!"),"NEW","")))</f>
        <v/>
      </c>
      <c r="G71" s="11" t="str">
        <f aca="false">IF(OR(E71="",E71="!!!"),"",IF(OR(J71=0,AND(J71=1,K71=1),AND(J71=1,I71="SBJ"),AND(J71=1,I71=0)),"?IN_FOCUS",IF(J71&lt;=2,"?ACTIVATED",IF(J71&lt;&gt;"","?FAMILIAR",IF(F71="NEW",IF(ISNA(VLOOKUP(E71,#REF!,1,FALSE())),"?TYPE_IDENTIFIABLE","?REFERENTIAL"),"_")))))</f>
        <v/>
      </c>
      <c r="H71" s="12" t="str">
        <f aca="false">IF(J71&lt;&gt;1,"",IF(I71="SBJ","CB","?"))</f>
        <v/>
      </c>
      <c r="I71" s="13" t="str">
        <f aca="false">IF(OR(E71="",E71="!!!",F71="NEW"),"",INDEX(B$2:B70,-1+SUMPRODUCT(MAX(ROW(E$2:E70)*(E71=E$2:E70)))))</f>
        <v/>
      </c>
      <c r="J71" s="14" t="str">
        <f aca="true">IF(OR(E71="",E71="!!!",F71="NEW"),"",COUNTBLANK(OFFSET(A$1,,,SUMPRODUCT(MAX(ROW(E$2:E71)*(E71=E$2:E71)))))-COUNTBLANK(OFFSET(A$1,,,SUMPRODUCT(MAX(ROW(E$1:E70)*(E71=E$1:E70))))))</f>
        <v/>
      </c>
      <c r="K71" s="14" t="str">
        <f aca="false">IF(OR(E71="",E71="!!!",F71="NEW"),"",INDEX(J$1:J70,SUMPRODUCT(MAX(ROW(E$1:E70)*(E71=E$1:E70)))))</f>
        <v/>
      </c>
      <c r="L71" s="15"/>
    </row>
    <row r="72" customFormat="false" ht="12.75" hidden="false" customHeight="false" outlineLevel="0" collapsed="false">
      <c r="A72" s="0" t="s">
        <v>79</v>
      </c>
      <c r="E72" s="9" t="str">
        <f aca="false">IF(D72="?OLD","!!!","")</f>
        <v/>
      </c>
      <c r="F72" s="10" t="str">
        <f aca="false">IF(OR(E72="",E72="!!!"),"",IF(NOT(ISNA(VLOOKUP(E72,E$1:E71,1,FALSE()))),"OLD",IF(AND(E72&lt;&gt;"",E72&lt;&gt;"!!!"),"NEW","")))</f>
        <v/>
      </c>
      <c r="G72" s="11" t="str">
        <f aca="false">IF(OR(E72="",E72="!!!"),"",IF(OR(J72=0,AND(J72=1,K72=1),AND(J72=1,I72="SBJ"),AND(J72=1,I72=0)),"?IN_FOCUS",IF(J72&lt;=2,"?ACTIVATED",IF(J72&lt;&gt;"","?FAMILIAR",IF(F72="NEW",IF(ISNA(VLOOKUP(E72,#REF!,1,FALSE())),"?TYPE_IDENTIFIABLE","?REFERENTIAL"),"_")))))</f>
        <v/>
      </c>
      <c r="H72" s="12" t="str">
        <f aca="false">IF(J72&lt;&gt;1,"",IF(I72="SBJ","CB","?"))</f>
        <v/>
      </c>
      <c r="I72" s="13" t="str">
        <f aca="false">IF(OR(E72="",E72="!!!",F72="NEW"),"",INDEX(B$2:B71,-1+SUMPRODUCT(MAX(ROW(E$2:E71)*(E72=E$2:E71)))))</f>
        <v/>
      </c>
      <c r="J72" s="14" t="str">
        <f aca="true">IF(OR(E72="",E72="!!!",F72="NEW"),"",COUNTBLANK(OFFSET(A$1,,,SUMPRODUCT(MAX(ROW(E$2:E72)*(E72=E$2:E72)))))-COUNTBLANK(OFFSET(A$1,,,SUMPRODUCT(MAX(ROW(E$1:E71)*(E72=E$1:E71))))))</f>
        <v/>
      </c>
      <c r="K72" s="14" t="str">
        <f aca="false">IF(OR(E72="",E72="!!!",F72="NEW"),"",INDEX(J$1:J71,SUMPRODUCT(MAX(ROW(E$1:E71)*(E72=E$1:E71)))))</f>
        <v/>
      </c>
      <c r="L72" s="15"/>
    </row>
    <row r="73" customFormat="false" ht="12.75" hidden="false" customHeight="false" outlineLevel="0" collapsed="false">
      <c r="A73" s="0" t="s">
        <v>53</v>
      </c>
      <c r="B73" s="0" t="s">
        <v>62</v>
      </c>
      <c r="C73" s="0" t="s">
        <v>55</v>
      </c>
      <c r="D73" s="0" t="s">
        <v>56</v>
      </c>
      <c r="E73" s="9" t="s">
        <v>24</v>
      </c>
      <c r="F73" s="10" t="str">
        <f aca="false">IF(OR(E73="",E73="!!!"),"",IF(NOT(ISNA(VLOOKUP(E73,E$1:E72,1,FALSE()))),"OLD",IF(AND(E73&lt;&gt;"",E73&lt;&gt;"!!!"),"NEW","")))</f>
        <v>OLD</v>
      </c>
      <c r="G73" s="11" t="s">
        <v>80</v>
      </c>
      <c r="H73" s="12" t="s">
        <v>7</v>
      </c>
      <c r="I73" s="13" t="str">
        <f aca="false">IF(OR(E73="",E73="!!!",F73="NEW"),"",INDEX(B$2:B72,-1+SUMPRODUCT(MAX(ROW(E$2:E72)*(E73=E$2:E72)))))</f>
        <v>other_6</v>
      </c>
      <c r="J73" s="14" t="n">
        <f aca="true">IF(OR(E73="",E73="!!!",F73="NEW"),"",COUNTBLANK(OFFSET(A$1,,,SUMPRODUCT(MAX(ROW(E$2:E73)*(E73=E$2:E73)))))-COUNTBLANK(OFFSET(A$1,,,SUMPRODUCT(MAX(ROW(E$1:E72)*(E73=E$1:E72))))))</f>
        <v>1</v>
      </c>
      <c r="K73" s="14" t="n">
        <f aca="false">IF(OR(E73="",E73="!!!",F73="NEW"),"",INDEX(J$1:J72,SUMPRODUCT(MAX(ROW(E$1:E72)*(E73=E$1:E72)))))</f>
        <v>0</v>
      </c>
      <c r="L73" s="15"/>
    </row>
    <row r="74" customFormat="false" ht="12.75" hidden="false" customHeight="false" outlineLevel="0" collapsed="false">
      <c r="A74" s="0" t="s">
        <v>100</v>
      </c>
      <c r="E74" s="9" t="str">
        <f aca="false">IF(D74="?OLD","!!!","")</f>
        <v/>
      </c>
      <c r="F74" s="10" t="str">
        <f aca="false">IF(OR(E74="",E74="!!!"),"",IF(NOT(ISNA(VLOOKUP(E74,E$1:E73,1,FALSE()))),"OLD",IF(AND(E74&lt;&gt;"",E74&lt;&gt;"!!!"),"NEW","")))</f>
        <v/>
      </c>
      <c r="G74" s="11" t="str">
        <f aca="false">IF(OR(E74="",E74="!!!"),"",IF(OR(J74=0,AND(J74=1,K74=1),AND(J74=1,I74="SBJ"),AND(J74=1,I74=0)),"?IN_FOCUS",IF(J74&lt;=2,"?ACTIVATED",IF(J74&lt;&gt;"","?FAMILIAR",IF(F74="NEW",IF(ISNA(VLOOKUP(E74,#REF!,1,FALSE())),"?TYPE_IDENTIFIABLE","?REFERENTIAL"),"_")))))</f>
        <v/>
      </c>
      <c r="H74" s="12" t="str">
        <f aca="false">IF(J74&lt;&gt;1,"",IF(I74="SBJ","CB","?"))</f>
        <v/>
      </c>
      <c r="I74" s="13" t="str">
        <f aca="false">IF(OR(E74="",E74="!!!",F74="NEW"),"",INDEX(B$2:B73,-1+SUMPRODUCT(MAX(ROW(E$2:E73)*(E74=E$2:E73)))))</f>
        <v/>
      </c>
      <c r="J74" s="14" t="str">
        <f aca="true">IF(OR(E74="",E74="!!!",F74="NEW"),"",COUNTBLANK(OFFSET(A$1,,,SUMPRODUCT(MAX(ROW(E$2:E74)*(E74=E$2:E74)))))-COUNTBLANK(OFFSET(A$1,,,SUMPRODUCT(MAX(ROW(E$1:E73)*(E74=E$1:E73))))))</f>
        <v/>
      </c>
      <c r="K74" s="14" t="str">
        <f aca="false">IF(OR(E74="",E74="!!!",F74="NEW"),"",INDEX(J$1:J73,SUMPRODUCT(MAX(ROW(E$1:E73)*(E74=E$1:E73)))))</f>
        <v/>
      </c>
      <c r="L74" s="15"/>
    </row>
    <row r="75" customFormat="false" ht="12.75" hidden="false" customHeight="false" outlineLevel="0" collapsed="false">
      <c r="A75" s="0" t="s">
        <v>101</v>
      </c>
      <c r="B75" s="0" t="s">
        <v>62</v>
      </c>
      <c r="C75" s="0" t="s">
        <v>15</v>
      </c>
      <c r="D75" s="0" t="s">
        <v>29</v>
      </c>
      <c r="E75" s="9" t="s">
        <v>68</v>
      </c>
      <c r="F75" s="10" t="s">
        <v>69</v>
      </c>
      <c r="G75" s="11"/>
      <c r="H75" s="12"/>
      <c r="I75" s="13" t="str">
        <f aca="false">IF(OR(E75="",E75="!!!",F75="NEW"),"",INDEX(B$2:B74,-1+SUMPRODUCT(MAX(ROW(E$2:E74)*(E75=E$2:E74)))))</f>
        <v>OBJ_5</v>
      </c>
      <c r="J75" s="14" t="n">
        <f aca="true">IF(OR(E75="",E75="!!!",F75="NEW"),"",COUNTBLANK(OFFSET(A$1,,,SUMPRODUCT(MAX(ROW(E$2:E75)*(E75=E$2:E75)))))-COUNTBLANK(OFFSET(A$1,,,SUMPRODUCT(MAX(ROW(E$1:E74)*(E75=E$1:E74))))))</f>
        <v>1</v>
      </c>
      <c r="K75" s="14" t="n">
        <f aca="false">IF(OR(E75="",E75="!!!",F75="NEW"),"",INDEX(J$1:J74,SUMPRODUCT(MAX(ROW(E$1:E74)*(E75=E$1:E74)))))</f>
        <v>0</v>
      </c>
      <c r="L75" s="15"/>
    </row>
    <row r="76" customFormat="false" ht="12.75" hidden="false" customHeight="false" outlineLevel="0" collapsed="false">
      <c r="A76" s="0" t="s">
        <v>31</v>
      </c>
      <c r="E76" s="9" t="str">
        <f aca="false">IF(D76="?OLD","!!!","")</f>
        <v/>
      </c>
      <c r="F76" s="10" t="str">
        <f aca="false">IF(OR(E76="",E76="!!!"),"",IF(NOT(ISNA(VLOOKUP(E76,E$1:E75,1,FALSE()))),"OLD",IF(AND(E76&lt;&gt;"",E76&lt;&gt;"!!!"),"NEW","")))</f>
        <v/>
      </c>
      <c r="G76" s="11" t="str">
        <f aca="false">IF(OR(E76="",E76="!!!"),"",IF(OR(J76=0,AND(J76=1,K76=1),AND(J76=1,I76="SBJ"),AND(J76=1,I76=0)),"?IN_FOCUS",IF(J76&lt;=2,"?ACTIVATED",IF(J76&lt;&gt;"","?FAMILIAR",IF(F76="NEW",IF(ISNA(VLOOKUP(E76,#REF!,1,FALSE())),"?TYPE_IDENTIFIABLE","?REFERENTIAL"),"_")))))</f>
        <v/>
      </c>
      <c r="H76" s="12" t="str">
        <f aca="false">IF(J76&lt;&gt;1,"",IF(I76="SBJ","CB","?"))</f>
        <v/>
      </c>
      <c r="I76" s="13" t="str">
        <f aca="false">IF(OR(E76="",E76="!!!",F76="NEW"),"",INDEX(B$2:B75,-1+SUMPRODUCT(MAX(ROW(E$2:E75)*(E76=E$2:E75)))))</f>
        <v/>
      </c>
      <c r="J76" s="14" t="str">
        <f aca="true">IF(OR(E76="",E76="!!!",F76="NEW"),"",COUNTBLANK(OFFSET(A$1,,,SUMPRODUCT(MAX(ROW(E$2:E76)*(E76=E$2:E76)))))-COUNTBLANK(OFFSET(A$1,,,SUMPRODUCT(MAX(ROW(E$1:E75)*(E76=E$1:E75))))))</f>
        <v/>
      </c>
      <c r="K76" s="14" t="str">
        <f aca="false">IF(OR(E76="",E76="!!!",F76="NEW"),"",INDEX(J$1:J75,SUMPRODUCT(MAX(ROW(E$1:E75)*(E76=E$1:E75)))))</f>
        <v/>
      </c>
      <c r="L76" s="15"/>
    </row>
    <row r="77" customFormat="false" ht="12.75" hidden="false" customHeight="false" outlineLevel="0" collapsed="false">
      <c r="A77" s="0" t="s">
        <v>85</v>
      </c>
      <c r="B77" s="0" t="s">
        <v>42</v>
      </c>
      <c r="E77" s="9" t="str">
        <f aca="false">IF(D77="?OLD","!!!","")</f>
        <v/>
      </c>
      <c r="F77" s="10" t="str">
        <f aca="false">IF(OR(E77="",E77="!!!"),"",IF(NOT(ISNA(VLOOKUP(E77,E$1:E76,1,FALSE()))),"OLD",IF(AND(E77&lt;&gt;"",E77&lt;&gt;"!!!"),"NEW","")))</f>
        <v/>
      </c>
      <c r="G77" s="11" t="str">
        <f aca="false">IF(OR(E77="",E77="!!!"),"",IF(OR(J77=0,AND(J77=1,K77=1),AND(J77=1,I77="SBJ"),AND(J77=1,I77=0)),"?IN_FOCUS",IF(J77&lt;=2,"?ACTIVATED",IF(J77&lt;&gt;"","?FAMILIAR",IF(F77="NEW",IF(ISNA(VLOOKUP(E77,#REF!,1,FALSE())),"?TYPE_IDENTIFIABLE","?REFERENTIAL"),"_")))))</f>
        <v/>
      </c>
      <c r="H77" s="12" t="str">
        <f aca="false">IF(J77&lt;&gt;1,"",IF(I77="SBJ","CB","?"))</f>
        <v/>
      </c>
      <c r="I77" s="13" t="str">
        <f aca="false">IF(OR(E77="",E77="!!!",F77="NEW"),"",INDEX(B$2:B76,-1+SUMPRODUCT(MAX(ROW(E$2:E76)*(E77=E$2:E76)))))</f>
        <v/>
      </c>
      <c r="J77" s="14" t="str">
        <f aca="true">IF(OR(E77="",E77="!!!",F77="NEW"),"",COUNTBLANK(OFFSET(A$1,,,SUMPRODUCT(MAX(ROW(E$2:E77)*(E77=E$2:E77)))))-COUNTBLANK(OFFSET(A$1,,,SUMPRODUCT(MAX(ROW(E$1:E76)*(E77=E$1:E76))))))</f>
        <v/>
      </c>
      <c r="K77" s="14" t="str">
        <f aca="false">IF(OR(E77="",E77="!!!",F77="NEW"),"",INDEX(J$1:J76,SUMPRODUCT(MAX(ROW(E$1:E76)*(E77=E$1:E76)))))</f>
        <v/>
      </c>
      <c r="L77" s="15"/>
    </row>
    <row r="78" customFormat="false" ht="12.75" hidden="false" customHeight="false" outlineLevel="0" collapsed="false">
      <c r="A78" s="0" t="s">
        <v>102</v>
      </c>
      <c r="E78" s="9" t="str">
        <f aca="false">IF(D78="?OLD","!!!","")</f>
        <v/>
      </c>
      <c r="F78" s="10" t="str">
        <f aca="false">IF(OR(E78="",E78="!!!"),"",IF(NOT(ISNA(VLOOKUP(E78,E$1:E77,1,FALSE()))),"OLD",IF(AND(E78&lt;&gt;"",E78&lt;&gt;"!!!"),"NEW","")))</f>
        <v/>
      </c>
      <c r="G78" s="11" t="str">
        <f aca="false">IF(OR(E78="",E78="!!!"),"",IF(OR(J78=0,AND(J78=1,K78=1),AND(J78=1,I78="SBJ"),AND(J78=1,I78=0)),"?IN_FOCUS",IF(J78&lt;=2,"?ACTIVATED",IF(J78&lt;&gt;"","?FAMILIAR",IF(F78="NEW",IF(ISNA(VLOOKUP(E78,#REF!,1,FALSE())),"?TYPE_IDENTIFIABLE","?REFERENTIAL"),"_")))))</f>
        <v/>
      </c>
      <c r="H78" s="12" t="str">
        <f aca="false">IF(J78&lt;&gt;1,"",IF(I78="SBJ","CB","?"))</f>
        <v/>
      </c>
      <c r="I78" s="13" t="str">
        <f aca="false">IF(OR(E78="",E78="!!!",F78="NEW"),"",INDEX(B$2:B77,-1+SUMPRODUCT(MAX(ROW(E$2:E77)*(E78=E$2:E77)))))</f>
        <v/>
      </c>
      <c r="J78" s="14" t="str">
        <f aca="true">IF(OR(E78="",E78="!!!",F78="NEW"),"",COUNTBLANK(OFFSET(A$1,,,SUMPRODUCT(MAX(ROW(E$2:E78)*(E78=E$2:E78)))))-COUNTBLANK(OFFSET(A$1,,,SUMPRODUCT(MAX(ROW(E$1:E77)*(E78=E$1:E77))))))</f>
        <v/>
      </c>
      <c r="K78" s="14" t="str">
        <f aca="false">IF(OR(E78="",E78="!!!",F78="NEW"),"",INDEX(J$1:J77,SUMPRODUCT(MAX(ROW(E$1:E77)*(E78=E$1:E77)))))</f>
        <v/>
      </c>
      <c r="L78" s="15"/>
    </row>
    <row r="79" customFormat="false" ht="12.75" hidden="false" customHeight="false" outlineLevel="0" collapsed="false">
      <c r="A79" s="0" t="s">
        <v>97</v>
      </c>
      <c r="B79" s="0" t="s">
        <v>103</v>
      </c>
      <c r="C79" s="0" t="s">
        <v>38</v>
      </c>
      <c r="D79" s="0" t="s">
        <v>56</v>
      </c>
      <c r="E79" s="9" t="s">
        <v>24</v>
      </c>
      <c r="F79" s="10" t="str">
        <f aca="false">IF(OR(E79="",E79="!!!"),"",IF(NOT(ISNA(VLOOKUP(E79,E$1:E78,1,FALSE()))),"OLD",IF(AND(E79&lt;&gt;"",E79&lt;&gt;"!!!"),"NEW","")))</f>
        <v>OLD</v>
      </c>
      <c r="G79" s="11" t="s">
        <v>80</v>
      </c>
      <c r="H79" s="12" t="str">
        <f aca="false">IF(J79&lt;&gt;1,"",IF(I79="SBJ","CB","?"))</f>
        <v/>
      </c>
      <c r="I79" s="13" t="str">
        <f aca="false">IF(OR(E79="",E79="!!!",F79="NEW"),"",INDEX(B$2:B78,-1+SUMPRODUCT(MAX(ROW(E$2:E78)*(E79=E$2:E78)))))</f>
        <v>other</v>
      </c>
      <c r="J79" s="14" t="n">
        <f aca="true">IF(OR(E79="",E79="!!!",F79="NEW"),"",COUNTBLANK(OFFSET(A$1,,,SUMPRODUCT(MAX(ROW(E$2:E79)*(E79=E$2:E79)))))-COUNTBLANK(OFFSET(A$1,,,SUMPRODUCT(MAX(ROW(E$1:E78)*(E79=E$1:E78))))))</f>
        <v>0</v>
      </c>
      <c r="K79" s="14" t="n">
        <f aca="false">IF(OR(E79="",E79="!!!",F79="NEW"),"",INDEX(J$1:J78,SUMPRODUCT(MAX(ROW(E$1:E78)*(E79=E$1:E78)))))</f>
        <v>1</v>
      </c>
      <c r="L79" s="15"/>
    </row>
    <row r="80" customFormat="false" ht="12.75" hidden="false" customHeight="false" outlineLevel="0" collapsed="false">
      <c r="A80" s="0" t="s">
        <v>104</v>
      </c>
      <c r="E80" s="9" t="str">
        <f aca="false">IF(D80="?OLD","!!!","")</f>
        <v/>
      </c>
      <c r="F80" s="10" t="str">
        <f aca="false">IF(OR(E80="",E80="!!!"),"",IF(NOT(ISNA(VLOOKUP(E80,E$1:E79,1,FALSE()))),"OLD",IF(AND(E80&lt;&gt;"",E80&lt;&gt;"!!!"),"NEW","")))</f>
        <v/>
      </c>
      <c r="G80" s="11" t="str">
        <f aca="false">IF(OR(E80="",E80="!!!"),"",IF(OR(J80=0,AND(J80=1,K80=1),AND(J80=1,I80="SBJ"),AND(J80=1,I80=0)),"?IN_FOCUS",IF(J80&lt;=2,"?ACTIVATED",IF(J80&lt;&gt;"","?FAMILIAR",IF(F80="NEW",IF(ISNA(VLOOKUP(E80,#REF!,1,FALSE())),"?TYPE_IDENTIFIABLE","?REFERENTIAL"),"_")))))</f>
        <v/>
      </c>
      <c r="H80" s="12" t="str">
        <f aca="false">IF(J80&lt;&gt;1,"",IF(I80="SBJ","CB","?"))</f>
        <v/>
      </c>
      <c r="I80" s="13" t="str">
        <f aca="false">IF(OR(E80="",E80="!!!",F80="NEW"),"",INDEX(B$2:B79,-1+SUMPRODUCT(MAX(ROW(E$2:E79)*(E80=E$2:E79)))))</f>
        <v/>
      </c>
      <c r="J80" s="14" t="str">
        <f aca="true">IF(OR(E80="",E80="!!!",F80="NEW"),"",COUNTBLANK(OFFSET(A$1,,,SUMPRODUCT(MAX(ROW(E$2:E80)*(E80=E$2:E80)))))-COUNTBLANK(OFFSET(A$1,,,SUMPRODUCT(MAX(ROW(E$1:E79)*(E80=E$1:E79))))))</f>
        <v/>
      </c>
      <c r="K80" s="14" t="str">
        <f aca="false">IF(OR(E80="",E80="!!!",F80="NEW"),"",INDEX(J$1:J79,SUMPRODUCT(MAX(ROW(E$1:E79)*(E80=E$1:E79)))))</f>
        <v/>
      </c>
      <c r="L80" s="15"/>
    </row>
    <row r="81" customFormat="false" ht="12.75" hidden="false" customHeight="false" outlineLevel="0" collapsed="false">
      <c r="A81" s="0" t="s">
        <v>51</v>
      </c>
      <c r="E81" s="9" t="str">
        <f aca="false">IF(D81="?OLD","!!!","")</f>
        <v/>
      </c>
      <c r="F81" s="10" t="str">
        <f aca="false">IF(OR(E81="",E81="!!!"),"",IF(NOT(ISNA(VLOOKUP(E81,E$1:E80,1,FALSE()))),"OLD",IF(AND(E81&lt;&gt;"",E81&lt;&gt;"!!!"),"NEW","")))</f>
        <v/>
      </c>
      <c r="G81" s="11" t="str">
        <f aca="false">IF(OR(E81="",E81="!!!"),"",IF(OR(J81=0,AND(J81=1,K81=1),AND(J81=1,I81="SBJ"),AND(J81=1,I81=0)),"?IN_FOCUS",IF(J81&lt;=2,"?ACTIVATED",IF(J81&lt;&gt;"","?FAMILIAR",IF(F81="NEW",IF(ISNA(VLOOKUP(E81,#REF!,1,FALSE())),"?TYPE_IDENTIFIABLE","?REFERENTIAL"),"_")))))</f>
        <v/>
      </c>
      <c r="H81" s="12" t="str">
        <f aca="false">IF(J81&lt;&gt;1,"",IF(I81="SBJ","CB","?"))</f>
        <v/>
      </c>
      <c r="I81" s="13" t="str">
        <f aca="false">IF(OR(E81="",E81="!!!",F81="NEW"),"",INDEX(B$2:B80,-1+SUMPRODUCT(MAX(ROW(E$2:E80)*(E81=E$2:E80)))))</f>
        <v/>
      </c>
      <c r="J81" s="14" t="str">
        <f aca="true">IF(OR(E81="",E81="!!!",F81="NEW"),"",COUNTBLANK(OFFSET(A$1,,,SUMPRODUCT(MAX(ROW(E$2:E81)*(E81=E$2:E81)))))-COUNTBLANK(OFFSET(A$1,,,SUMPRODUCT(MAX(ROW(E$1:E80)*(E81=E$1:E80))))))</f>
        <v/>
      </c>
      <c r="K81" s="14" t="str">
        <f aca="false">IF(OR(E81="",E81="!!!",F81="NEW"),"",INDEX(J$1:J80,SUMPRODUCT(MAX(ROW(E$1:E80)*(E81=E$1:E80)))))</f>
        <v/>
      </c>
      <c r="L81" s="15"/>
    </row>
    <row r="82" customFormat="false" ht="12.75" hidden="false" customHeight="false" outlineLevel="0" collapsed="false">
      <c r="A82" s="0" t="s">
        <v>105</v>
      </c>
      <c r="E82" s="9" t="str">
        <f aca="false">IF(D82="?OLD","!!!","")</f>
        <v/>
      </c>
      <c r="F82" s="10" t="str">
        <f aca="false">IF(OR(E82="",E82="!!!"),"",IF(NOT(ISNA(VLOOKUP(E82,E$1:E81,1,FALSE()))),"OLD",IF(AND(E82&lt;&gt;"",E82&lt;&gt;"!!!"),"NEW","")))</f>
        <v/>
      </c>
      <c r="G82" s="11" t="str">
        <f aca="false">IF(OR(E82="",E82="!!!"),"",IF(OR(J82=0,AND(J82=1,K82=1),AND(J82=1,I82="SBJ"),AND(J82=1,I82=0)),"?IN_FOCUS",IF(J82&lt;=2,"?ACTIVATED",IF(J82&lt;&gt;"","?FAMILIAR",IF(F82="NEW",IF(ISNA(VLOOKUP(E82,#REF!,1,FALSE())),"?TYPE_IDENTIFIABLE","?REFERENTIAL"),"_")))))</f>
        <v/>
      </c>
      <c r="H82" s="12" t="str">
        <f aca="false">IF(J82&lt;&gt;1,"",IF(I82="SBJ","CB","?"))</f>
        <v/>
      </c>
      <c r="I82" s="13" t="str">
        <f aca="false">IF(OR(E82="",E82="!!!",F82="NEW"),"",INDEX(B$2:B81,-1+SUMPRODUCT(MAX(ROW(E$2:E81)*(E82=E$2:E81)))))</f>
        <v/>
      </c>
      <c r="J82" s="14" t="str">
        <f aca="true">IF(OR(E82="",E82="!!!",F82="NEW"),"",COUNTBLANK(OFFSET(A$1,,,SUMPRODUCT(MAX(ROW(E$2:E82)*(E82=E$2:E82)))))-COUNTBLANK(OFFSET(A$1,,,SUMPRODUCT(MAX(ROW(E$1:E81)*(E82=E$1:E81))))))</f>
        <v/>
      </c>
      <c r="K82" s="14" t="str">
        <f aca="false">IF(OR(E82="",E82="!!!",F82="NEW"),"",INDEX(J$1:J81,SUMPRODUCT(MAX(ROW(E$1:E81)*(E82=E$1:E81)))))</f>
        <v/>
      </c>
      <c r="L82" s="15"/>
    </row>
    <row r="83" customFormat="false" ht="12.75" hidden="false" customHeight="false" outlineLevel="0" collapsed="false">
      <c r="A83" s="0" t="s">
        <v>61</v>
      </c>
      <c r="E83" s="9" t="str">
        <f aca="false">IF(D83="?OLD","!!!","")</f>
        <v/>
      </c>
      <c r="F83" s="10" t="str">
        <f aca="false">IF(OR(E83="",E83="!!!"),"",IF(NOT(ISNA(VLOOKUP(E83,E$1:E82,1,FALSE()))),"OLD",IF(AND(E83&lt;&gt;"",E83&lt;&gt;"!!!"),"NEW","")))</f>
        <v/>
      </c>
      <c r="G83" s="11" t="str">
        <f aca="false">IF(OR(E83="",E83="!!!"),"",IF(OR(J83=0,AND(J83=1,K83=1),AND(J83=1,I83="SBJ"),AND(J83=1,I83=0)),"?IN_FOCUS",IF(J83&lt;=2,"?ACTIVATED",IF(J83&lt;&gt;"","?FAMILIAR",IF(F83="NEW",IF(ISNA(VLOOKUP(E83,#REF!,1,FALSE())),"?TYPE_IDENTIFIABLE","?REFERENTIAL"),"_")))))</f>
        <v/>
      </c>
      <c r="H83" s="12" t="str">
        <f aca="false">IF(J83&lt;&gt;1,"",IF(I83="SBJ","CB","?"))</f>
        <v/>
      </c>
      <c r="I83" s="13" t="str">
        <f aca="false">IF(OR(E83="",E83="!!!",F83="NEW"),"",INDEX(B$2:B82,-1+SUMPRODUCT(MAX(ROW(E$2:E82)*(E83=E$2:E82)))))</f>
        <v/>
      </c>
      <c r="J83" s="14" t="str">
        <f aca="true">IF(OR(E83="",E83="!!!",F83="NEW"),"",COUNTBLANK(OFFSET(A$1,,,SUMPRODUCT(MAX(ROW(E$2:E83)*(E83=E$2:E83)))))-COUNTBLANK(OFFSET(A$1,,,SUMPRODUCT(MAX(ROW(E$1:E82)*(E83=E$1:E82))))))</f>
        <v/>
      </c>
      <c r="K83" s="14" t="str">
        <f aca="false">IF(OR(E83="",E83="!!!",F83="NEW"),"",INDEX(J$1:J82,SUMPRODUCT(MAX(ROW(E$1:E82)*(E83=E$1:E82)))))</f>
        <v/>
      </c>
      <c r="L83" s="15"/>
    </row>
    <row r="84" customFormat="false" ht="12.75" hidden="false" customHeight="false" outlineLevel="0" collapsed="false">
      <c r="A84" s="0" t="s">
        <v>106</v>
      </c>
      <c r="B84" s="0" t="s">
        <v>107</v>
      </c>
      <c r="C84" s="0" t="s">
        <v>43</v>
      </c>
      <c r="E84" s="9" t="str">
        <f aca="false">IF(D84="?OLD","!!!","")</f>
        <v/>
      </c>
      <c r="F84" s="10" t="str">
        <f aca="false">IF(OR(E84="",E84="!!!"),"",IF(NOT(ISNA(VLOOKUP(E84,E$1:E83,1,FALSE()))),"OLD",IF(AND(E84&lt;&gt;"",E84&lt;&gt;"!!!"),"NEW","")))</f>
        <v/>
      </c>
      <c r="G84" s="11" t="str">
        <f aca="false">IF(OR(E84="",E84="!!!"),"",IF(OR(J84=0,AND(J84=1,K84=1),AND(J84=1,I84="SBJ"),AND(J84=1,I84=0)),"?IN_FOCUS",IF(J84&lt;=2,"?ACTIVATED",IF(J84&lt;&gt;"","?FAMILIAR",IF(F84="NEW",IF(ISNA(VLOOKUP(E84,#REF!,1,FALSE())),"?TYPE_IDENTIFIABLE","?REFERENTIAL"),"_")))))</f>
        <v/>
      </c>
      <c r="H84" s="12" t="str">
        <f aca="false">IF(J84&lt;&gt;1,"",IF(I84="SBJ","CB","?"))</f>
        <v/>
      </c>
      <c r="I84" s="13" t="str">
        <f aca="false">IF(OR(E84="",E84="!!!",F84="NEW"),"",INDEX(B$2:B83,-1+SUMPRODUCT(MAX(ROW(E$2:E83)*(E84=E$2:E83)))))</f>
        <v/>
      </c>
      <c r="J84" s="14" t="str">
        <f aca="true">IF(OR(E84="",E84="!!!",F84="NEW"),"",COUNTBLANK(OFFSET(A$1,,,SUMPRODUCT(MAX(ROW(E$2:E84)*(E84=E$2:E84)))))-COUNTBLANK(OFFSET(A$1,,,SUMPRODUCT(MAX(ROW(E$1:E83)*(E84=E$1:E83))))))</f>
        <v/>
      </c>
      <c r="K84" s="14" t="str">
        <f aca="false">IF(OR(E84="",E84="!!!",F84="NEW"),"",INDEX(J$1:J83,SUMPRODUCT(MAX(ROW(E$1:E83)*(E84=E$1:E83)))))</f>
        <v/>
      </c>
      <c r="L84" s="15"/>
    </row>
    <row r="85" customFormat="false" ht="12.75" hidden="false" customHeight="false" outlineLevel="0" collapsed="false">
      <c r="A85" s="0" t="s">
        <v>73</v>
      </c>
      <c r="E85" s="9" t="str">
        <f aca="false">IF(D85="?OLD","!!!","")</f>
        <v/>
      </c>
      <c r="F85" s="10" t="str">
        <f aca="false">IF(OR(E85="",E85="!!!"),"",IF(NOT(ISNA(VLOOKUP(E85,E$1:E84,1,FALSE()))),"OLD",IF(AND(E85&lt;&gt;"",E85&lt;&gt;"!!!"),"NEW","")))</f>
        <v/>
      </c>
      <c r="G85" s="11" t="str">
        <f aca="false">IF(OR(E85="",E85="!!!"),"",IF(OR(J85=0,AND(J85=1,K85=1),AND(J85=1,I85="SBJ"),AND(J85=1,I85=0)),"?IN_FOCUS",IF(J85&lt;=2,"?ACTIVATED",IF(J85&lt;&gt;"","?FAMILIAR",IF(F85="NEW",IF(ISNA(VLOOKUP(E85,#REF!,1,FALSE())),"?TYPE_IDENTIFIABLE","?REFERENTIAL"),"_")))))</f>
        <v/>
      </c>
      <c r="H85" s="12" t="str">
        <f aca="false">IF(J85&lt;&gt;1,"",IF(I85="SBJ","CB","?"))</f>
        <v/>
      </c>
      <c r="I85" s="13" t="str">
        <f aca="false">IF(OR(E85="",E85="!!!",F85="NEW"),"",INDEX(B$2:B84,-1+SUMPRODUCT(MAX(ROW(E$2:E84)*(E85=E$2:E84)))))</f>
        <v/>
      </c>
      <c r="J85" s="14" t="str">
        <f aca="true">IF(OR(E85="",E85="!!!",F85="NEW"),"",COUNTBLANK(OFFSET(A$1,,,SUMPRODUCT(MAX(ROW(E$2:E85)*(E85=E$2:E85)))))-COUNTBLANK(OFFSET(A$1,,,SUMPRODUCT(MAX(ROW(E$1:E84)*(E85=E$1:E84))))))</f>
        <v/>
      </c>
      <c r="K85" s="14" t="str">
        <f aca="false">IF(OR(E85="",E85="!!!",F85="NEW"),"",INDEX(J$1:J84,SUMPRODUCT(MAX(ROW(E$1:E84)*(E85=E$1:E84)))))</f>
        <v/>
      </c>
      <c r="L85" s="15"/>
    </row>
    <row r="86" customFormat="false" ht="12.75" hidden="false" customHeight="false" outlineLevel="0" collapsed="false">
      <c r="E86" s="9" t="str">
        <f aca="false">IF(D86="?OLD","!!!","")</f>
        <v/>
      </c>
      <c r="F86" s="10" t="str">
        <f aca="false">IF(OR(E86="",E86="!!!"),"",IF(NOT(ISNA(VLOOKUP(E86,E$1:E85,1,FALSE()))),"OLD",IF(AND(E86&lt;&gt;"",E86&lt;&gt;"!!!"),"NEW","")))</f>
        <v/>
      </c>
      <c r="G86" s="11" t="str">
        <f aca="false">IF(OR(E86="",E86="!!!"),"",IF(OR(J86=0,AND(J86=1,K86=1),AND(J86=1,I86="SBJ"),AND(J86=1,I86=0)),"?IN_FOCUS",IF(J86&lt;=2,"?ACTIVATED",IF(J86&lt;&gt;"","?FAMILIAR",IF(F86="NEW",IF(ISNA(VLOOKUP(E86,#REF!,1,FALSE())),"?TYPE_IDENTIFIABLE","?REFERENTIAL"),"_")))))</f>
        <v/>
      </c>
      <c r="H86" s="12" t="str">
        <f aca="false">IF(J86&lt;&gt;1,"",IF(I86="SBJ","CB","?"))</f>
        <v/>
      </c>
      <c r="I86" s="13" t="str">
        <f aca="false">IF(OR(E86="",E86="!!!",F86="NEW"),"",INDEX(B$2:B85,-1+SUMPRODUCT(MAX(ROW(E$2:E85)*(E86=E$2:E85)))))</f>
        <v/>
      </c>
      <c r="J86" s="14" t="str">
        <f aca="true">IF(OR(E86="",E86="!!!",F86="NEW"),"",COUNTBLANK(OFFSET(A$1,,,SUMPRODUCT(MAX(ROW(E$2:E86)*(E86=E$2:E86)))))-COUNTBLANK(OFFSET(A$1,,,SUMPRODUCT(MAX(ROW(E$1:E85)*(E86=E$1:E85))))))</f>
        <v/>
      </c>
      <c r="K86" s="14" t="str">
        <f aca="false">IF(OR(E86="",E86="!!!",F86="NEW"),"",INDEX(J$1:J85,SUMPRODUCT(MAX(ROW(E$1:E85)*(E86=E$1:E85)))))</f>
        <v/>
      </c>
      <c r="L86" s="15"/>
    </row>
    <row r="87" customFormat="false" ht="12.75" hidden="false" customHeight="false" outlineLevel="0" collapsed="false">
      <c r="A87" s="0" t="s">
        <v>108</v>
      </c>
      <c r="E87" s="9" t="str">
        <f aca="false">IF(D87="?OLD","!!!","")</f>
        <v/>
      </c>
      <c r="F87" s="10" t="str">
        <f aca="false">IF(OR(E87="",E87="!!!"),"",IF(NOT(ISNA(VLOOKUP(E87,E$1:E86,1,FALSE()))),"OLD",IF(AND(E87&lt;&gt;"",E87&lt;&gt;"!!!"),"NEW","")))</f>
        <v/>
      </c>
      <c r="G87" s="11" t="str">
        <f aca="false">IF(OR(E87="",E87="!!!"),"",IF(OR(J87=0,AND(J87=1,K87=1),AND(J87=1,I87="SBJ"),AND(J87=1,I87=0)),"?IN_FOCUS",IF(J87&lt;=2,"?ACTIVATED",IF(J87&lt;&gt;"","?FAMILIAR",IF(F87="NEW",IF(ISNA(VLOOKUP(E87,#REF!,1,FALSE())),"?TYPE_IDENTIFIABLE","?REFERENTIAL"),"_")))))</f>
        <v/>
      </c>
      <c r="H87" s="12" t="str">
        <f aca="false">IF(J87&lt;&gt;1,"",IF(I87="SBJ","CB","?"))</f>
        <v/>
      </c>
      <c r="I87" s="13" t="str">
        <f aca="false">IF(OR(E87="",E87="!!!",F87="NEW"),"",INDEX(B$2:B86,-1+SUMPRODUCT(MAX(ROW(E$2:E86)*(E87=E$2:E86)))))</f>
        <v/>
      </c>
      <c r="J87" s="14" t="str">
        <f aca="true">IF(OR(E87="",E87="!!!",F87="NEW"),"",COUNTBLANK(OFFSET(A$1,,,SUMPRODUCT(MAX(ROW(E$2:E87)*(E87=E$2:E87)))))-COUNTBLANK(OFFSET(A$1,,,SUMPRODUCT(MAX(ROW(E$1:E86)*(E87=E$1:E86))))))</f>
        <v/>
      </c>
      <c r="K87" s="14" t="str">
        <f aca="false">IF(OR(E87="",E87="!!!",F87="NEW"),"",INDEX(J$1:J86,SUMPRODUCT(MAX(ROW(E$1:E86)*(E87=E$1:E86)))))</f>
        <v/>
      </c>
      <c r="L87" s="15"/>
    </row>
    <row r="88" customFormat="false" ht="12.75" hidden="false" customHeight="false" outlineLevel="0" collapsed="false">
      <c r="A88" s="0" t="s">
        <v>109</v>
      </c>
      <c r="E88" s="9" t="str">
        <f aca="false">IF(D88="?OLD","!!!","")</f>
        <v/>
      </c>
      <c r="F88" s="10" t="str">
        <f aca="false">IF(OR(E88="",E88="!!!"),"",IF(NOT(ISNA(VLOOKUP(E88,E$1:E87,1,FALSE()))),"OLD",IF(AND(E88&lt;&gt;"",E88&lt;&gt;"!!!"),"NEW","")))</f>
        <v/>
      </c>
      <c r="G88" s="11" t="str">
        <f aca="false">IF(OR(E88="",E88="!!!"),"",IF(OR(J88=0,AND(J88=1,K88=1),AND(J88=1,I88="SBJ"),AND(J88=1,I88=0)),"?IN_FOCUS",IF(J88&lt;=2,"?ACTIVATED",IF(J88&lt;&gt;"","?FAMILIAR",IF(F88="NEW",IF(ISNA(VLOOKUP(E88,#REF!,1,FALSE())),"?TYPE_IDENTIFIABLE","?REFERENTIAL"),"_")))))</f>
        <v/>
      </c>
      <c r="H88" s="12" t="str">
        <f aca="false">IF(J88&lt;&gt;1,"",IF(I88="SBJ","CB","?"))</f>
        <v/>
      </c>
      <c r="I88" s="13" t="str">
        <f aca="false">IF(OR(E88="",E88="!!!",F88="NEW"),"",INDEX(B$2:B87,-1+SUMPRODUCT(MAX(ROW(E$2:E87)*(E88=E$2:E87)))))</f>
        <v/>
      </c>
      <c r="J88" s="14" t="str">
        <f aca="true">IF(OR(E88="",E88="!!!",F88="NEW"),"",COUNTBLANK(OFFSET(A$1,,,SUMPRODUCT(MAX(ROW(E$2:E88)*(E88=E$2:E88)))))-COUNTBLANK(OFFSET(A$1,,,SUMPRODUCT(MAX(ROW(E$1:E87)*(E88=E$1:E87))))))</f>
        <v/>
      </c>
      <c r="K88" s="14" t="str">
        <f aca="false">IF(OR(E88="",E88="!!!",F88="NEW"),"",INDEX(J$1:J87,SUMPRODUCT(MAX(ROW(E$1:E87)*(E88=E$1:E87)))))</f>
        <v/>
      </c>
      <c r="L88" s="15"/>
    </row>
    <row r="89" customFormat="false" ht="12.75" hidden="false" customHeight="false" outlineLevel="0" collapsed="false">
      <c r="A89" s="0" t="s">
        <v>110</v>
      </c>
      <c r="B89" s="0" t="s">
        <v>14</v>
      </c>
      <c r="C89" s="0" t="s">
        <v>111</v>
      </c>
      <c r="D89" s="0" t="s">
        <v>29</v>
      </c>
      <c r="E89" s="9" t="s">
        <v>68</v>
      </c>
      <c r="F89" s="10" t="str">
        <f aca="false">IF(OR(E89="",E89="!!!"),"",IF(NOT(ISNA(VLOOKUP(E89,E$1:E88,1,FALSE()))),"OLD",IF(AND(E89&lt;&gt;"",E89&lt;&gt;"!!!"),"NEW","")))</f>
        <v>OLD</v>
      </c>
      <c r="G89" s="11"/>
      <c r="H89" s="12"/>
      <c r="I89" s="13" t="str">
        <f aca="false">IF(OR(E89="",E89="!!!",F89="NEW"),"",INDEX(B$2:B88,-1+SUMPRODUCT(MAX(ROW(E$2:E88)*(E89=E$2:E88)))))</f>
        <v>other</v>
      </c>
      <c r="J89" s="14" t="n">
        <f aca="true">IF(OR(E89="",E89="!!!",F89="NEW"),"",COUNTBLANK(OFFSET(A$1,,,SUMPRODUCT(MAX(ROW(E$2:E89)*(E89=E$2:E89)))))-COUNTBLANK(OFFSET(A$1,,,SUMPRODUCT(MAX(ROW(E$1:E88)*(E89=E$1:E88))))))</f>
        <v>1</v>
      </c>
      <c r="K89" s="14" t="n">
        <f aca="false">IF(OR(E89="",E89="!!!",F89="NEW"),"",INDEX(J$1:J88,SUMPRODUCT(MAX(ROW(E$1:E88)*(E89=E$1:E88)))))</f>
        <v>1</v>
      </c>
      <c r="L89" s="15"/>
    </row>
    <row r="90" customFormat="false" ht="12.75" hidden="false" customHeight="false" outlineLevel="0" collapsed="false">
      <c r="A90" s="0" t="s">
        <v>31</v>
      </c>
      <c r="E90" s="9" t="str">
        <f aca="false">IF(D90="?OLD","!!!","")</f>
        <v/>
      </c>
      <c r="F90" s="10" t="str">
        <f aca="false">IF(OR(E90="",E90="!!!"),"",IF(NOT(ISNA(VLOOKUP(E90,E$1:E89,1,FALSE()))),"OLD",IF(AND(E90&lt;&gt;"",E90&lt;&gt;"!!!"),"NEW","")))</f>
        <v/>
      </c>
      <c r="G90" s="11" t="str">
        <f aca="false">IF(OR(E90="",E90="!!!"),"",IF(OR(J90=0,AND(J90=1,K90=1),AND(J90=1,I90="SBJ"),AND(J90=1,I90=0)),"?IN_FOCUS",IF(J90&lt;=2,"?ACTIVATED",IF(J90&lt;&gt;"","?FAMILIAR",IF(F90="NEW",IF(ISNA(VLOOKUP(E90,#REF!,1,FALSE())),"?TYPE_IDENTIFIABLE","?REFERENTIAL"),"_")))))</f>
        <v/>
      </c>
      <c r="H90" s="12" t="str">
        <f aca="false">IF(J90&lt;&gt;1,"",IF(I90="SBJ","CB","?"))</f>
        <v/>
      </c>
      <c r="I90" s="13" t="str">
        <f aca="false">IF(OR(E90="",E90="!!!",F90="NEW"),"",INDEX(B$2:B89,-1+SUMPRODUCT(MAX(ROW(E$2:E89)*(E90=E$2:E89)))))</f>
        <v/>
      </c>
      <c r="J90" s="14" t="str">
        <f aca="true">IF(OR(E90="",E90="!!!",F90="NEW"),"",COUNTBLANK(OFFSET(A$1,,,SUMPRODUCT(MAX(ROW(E$2:E90)*(E90=E$2:E90)))))-COUNTBLANK(OFFSET(A$1,,,SUMPRODUCT(MAX(ROW(E$1:E89)*(E90=E$1:E89))))))</f>
        <v/>
      </c>
      <c r="K90" s="14" t="str">
        <f aca="false">IF(OR(E90="",E90="!!!",F90="NEW"),"",INDEX(J$1:J89,SUMPRODUCT(MAX(ROW(E$1:E89)*(E90=E$1:E89)))))</f>
        <v/>
      </c>
      <c r="L90" s="15"/>
    </row>
    <row r="91" customFormat="false" ht="12.75" hidden="false" customHeight="false" outlineLevel="0" collapsed="false">
      <c r="A91" s="0" t="s">
        <v>112</v>
      </c>
      <c r="E91" s="9" t="str">
        <f aca="false">IF(D91="?OLD","!!!","")</f>
        <v/>
      </c>
      <c r="F91" s="10" t="str">
        <f aca="false">IF(OR(E91="",E91="!!!"),"",IF(NOT(ISNA(VLOOKUP(E91,E$1:E90,1,FALSE()))),"OLD",IF(AND(E91&lt;&gt;"",E91&lt;&gt;"!!!"),"NEW","")))</f>
        <v/>
      </c>
      <c r="G91" s="11" t="str">
        <f aca="false">IF(OR(E91="",E91="!!!"),"",IF(OR(J91=0,AND(J91=1,K91=1),AND(J91=1,I91="SBJ"),AND(J91=1,I91=0)),"?IN_FOCUS",IF(J91&lt;=2,"?ACTIVATED",IF(J91&lt;&gt;"","?FAMILIAR",IF(F91="NEW",IF(ISNA(VLOOKUP(E91,#REF!,1,FALSE())),"?TYPE_IDENTIFIABLE","?REFERENTIAL"),"_")))))</f>
        <v/>
      </c>
      <c r="H91" s="12" t="str">
        <f aca="false">IF(J91&lt;&gt;1,"",IF(I91="SBJ","CB","?"))</f>
        <v/>
      </c>
      <c r="I91" s="13" t="str">
        <f aca="false">IF(OR(E91="",E91="!!!",F91="NEW"),"",INDEX(B$2:B90,-1+SUMPRODUCT(MAX(ROW(E$2:E90)*(E91=E$2:E90)))))</f>
        <v/>
      </c>
      <c r="J91" s="14" t="str">
        <f aca="true">IF(OR(E91="",E91="!!!",F91="NEW"),"",COUNTBLANK(OFFSET(A$1,,,SUMPRODUCT(MAX(ROW(E$2:E91)*(E91=E$2:E91)))))-COUNTBLANK(OFFSET(A$1,,,SUMPRODUCT(MAX(ROW(E$1:E90)*(E91=E$1:E90))))))</f>
        <v/>
      </c>
      <c r="K91" s="14" t="str">
        <f aca="false">IF(OR(E91="",E91="!!!",F91="NEW"),"",INDEX(J$1:J90,SUMPRODUCT(MAX(ROW(E$1:E90)*(E91=E$1:E90)))))</f>
        <v/>
      </c>
      <c r="L91" s="15"/>
    </row>
    <row r="92" customFormat="false" ht="12.75" hidden="false" customHeight="false" outlineLevel="0" collapsed="false">
      <c r="A92" s="0" t="s">
        <v>31</v>
      </c>
      <c r="E92" s="9" t="str">
        <f aca="false">IF(D92="?OLD","!!!","")</f>
        <v/>
      </c>
      <c r="F92" s="10" t="str">
        <f aca="false">IF(OR(E92="",E92="!!!"),"",IF(NOT(ISNA(VLOOKUP(E92,E$1:E91,1,FALSE()))),"OLD",IF(AND(E92&lt;&gt;"",E92&lt;&gt;"!!!"),"NEW","")))</f>
        <v/>
      </c>
      <c r="G92" s="11" t="str">
        <f aca="false">IF(OR(E92="",E92="!!!"),"",IF(OR(J92=0,AND(J92=1,K92=1),AND(J92=1,I92="SBJ"),AND(J92=1,I92=0)),"?IN_FOCUS",IF(J92&lt;=2,"?ACTIVATED",IF(J92&lt;&gt;"","?FAMILIAR",IF(F92="NEW",IF(ISNA(VLOOKUP(E92,#REF!,1,FALSE())),"?TYPE_IDENTIFIABLE","?REFERENTIAL"),"_")))))</f>
        <v/>
      </c>
      <c r="H92" s="12" t="str">
        <f aca="false">IF(J92&lt;&gt;1,"",IF(I92="SBJ","CB","?"))</f>
        <v/>
      </c>
      <c r="I92" s="13" t="str">
        <f aca="false">IF(OR(E92="",E92="!!!",F92="NEW"),"",INDEX(B$2:B91,-1+SUMPRODUCT(MAX(ROW(E$2:E91)*(E92=E$2:E91)))))</f>
        <v/>
      </c>
      <c r="J92" s="14" t="str">
        <f aca="true">IF(OR(E92="",E92="!!!",F92="NEW"),"",COUNTBLANK(OFFSET(A$1,,,SUMPRODUCT(MAX(ROW(E$2:E92)*(E92=E$2:E92)))))-COUNTBLANK(OFFSET(A$1,,,SUMPRODUCT(MAX(ROW(E$1:E91)*(E92=E$1:E91))))))</f>
        <v/>
      </c>
      <c r="K92" s="14" t="str">
        <f aca="false">IF(OR(E92="",E92="!!!",F92="NEW"),"",INDEX(J$1:J91,SUMPRODUCT(MAX(ROW(E$1:E91)*(E92=E$1:E91)))))</f>
        <v/>
      </c>
      <c r="L92" s="15"/>
    </row>
    <row r="93" customFormat="false" ht="12.75" hidden="false" customHeight="false" outlineLevel="0" collapsed="false">
      <c r="A93" s="0" t="s">
        <v>48</v>
      </c>
      <c r="E93" s="9" t="str">
        <f aca="false">IF(D93="?OLD","!!!","")</f>
        <v/>
      </c>
      <c r="F93" s="10" t="str">
        <f aca="false">IF(OR(E93="",E93="!!!"),"",IF(NOT(ISNA(VLOOKUP(E93,E$1:E92,1,FALSE()))),"OLD",IF(AND(E93&lt;&gt;"",E93&lt;&gt;"!!!"),"NEW","")))</f>
        <v/>
      </c>
      <c r="G93" s="11" t="str">
        <f aca="false">IF(OR(E93="",E93="!!!"),"",IF(OR(J93=0,AND(J93=1,K93=1),AND(J93=1,I93="SBJ"),AND(J93=1,I93=0)),"?IN_FOCUS",IF(J93&lt;=2,"?ACTIVATED",IF(J93&lt;&gt;"","?FAMILIAR",IF(F93="NEW",IF(ISNA(VLOOKUP(E93,#REF!,1,FALSE())),"?TYPE_IDENTIFIABLE","?REFERENTIAL"),"_")))))</f>
        <v/>
      </c>
      <c r="H93" s="12" t="str">
        <f aca="false">IF(J93&lt;&gt;1,"",IF(I93="SBJ","CB","?"))</f>
        <v/>
      </c>
      <c r="I93" s="13" t="str">
        <f aca="false">IF(OR(E93="",E93="!!!",F93="NEW"),"",INDEX(B$2:B92,-1+SUMPRODUCT(MAX(ROW(E$2:E92)*(E93=E$2:E92)))))</f>
        <v/>
      </c>
      <c r="J93" s="14" t="str">
        <f aca="true">IF(OR(E93="",E93="!!!",F93="NEW"),"",COUNTBLANK(OFFSET(A$1,,,SUMPRODUCT(MAX(ROW(E$2:E93)*(E93=E$2:E93)))))-COUNTBLANK(OFFSET(A$1,,,SUMPRODUCT(MAX(ROW(E$1:E92)*(E93=E$1:E92))))))</f>
        <v/>
      </c>
      <c r="K93" s="14" t="str">
        <f aca="false">IF(OR(E93="",E93="!!!",F93="NEW"),"",INDEX(J$1:J92,SUMPRODUCT(MAX(ROW(E$1:E92)*(E93=E$1:E92)))))</f>
        <v/>
      </c>
      <c r="L93" s="15"/>
    </row>
    <row r="94" customFormat="false" ht="12.75" hidden="false" customHeight="false" outlineLevel="0" collapsed="false">
      <c r="A94" s="0" t="s">
        <v>113</v>
      </c>
      <c r="E94" s="9" t="str">
        <f aca="false">IF(D94="?OLD","!!!","")</f>
        <v/>
      </c>
      <c r="F94" s="10" t="str">
        <f aca="false">IF(OR(E94="",E94="!!!"),"",IF(NOT(ISNA(VLOOKUP(E94,E$1:E93,1,FALSE()))),"OLD",IF(AND(E94&lt;&gt;"",E94&lt;&gt;"!!!"),"NEW","")))</f>
        <v/>
      </c>
      <c r="G94" s="11" t="str">
        <f aca="false">IF(OR(E94="",E94="!!!"),"",IF(OR(J94=0,AND(J94=1,K94=1),AND(J94=1,I94="SBJ"),AND(J94=1,I94=0)),"?IN_FOCUS",IF(J94&lt;=2,"?ACTIVATED",IF(J94&lt;&gt;"","?FAMILIAR",IF(F94="NEW",IF(ISNA(VLOOKUP(E94,#REF!,1,FALSE())),"?TYPE_IDENTIFIABLE","?REFERENTIAL"),"_")))))</f>
        <v/>
      </c>
      <c r="H94" s="12" t="str">
        <f aca="false">IF(J94&lt;&gt;1,"",IF(I94="SBJ","CB","?"))</f>
        <v/>
      </c>
      <c r="I94" s="13" t="str">
        <f aca="false">IF(OR(E94="",E94="!!!",F94="NEW"),"",INDEX(B$2:B93,-1+SUMPRODUCT(MAX(ROW(E$2:E93)*(E94=E$2:E93)))))</f>
        <v/>
      </c>
      <c r="J94" s="14" t="str">
        <f aca="true">IF(OR(E94="",E94="!!!",F94="NEW"),"",COUNTBLANK(OFFSET(A$1,,,SUMPRODUCT(MAX(ROW(E$2:E94)*(E94=E$2:E94)))))-COUNTBLANK(OFFSET(A$1,,,SUMPRODUCT(MAX(ROW(E$1:E93)*(E94=E$1:E93))))))</f>
        <v/>
      </c>
      <c r="K94" s="14" t="str">
        <f aca="false">IF(OR(E94="",E94="!!!",F94="NEW"),"",INDEX(J$1:J93,SUMPRODUCT(MAX(ROW(E$1:E93)*(E94=E$1:E93)))))</f>
        <v/>
      </c>
      <c r="L94" s="15"/>
    </row>
    <row r="95" customFormat="false" ht="12.75" hidden="false" customHeight="false" outlineLevel="0" collapsed="false">
      <c r="A95" s="0" t="s">
        <v>114</v>
      </c>
      <c r="E95" s="9" t="str">
        <f aca="false">IF(D95="?OLD","!!!","")</f>
        <v/>
      </c>
      <c r="F95" s="10" t="str">
        <f aca="false">IF(OR(E95="",E95="!!!"),"",IF(NOT(ISNA(VLOOKUP(E95,E$1:E94,1,FALSE()))),"OLD",IF(AND(E95&lt;&gt;"",E95&lt;&gt;"!!!"),"NEW","")))</f>
        <v/>
      </c>
      <c r="G95" s="11" t="str">
        <f aca="false">IF(OR(E95="",E95="!!!"),"",IF(OR(J95=0,AND(J95=1,K95=1),AND(J95=1,I95="SBJ"),AND(J95=1,I95=0)),"?IN_FOCUS",IF(J95&lt;=2,"?ACTIVATED",IF(J95&lt;&gt;"","?FAMILIAR",IF(F95="NEW",IF(ISNA(VLOOKUP(E95,#REF!,1,FALSE())),"?TYPE_IDENTIFIABLE","?REFERENTIAL"),"_")))))</f>
        <v/>
      </c>
      <c r="H95" s="12" t="str">
        <f aca="false">IF(J95&lt;&gt;1,"",IF(I95="SBJ","CB","?"))</f>
        <v/>
      </c>
      <c r="I95" s="13" t="str">
        <f aca="false">IF(OR(E95="",E95="!!!",F95="NEW"),"",INDEX(B$2:B94,-1+SUMPRODUCT(MAX(ROW(E$2:E94)*(E95=E$2:E94)))))</f>
        <v/>
      </c>
      <c r="J95" s="14" t="str">
        <f aca="true">IF(OR(E95="",E95="!!!",F95="NEW"),"",COUNTBLANK(OFFSET(A$1,,,SUMPRODUCT(MAX(ROW(E$2:E95)*(E95=E$2:E95)))))-COUNTBLANK(OFFSET(A$1,,,SUMPRODUCT(MAX(ROW(E$1:E94)*(E95=E$1:E94))))))</f>
        <v/>
      </c>
      <c r="K95" s="14" t="str">
        <f aca="false">IF(OR(E95="",E95="!!!",F95="NEW"),"",INDEX(J$1:J94,SUMPRODUCT(MAX(ROW(E$1:E94)*(E95=E$1:E94)))))</f>
        <v/>
      </c>
      <c r="L95" s="15"/>
    </row>
    <row r="96" customFormat="false" ht="12.75" hidden="false" customHeight="false" outlineLevel="0" collapsed="false">
      <c r="A96" s="0" t="s">
        <v>115</v>
      </c>
      <c r="E96" s="9" t="str">
        <f aca="false">IF(D96="?OLD","!!!","")</f>
        <v/>
      </c>
      <c r="F96" s="10" t="str">
        <f aca="false">IF(OR(E96="",E96="!!!"),"",IF(NOT(ISNA(VLOOKUP(E96,E$1:E95,1,FALSE()))),"OLD",IF(AND(E96&lt;&gt;"",E96&lt;&gt;"!!!"),"NEW","")))</f>
        <v/>
      </c>
      <c r="G96" s="11" t="str">
        <f aca="false">IF(OR(E96="",E96="!!!"),"",IF(OR(J96=0,AND(J96=1,K96=1),AND(J96=1,I96="SBJ"),AND(J96=1,I96=0)),"?IN_FOCUS",IF(J96&lt;=2,"?ACTIVATED",IF(J96&lt;&gt;"","?FAMILIAR",IF(F96="NEW",IF(ISNA(VLOOKUP(E96,#REF!,1,FALSE())),"?TYPE_IDENTIFIABLE","?REFERENTIAL"),"_")))))</f>
        <v/>
      </c>
      <c r="H96" s="12" t="str">
        <f aca="false">IF(J96&lt;&gt;1,"",IF(I96="SBJ","CB","?"))</f>
        <v/>
      </c>
      <c r="I96" s="13" t="str">
        <f aca="false">IF(OR(E96="",E96="!!!",F96="NEW"),"",INDEX(B$2:B95,-1+SUMPRODUCT(MAX(ROW(E$2:E95)*(E96=E$2:E95)))))</f>
        <v/>
      </c>
      <c r="J96" s="14" t="str">
        <f aca="true">IF(OR(E96="",E96="!!!",F96="NEW"),"",COUNTBLANK(OFFSET(A$1,,,SUMPRODUCT(MAX(ROW(E$2:E96)*(E96=E$2:E96)))))-COUNTBLANK(OFFSET(A$1,,,SUMPRODUCT(MAX(ROW(E$1:E95)*(E96=E$1:E95))))))</f>
        <v/>
      </c>
      <c r="K96" s="14" t="str">
        <f aca="false">IF(OR(E96="",E96="!!!",F96="NEW"),"",INDEX(J$1:J95,SUMPRODUCT(MAX(ROW(E$1:E95)*(E96=E$1:E95)))))</f>
        <v/>
      </c>
      <c r="L96" s="15"/>
    </row>
    <row r="97" customFormat="false" ht="12.75" hidden="false" customHeight="false" outlineLevel="0" collapsed="false">
      <c r="A97" s="0" t="s">
        <v>90</v>
      </c>
      <c r="B97" s="0" t="s">
        <v>62</v>
      </c>
      <c r="C97" s="0" t="s">
        <v>92</v>
      </c>
      <c r="D97" s="0" t="s">
        <v>56</v>
      </c>
      <c r="E97" s="9" t="s">
        <v>68</v>
      </c>
      <c r="F97" s="10" t="s">
        <v>69</v>
      </c>
      <c r="G97" s="11"/>
      <c r="H97" s="12" t="str">
        <f aca="false">IF(J97&lt;&gt;1,"",IF(I97="SBJ","CB","?"))</f>
        <v/>
      </c>
      <c r="I97" s="13" t="str">
        <f aca="false">IF(OR(E97="",E97="!!!",F97="NEW"),"",INDEX(B$2:B96,-1+SUMPRODUCT(MAX(ROW(E$2:E96)*(E97=E$2:E96)))))</f>
        <v>SBJ</v>
      </c>
      <c r="J97" s="14" t="n">
        <f aca="true">IF(OR(E97="",E97="!!!",F97="NEW"),"",COUNTBLANK(OFFSET(A$1,,,SUMPRODUCT(MAX(ROW(E$2:E97)*(E97=E$2:E97)))))-COUNTBLANK(OFFSET(A$1,,,SUMPRODUCT(MAX(ROW(E$1:E96)*(E97=E$1:E96))))))</f>
        <v>0</v>
      </c>
      <c r="K97" s="14" t="n">
        <f aca="false">IF(OR(E97="",E97="!!!",F97="NEW"),"",INDEX(J$1:J96,SUMPRODUCT(MAX(ROW(E$1:E96)*(E97=E$1:E96)))))</f>
        <v>1</v>
      </c>
      <c r="L97" s="15"/>
    </row>
    <row r="98" customFormat="false" ht="12.75" hidden="false" customHeight="false" outlineLevel="0" collapsed="false">
      <c r="A98" s="0" t="s">
        <v>93</v>
      </c>
      <c r="B98" s="0" t="s">
        <v>47</v>
      </c>
      <c r="E98" s="9" t="str">
        <f aca="false">IF(D98="?OLD","!!!","")</f>
        <v/>
      </c>
      <c r="F98" s="10" t="str">
        <f aca="false">IF(OR(E98="",E98="!!!"),"",IF(NOT(ISNA(VLOOKUP(E98,E$1:E97,1,FALSE()))),"OLD",IF(AND(E98&lt;&gt;"",E98&lt;&gt;"!!!"),"NEW","")))</f>
        <v/>
      </c>
      <c r="G98" s="11" t="str">
        <f aca="false">IF(OR(E98="",E98="!!!"),"",IF(OR(J98=0,AND(J98=1,K98=1),AND(J98=1,I98="SBJ"),AND(J98=1,I98=0)),"?IN_FOCUS",IF(J98&lt;=2,"?ACTIVATED",IF(J98&lt;&gt;"","?FAMILIAR",IF(F98="NEW",IF(ISNA(VLOOKUP(E98,#REF!,1,FALSE())),"?TYPE_IDENTIFIABLE","?REFERENTIAL"),"_")))))</f>
        <v/>
      </c>
      <c r="H98" s="12" t="str">
        <f aca="false">IF(J98&lt;&gt;1,"",IF(I98="SBJ","CB","?"))</f>
        <v/>
      </c>
      <c r="I98" s="13" t="str">
        <f aca="false">IF(OR(E98="",E98="!!!",F98="NEW"),"",INDEX(B$2:B97,-1+SUMPRODUCT(MAX(ROW(E$2:E97)*(E98=E$2:E97)))))</f>
        <v/>
      </c>
      <c r="J98" s="14" t="str">
        <f aca="true">IF(OR(E98="",E98="!!!",F98="NEW"),"",COUNTBLANK(OFFSET(A$1,,,SUMPRODUCT(MAX(ROW(E$2:E98)*(E98=E$2:E98)))))-COUNTBLANK(OFFSET(A$1,,,SUMPRODUCT(MAX(ROW(E$1:E97)*(E98=E$1:E97))))))</f>
        <v/>
      </c>
      <c r="K98" s="14" t="str">
        <f aca="false">IF(OR(E98="",E98="!!!",F98="NEW"),"",INDEX(J$1:J97,SUMPRODUCT(MAX(ROW(E$1:E97)*(E98=E$1:E97)))))</f>
        <v/>
      </c>
      <c r="L98" s="15"/>
    </row>
    <row r="99" customFormat="false" ht="12.75" hidden="false" customHeight="false" outlineLevel="0" collapsed="false">
      <c r="A99" s="0" t="s">
        <v>95</v>
      </c>
      <c r="E99" s="9" t="str">
        <f aca="false">IF(D99="?OLD","!!!","")</f>
        <v/>
      </c>
      <c r="F99" s="10" t="str">
        <f aca="false">IF(OR(E99="",E99="!!!"),"",IF(NOT(ISNA(VLOOKUP(E99,E$1:E98,1,FALSE()))),"OLD",IF(AND(E99&lt;&gt;"",E99&lt;&gt;"!!!"),"NEW","")))</f>
        <v/>
      </c>
      <c r="G99" s="11" t="str">
        <f aca="false">IF(OR(E99="",E99="!!!"),"",IF(OR(J99=0,AND(J99=1,K99=1),AND(J99=1,I99="SBJ"),AND(J99=1,I99=0)),"?IN_FOCUS",IF(J99&lt;=2,"?ACTIVATED",IF(J99&lt;&gt;"","?FAMILIAR",IF(F99="NEW",IF(ISNA(VLOOKUP(E99,#REF!,1,FALSE())),"?TYPE_IDENTIFIABLE","?REFERENTIAL"),"_")))))</f>
        <v/>
      </c>
      <c r="H99" s="12" t="str">
        <f aca="false">IF(J99&lt;&gt;1,"",IF(I99="SBJ","CB","?"))</f>
        <v/>
      </c>
      <c r="I99" s="13" t="str">
        <f aca="false">IF(OR(E99="",E99="!!!",F99="NEW"),"",INDEX(B$2:B98,-1+SUMPRODUCT(MAX(ROW(E$2:E98)*(E99=E$2:E98)))))</f>
        <v/>
      </c>
      <c r="J99" s="14" t="str">
        <f aca="true">IF(OR(E99="",E99="!!!",F99="NEW"),"",COUNTBLANK(OFFSET(A$1,,,SUMPRODUCT(MAX(ROW(E$2:E99)*(E99=E$2:E99)))))-COUNTBLANK(OFFSET(A$1,,,SUMPRODUCT(MAX(ROW(E$1:E98)*(E99=E$1:E98))))))</f>
        <v/>
      </c>
      <c r="K99" s="14" t="str">
        <f aca="false">IF(OR(E99="",E99="!!!",F99="NEW"),"",INDEX(J$1:J98,SUMPRODUCT(MAX(ROW(E$1:E98)*(E99=E$1:E98)))))</f>
        <v/>
      </c>
      <c r="L99" s="15"/>
    </row>
    <row r="100" customFormat="false" ht="12.75" hidden="false" customHeight="false" outlineLevel="0" collapsed="false">
      <c r="A100" s="0" t="s">
        <v>116</v>
      </c>
      <c r="E100" s="9" t="str">
        <f aca="false">IF(D100="?OLD","!!!","")</f>
        <v/>
      </c>
      <c r="F100" s="10" t="str">
        <f aca="false">IF(OR(E100="",E100="!!!"),"",IF(NOT(ISNA(VLOOKUP(E100,E$1:E99,1,FALSE()))),"OLD",IF(AND(E100&lt;&gt;"",E100&lt;&gt;"!!!"),"NEW","")))</f>
        <v/>
      </c>
      <c r="G100" s="11" t="str">
        <f aca="false">IF(OR(E100="",E100="!!!"),"",IF(OR(J100=0,AND(J100=1,K100=1),AND(J100=1,I100="SBJ"),AND(J100=1,I100=0)),"?IN_FOCUS",IF(J100&lt;=2,"?ACTIVATED",IF(J100&lt;&gt;"","?FAMILIAR",IF(F100="NEW",IF(ISNA(VLOOKUP(E100,#REF!,1,FALSE())),"?TYPE_IDENTIFIABLE","?REFERENTIAL"),"_")))))</f>
        <v/>
      </c>
      <c r="H100" s="12" t="str">
        <f aca="false">IF(J100&lt;&gt;1,"",IF(I100="SBJ","CB","?"))</f>
        <v/>
      </c>
      <c r="I100" s="13" t="str">
        <f aca="false">IF(OR(E100="",E100="!!!",F100="NEW"),"",INDEX(B$2:B99,-1+SUMPRODUCT(MAX(ROW(E$2:E99)*(E100=E$2:E99)))))</f>
        <v/>
      </c>
      <c r="J100" s="14" t="str">
        <f aca="true">IF(OR(E100="",E100="!!!",F100="NEW"),"",COUNTBLANK(OFFSET(A$1,,,SUMPRODUCT(MAX(ROW(E$2:E100)*(E100=E$2:E100)))))-COUNTBLANK(OFFSET(A$1,,,SUMPRODUCT(MAX(ROW(E$1:E99)*(E100=E$1:E99))))))</f>
        <v/>
      </c>
      <c r="K100" s="14" t="str">
        <f aca="false">IF(OR(E100="",E100="!!!",F100="NEW"),"",INDEX(J$1:J99,SUMPRODUCT(MAX(ROW(E$1:E99)*(E100=E$1:E99)))))</f>
        <v/>
      </c>
      <c r="L100" s="15"/>
    </row>
    <row r="101" customFormat="false" ht="12.75" hidden="false" customHeight="false" outlineLevel="0" collapsed="false">
      <c r="A101" s="0" t="s">
        <v>117</v>
      </c>
      <c r="E101" s="9" t="str">
        <f aca="false">IF(D101="?OLD","!!!","")</f>
        <v/>
      </c>
      <c r="F101" s="10" t="str">
        <f aca="false">IF(OR(E101="",E101="!!!"),"",IF(NOT(ISNA(VLOOKUP(E101,E$1:E100,1,FALSE()))),"OLD",IF(AND(E101&lt;&gt;"",E101&lt;&gt;"!!!"),"NEW","")))</f>
        <v/>
      </c>
      <c r="G101" s="11" t="str">
        <f aca="false">IF(OR(E101="",E101="!!!"),"",IF(OR(J101=0,AND(J101=1,K101=1),AND(J101=1,I101="SBJ"),AND(J101=1,I101=0)),"?IN_FOCUS",IF(J101&lt;=2,"?ACTIVATED",IF(J101&lt;&gt;"","?FAMILIAR",IF(F101="NEW",IF(ISNA(VLOOKUP(E101,#REF!,1,FALSE())),"?TYPE_IDENTIFIABLE","?REFERENTIAL"),"_")))))</f>
        <v/>
      </c>
      <c r="H101" s="12" t="str">
        <f aca="false">IF(J101&lt;&gt;1,"",IF(I101="SBJ","CB","?"))</f>
        <v/>
      </c>
      <c r="I101" s="13" t="str">
        <f aca="false">IF(OR(E101="",E101="!!!",F101="NEW"),"",INDEX(B$2:B100,-1+SUMPRODUCT(MAX(ROW(E$2:E100)*(E101=E$2:E100)))))</f>
        <v/>
      </c>
      <c r="J101" s="14" t="str">
        <f aca="true">IF(OR(E101="",E101="!!!",F101="NEW"),"",COUNTBLANK(OFFSET(A$1,,,SUMPRODUCT(MAX(ROW(E$2:E101)*(E101=E$2:E101)))))-COUNTBLANK(OFFSET(A$1,,,SUMPRODUCT(MAX(ROW(E$1:E100)*(E101=E$1:E100))))))</f>
        <v/>
      </c>
      <c r="K101" s="14" t="str">
        <f aca="false">IF(OR(E101="",E101="!!!",F101="NEW"),"",INDEX(J$1:J100,SUMPRODUCT(MAX(ROW(E$1:E100)*(E101=E$1:E100)))))</f>
        <v/>
      </c>
      <c r="L101" s="15"/>
    </row>
    <row r="102" customFormat="false" ht="12.75" hidden="false" customHeight="false" outlineLevel="0" collapsed="false">
      <c r="A102" s="0" t="s">
        <v>53</v>
      </c>
      <c r="B102" s="0" t="s">
        <v>64</v>
      </c>
      <c r="C102" s="0" t="s">
        <v>55</v>
      </c>
      <c r="D102" s="0" t="s">
        <v>56</v>
      </c>
      <c r="E102" s="9" t="s">
        <v>24</v>
      </c>
      <c r="F102" s="10" t="str">
        <f aca="false">IF(OR(E102="",E102="!!!"),"",IF(NOT(ISNA(VLOOKUP(E102,E$1:E101,1,FALSE()))),"OLD",IF(AND(E102&lt;&gt;"",E102&lt;&gt;"!!!"),"NEW","")))</f>
        <v>OLD</v>
      </c>
      <c r="G102" s="11" t="s">
        <v>80</v>
      </c>
      <c r="H102" s="12" t="s">
        <v>7</v>
      </c>
      <c r="I102" s="13" t="str">
        <f aca="false">IF(OR(E102="",E102="!!!",F102="NEW"),"",INDEX(B$2:B101,-1+SUMPRODUCT(MAX(ROW(E$2:E101)*(E102=E$2:E101)))))</f>
        <v>OBJ_2</v>
      </c>
      <c r="J102" s="14" t="n">
        <f aca="true">IF(OR(E102="",E102="!!!",F102="NEW"),"",COUNTBLANK(OFFSET(A$1,,,SUMPRODUCT(MAX(ROW(E$2:E102)*(E102=E$2:E102)))))-COUNTBLANK(OFFSET(A$1,,,SUMPRODUCT(MAX(ROW(E$1:E101)*(E102=E$1:E101))))))</f>
        <v>1</v>
      </c>
      <c r="K102" s="14" t="n">
        <f aca="false">IF(OR(E102="",E102="!!!",F102="NEW"),"",INDEX(J$1:J101,SUMPRODUCT(MAX(ROW(E$1:E101)*(E102=E$1:E101)))))</f>
        <v>0</v>
      </c>
      <c r="L102" s="15"/>
    </row>
    <row r="103" customFormat="false" ht="12.75" hidden="false" customHeight="false" outlineLevel="0" collapsed="false">
      <c r="A103" s="0" t="s">
        <v>118</v>
      </c>
      <c r="B103" s="0" t="s">
        <v>22</v>
      </c>
      <c r="C103" s="0" t="s">
        <v>15</v>
      </c>
      <c r="D103" s="0" t="s">
        <v>29</v>
      </c>
      <c r="E103" s="9" t="s">
        <v>68</v>
      </c>
      <c r="F103" s="10" t="s">
        <v>69</v>
      </c>
      <c r="G103" s="11"/>
      <c r="H103" s="12" t="str">
        <f aca="false">IF(J103&lt;&gt;1,"",IF(I103="SBJ","CB","?"))</f>
        <v/>
      </c>
      <c r="I103" s="13" t="str">
        <f aca="false">IF(OR(E103="",E103="!!!",F103="NEW"),"",INDEX(B$2:B102,-1+SUMPRODUCT(MAX(ROW(E$2:E102)*(E103=E$2:E102)))))</f>
        <v>other</v>
      </c>
      <c r="J103" s="14" t="n">
        <f aca="true">IF(OR(E103="",E103="!!!",F103="NEW"),"",COUNTBLANK(OFFSET(A$1,,,SUMPRODUCT(MAX(ROW(E$2:E103)*(E103=E$2:E103)))))-COUNTBLANK(OFFSET(A$1,,,SUMPRODUCT(MAX(ROW(E$1:E102)*(E103=E$1:E102))))))</f>
        <v>0</v>
      </c>
      <c r="K103" s="14" t="n">
        <f aca="false">IF(OR(E103="",E103="!!!",F103="NEW"),"",INDEX(J$1:J102,SUMPRODUCT(MAX(ROW(E$1:E102)*(E103=E$1:E102)))))</f>
        <v>0</v>
      </c>
      <c r="L103" s="15"/>
    </row>
    <row r="104" customFormat="false" ht="12.75" hidden="false" customHeight="false" outlineLevel="0" collapsed="false">
      <c r="A104" s="0" t="s">
        <v>88</v>
      </c>
      <c r="E104" s="9" t="str">
        <f aca="false">IF(D104="?OLD","!!!","")</f>
        <v/>
      </c>
      <c r="F104" s="10" t="str">
        <f aca="false">IF(OR(E104="",E104="!!!"),"",IF(NOT(ISNA(VLOOKUP(E104,E$1:E103,1,FALSE()))),"OLD",IF(AND(E104&lt;&gt;"",E104&lt;&gt;"!!!"),"NEW","")))</f>
        <v/>
      </c>
      <c r="G104" s="11" t="str">
        <f aca="false">IF(OR(E104="",E104="!!!"),"",IF(OR(J104=0,AND(J104=1,K104=1),AND(J104=1,I104="SBJ"),AND(J104=1,I104=0)),"?IN_FOCUS",IF(J104&lt;=2,"?ACTIVATED",IF(J104&lt;&gt;"","?FAMILIAR",IF(F104="NEW",IF(ISNA(VLOOKUP(E104,#REF!,1,FALSE())),"?TYPE_IDENTIFIABLE","?REFERENTIAL"),"_")))))</f>
        <v/>
      </c>
      <c r="H104" s="12" t="str">
        <f aca="false">IF(J104&lt;&gt;1,"",IF(I104="SBJ","CB","?"))</f>
        <v/>
      </c>
      <c r="I104" s="13" t="str">
        <f aca="false">IF(OR(E104="",E104="!!!",F104="NEW"),"",INDEX(B$2:B103,-1+SUMPRODUCT(MAX(ROW(E$2:E103)*(E104=E$2:E103)))))</f>
        <v/>
      </c>
      <c r="J104" s="14" t="str">
        <f aca="true">IF(OR(E104="",E104="!!!",F104="NEW"),"",COUNTBLANK(OFFSET(A$1,,,SUMPRODUCT(MAX(ROW(E$2:E104)*(E104=E$2:E104)))))-COUNTBLANK(OFFSET(A$1,,,SUMPRODUCT(MAX(ROW(E$1:E103)*(E104=E$1:E103))))))</f>
        <v/>
      </c>
      <c r="K104" s="14" t="str">
        <f aca="false">IF(OR(E104="",E104="!!!",F104="NEW"),"",INDEX(J$1:J103,SUMPRODUCT(MAX(ROW(E$1:E103)*(E104=E$1:E103)))))</f>
        <v/>
      </c>
      <c r="L104" s="15"/>
    </row>
    <row r="105" customFormat="false" ht="12.75" hidden="false" customHeight="false" outlineLevel="0" collapsed="false">
      <c r="A105" s="0" t="s">
        <v>119</v>
      </c>
      <c r="B105" s="0" t="s">
        <v>64</v>
      </c>
      <c r="C105" s="0" t="s">
        <v>120</v>
      </c>
      <c r="E105" s="9" t="str">
        <f aca="false">IF(D105="?OLD","!!!","")</f>
        <v/>
      </c>
      <c r="F105" s="10" t="str">
        <f aca="false">IF(OR(E105="",E105="!!!"),"",IF(NOT(ISNA(VLOOKUP(E105,E$1:E104,1,FALSE()))),"OLD",IF(AND(E105&lt;&gt;"",E105&lt;&gt;"!!!"),"NEW","")))</f>
        <v/>
      </c>
      <c r="G105" s="11" t="str">
        <f aca="false">IF(OR(E105="",E105="!!!"),"",IF(OR(J105=0,AND(J105=1,K105=1),AND(J105=1,I105="SBJ"),AND(J105=1,I105=0)),"?IN_FOCUS",IF(J105&lt;=2,"?ACTIVATED",IF(J105&lt;&gt;"","?FAMILIAR",IF(F105="NEW",IF(ISNA(VLOOKUP(E105,#REF!,1,FALSE())),"?TYPE_IDENTIFIABLE","?REFERENTIAL"),"_")))))</f>
        <v/>
      </c>
      <c r="H105" s="12" t="str">
        <f aca="false">IF(J105&lt;&gt;1,"",IF(I105="SBJ","CB","?"))</f>
        <v/>
      </c>
      <c r="I105" s="13" t="str">
        <f aca="false">IF(OR(E105="",E105="!!!",F105="NEW"),"",INDEX(B$2:B104,-1+SUMPRODUCT(MAX(ROW(E$2:E104)*(E105=E$2:E104)))))</f>
        <v/>
      </c>
      <c r="J105" s="14" t="str">
        <f aca="true">IF(OR(E105="",E105="!!!",F105="NEW"),"",COUNTBLANK(OFFSET(A$1,,,SUMPRODUCT(MAX(ROW(E$2:E105)*(E105=E$2:E105)))))-COUNTBLANK(OFFSET(A$1,,,SUMPRODUCT(MAX(ROW(E$1:E104)*(E105=E$1:E104))))))</f>
        <v/>
      </c>
      <c r="K105" s="14" t="str">
        <f aca="false">IF(OR(E105="",E105="!!!",F105="NEW"),"",INDEX(J$1:J104,SUMPRODUCT(MAX(ROW(E$1:E104)*(E105=E$1:E104)))))</f>
        <v/>
      </c>
      <c r="L105" s="15"/>
    </row>
    <row r="106" customFormat="false" ht="12.75" hidden="false" customHeight="false" outlineLevel="0" collapsed="false">
      <c r="A106" s="0" t="s">
        <v>73</v>
      </c>
      <c r="E106" s="9" t="str">
        <f aca="false">IF(D106="?OLD","!!!","")</f>
        <v/>
      </c>
      <c r="F106" s="10" t="str">
        <f aca="false">IF(OR(E106="",E106="!!!"),"",IF(NOT(ISNA(VLOOKUP(E106,E$1:E105,1,FALSE()))),"OLD",IF(AND(E106&lt;&gt;"",E106&lt;&gt;"!!!"),"NEW","")))</f>
        <v/>
      </c>
      <c r="G106" s="11" t="str">
        <f aca="false">IF(OR(E106="",E106="!!!"),"",IF(OR(J106=0,AND(J106=1,K106=1),AND(J106=1,I106="SBJ"),AND(J106=1,I106=0)),"?IN_FOCUS",IF(J106&lt;=2,"?ACTIVATED",IF(J106&lt;&gt;"","?FAMILIAR",IF(F106="NEW",IF(ISNA(VLOOKUP(E106,#REF!,1,FALSE())),"?TYPE_IDENTIFIABLE","?REFERENTIAL"),"_")))))</f>
        <v/>
      </c>
      <c r="H106" s="12" t="str">
        <f aca="false">IF(J106&lt;&gt;1,"",IF(I106="SBJ","CB","?"))</f>
        <v/>
      </c>
      <c r="I106" s="13" t="str">
        <f aca="false">IF(OR(E106="",E106="!!!",F106="NEW"),"",INDEX(B$2:B105,-1+SUMPRODUCT(MAX(ROW(E$2:E105)*(E106=E$2:E105)))))</f>
        <v/>
      </c>
      <c r="J106" s="14" t="str">
        <f aca="true">IF(OR(E106="",E106="!!!",F106="NEW"),"",COUNTBLANK(OFFSET(A$1,,,SUMPRODUCT(MAX(ROW(E$2:E106)*(E106=E$2:E106)))))-COUNTBLANK(OFFSET(A$1,,,SUMPRODUCT(MAX(ROW(E$1:E105)*(E106=E$1:E105))))))</f>
        <v/>
      </c>
      <c r="K106" s="14" t="str">
        <f aca="false">IF(OR(E106="",E106="!!!",F106="NEW"),"",INDEX(J$1:J105,SUMPRODUCT(MAX(ROW(E$1:E105)*(E106=E$1:E105)))))</f>
        <v/>
      </c>
      <c r="L106" s="15"/>
    </row>
    <row r="107" customFormat="false" ht="12.75" hidden="false" customHeight="false" outlineLevel="0" collapsed="false">
      <c r="E107" s="9" t="str">
        <f aca="false">IF(D107="?OLD","!!!","")</f>
        <v/>
      </c>
      <c r="F107" s="10" t="str">
        <f aca="false">IF(OR(E107="",E107="!!!"),"",IF(NOT(ISNA(VLOOKUP(E107,E$1:E106,1,FALSE()))),"OLD",IF(AND(E107&lt;&gt;"",E107&lt;&gt;"!!!"),"NEW","")))</f>
        <v/>
      </c>
      <c r="G107" s="11" t="str">
        <f aca="false">IF(OR(E107="",E107="!!!"),"",IF(OR(J107=0,AND(J107=1,K107=1),AND(J107=1,I107="SBJ"),AND(J107=1,I107=0)),"?IN_FOCUS",IF(J107&lt;=2,"?ACTIVATED",IF(J107&lt;&gt;"","?FAMILIAR",IF(F107="NEW",IF(ISNA(VLOOKUP(E107,#REF!,1,FALSE())),"?TYPE_IDENTIFIABLE","?REFERENTIAL"),"_")))))</f>
        <v/>
      </c>
      <c r="H107" s="12" t="str">
        <f aca="false">IF(J107&lt;&gt;1,"",IF(I107="SBJ","CB","?"))</f>
        <v/>
      </c>
      <c r="I107" s="13" t="str">
        <f aca="false">IF(OR(E107="",E107="!!!",F107="NEW"),"",INDEX(B$2:B106,-1+SUMPRODUCT(MAX(ROW(E$2:E106)*(E107=E$2:E106)))))</f>
        <v/>
      </c>
      <c r="J107" s="14" t="str">
        <f aca="true">IF(OR(E107="",E107="!!!",F107="NEW"),"",COUNTBLANK(OFFSET(A$1,,,SUMPRODUCT(MAX(ROW(E$2:E107)*(E107=E$2:E107)))))-COUNTBLANK(OFFSET(A$1,,,SUMPRODUCT(MAX(ROW(E$1:E106)*(E107=E$1:E106))))))</f>
        <v/>
      </c>
      <c r="K107" s="14" t="str">
        <f aca="false">IF(OR(E107="",E107="!!!",F107="NEW"),"",INDEX(J$1:J106,SUMPRODUCT(MAX(ROW(E$1:E106)*(E107=E$1:E106)))))</f>
        <v/>
      </c>
      <c r="L107" s="15"/>
    </row>
    <row r="108" customFormat="false" ht="12.75" hidden="false" customHeight="false" outlineLevel="0" collapsed="false">
      <c r="A108" s="0" t="s">
        <v>121</v>
      </c>
      <c r="E108" s="9" t="str">
        <f aca="false">IF(D108="?OLD","!!!","")</f>
        <v/>
      </c>
      <c r="F108" s="10" t="str">
        <f aca="false">IF(OR(E108="",E108="!!!"),"",IF(NOT(ISNA(VLOOKUP(E108,E$1:E107,1,FALSE()))),"OLD",IF(AND(E108&lt;&gt;"",E108&lt;&gt;"!!!"),"NEW","")))</f>
        <v/>
      </c>
      <c r="G108" s="11" t="str">
        <f aca="false">IF(OR(E108="",E108="!!!"),"",IF(OR(J108=0,AND(J108=1,K108=1),AND(J108=1,I108="SBJ"),AND(J108=1,I108=0)),"?IN_FOCUS",IF(J108&lt;=2,"?ACTIVATED",IF(J108&lt;&gt;"","?FAMILIAR",IF(F108="NEW",IF(ISNA(VLOOKUP(E108,#REF!,1,FALSE())),"?TYPE_IDENTIFIABLE","?REFERENTIAL"),"_")))))</f>
        <v/>
      </c>
      <c r="H108" s="12" t="str">
        <f aca="false">IF(J108&lt;&gt;1,"",IF(I108="SBJ","CB","?"))</f>
        <v/>
      </c>
      <c r="I108" s="13" t="str">
        <f aca="false">IF(OR(E108="",E108="!!!",F108="NEW"),"",INDEX(B$2:B107,-1+SUMPRODUCT(MAX(ROW(E$2:E107)*(E108=E$2:E107)))))</f>
        <v/>
      </c>
      <c r="J108" s="14" t="str">
        <f aca="true">IF(OR(E108="",E108="!!!",F108="NEW"),"",COUNTBLANK(OFFSET(A$1,,,SUMPRODUCT(MAX(ROW(E$2:E108)*(E108=E$2:E108)))))-COUNTBLANK(OFFSET(A$1,,,SUMPRODUCT(MAX(ROW(E$1:E107)*(E108=E$1:E107))))))</f>
        <v/>
      </c>
      <c r="K108" s="14" t="str">
        <f aca="false">IF(OR(E108="",E108="!!!",F108="NEW"),"",INDEX(J$1:J107,SUMPRODUCT(MAX(ROW(E$1:E107)*(E108=E$1:E107)))))</f>
        <v/>
      </c>
      <c r="L108" s="15"/>
    </row>
    <row r="109" customFormat="false" ht="12.75" hidden="false" customHeight="false" outlineLevel="0" collapsed="false">
      <c r="A109" s="0" t="s">
        <v>122</v>
      </c>
      <c r="B109" s="0" t="s">
        <v>14</v>
      </c>
      <c r="C109" s="0" t="s">
        <v>38</v>
      </c>
      <c r="D109" s="0" t="s">
        <v>16</v>
      </c>
      <c r="E109" s="9" t="s">
        <v>123</v>
      </c>
      <c r="F109" s="10" t="str">
        <f aca="false">IF(OR(E109="",E109="!!!"),"",IF(NOT(ISNA(VLOOKUP(E109,E$1:E108,1,FALSE()))),"OLD",IF(AND(E109&lt;&gt;"",E109&lt;&gt;"!!!"),"NEW","")))</f>
        <v>NEW</v>
      </c>
      <c r="G109" s="11" t="s">
        <v>39</v>
      </c>
      <c r="H109" s="12" t="str">
        <f aca="false">IF(J109&lt;&gt;1,"",IF(I109="SBJ","CB","?"))</f>
        <v/>
      </c>
      <c r="I109" s="13" t="str">
        <f aca="false">IF(OR(E109="",E109="!!!",F109="NEW"),"",INDEX(B$2:B108,-1+SUMPRODUCT(MAX(ROW(E$2:E108)*(E109=E$2:E108)))))</f>
        <v/>
      </c>
      <c r="J109" s="14" t="str">
        <f aca="true">IF(OR(E109="",E109="!!!",F109="NEW"),"",COUNTBLANK(OFFSET(A$1,,,SUMPRODUCT(MAX(ROW(E$2:E109)*(E109=E$2:E109)))))-COUNTBLANK(OFFSET(A$1,,,SUMPRODUCT(MAX(ROW(E$1:E108)*(E109=E$1:E108))))))</f>
        <v/>
      </c>
      <c r="K109" s="14" t="str">
        <f aca="false">IF(OR(E109="",E109="!!!",F109="NEW"),"",INDEX(J$1:J108,SUMPRODUCT(MAX(ROW(E$1:E108)*(E109=E$1:E108)))))</f>
        <v/>
      </c>
      <c r="L109" s="15"/>
    </row>
    <row r="110" customFormat="false" ht="12.75" hidden="false" customHeight="false" outlineLevel="0" collapsed="false">
      <c r="A110" s="0" t="s">
        <v>124</v>
      </c>
      <c r="E110" s="9" t="str">
        <f aca="false">IF(D110="?OLD","!!!","")</f>
        <v/>
      </c>
      <c r="F110" s="10" t="str">
        <f aca="false">IF(OR(E110="",E110="!!!"),"",IF(NOT(ISNA(VLOOKUP(E110,E$1:E109,1,FALSE()))),"OLD",IF(AND(E110&lt;&gt;"",E110&lt;&gt;"!!!"),"NEW","")))</f>
        <v/>
      </c>
      <c r="G110" s="11" t="str">
        <f aca="false">IF(OR(E110="",E110="!!!"),"",IF(OR(J110=0,AND(J110=1,K110=1),AND(J110=1,I110="SBJ"),AND(J110=1,I110=0)),"?IN_FOCUS",IF(J110&lt;=2,"?ACTIVATED",IF(J110&lt;&gt;"","?FAMILIAR",IF(F110="NEW",IF(ISNA(VLOOKUP(E110,#REF!,1,FALSE())),"?TYPE_IDENTIFIABLE","?REFERENTIAL"),"_")))))</f>
        <v/>
      </c>
      <c r="H110" s="12" t="str">
        <f aca="false">IF(J110&lt;&gt;1,"",IF(I110="SBJ","CB","?"))</f>
        <v/>
      </c>
      <c r="I110" s="13" t="str">
        <f aca="false">IF(OR(E110="",E110="!!!",F110="NEW"),"",INDEX(B$2:B109,-1+SUMPRODUCT(MAX(ROW(E$2:E109)*(E110=E$2:E109)))))</f>
        <v/>
      </c>
      <c r="J110" s="14" t="str">
        <f aca="true">IF(OR(E110="",E110="!!!",F110="NEW"),"",COUNTBLANK(OFFSET(A$1,,,SUMPRODUCT(MAX(ROW(E$2:E110)*(E110=E$2:E110)))))-COUNTBLANK(OFFSET(A$1,,,SUMPRODUCT(MAX(ROW(E$1:E109)*(E110=E$1:E109))))))</f>
        <v/>
      </c>
      <c r="K110" s="14" t="str">
        <f aca="false">IF(OR(E110="",E110="!!!",F110="NEW"),"",INDEX(J$1:J109,SUMPRODUCT(MAX(ROW(E$1:E109)*(E110=E$1:E109)))))</f>
        <v/>
      </c>
      <c r="L110" s="15"/>
    </row>
    <row r="111" customFormat="false" ht="12.75" hidden="false" customHeight="false" outlineLevel="0" collapsed="false">
      <c r="A111" s="0" t="s">
        <v>125</v>
      </c>
      <c r="E111" s="9" t="str">
        <f aca="false">IF(D111="?OLD","!!!","")</f>
        <v/>
      </c>
      <c r="F111" s="10" t="str">
        <f aca="false">IF(OR(E111="",E111="!!!"),"",IF(NOT(ISNA(VLOOKUP(E111,E$1:E110,1,FALSE()))),"OLD",IF(AND(E111&lt;&gt;"",E111&lt;&gt;"!!!"),"NEW","")))</f>
        <v/>
      </c>
      <c r="G111" s="11" t="str">
        <f aca="false">IF(OR(E111="",E111="!!!"),"",IF(OR(J111=0,AND(J111=1,K111=1),AND(J111=1,I111="SBJ"),AND(J111=1,I111=0)),"?IN_FOCUS",IF(J111&lt;=2,"?ACTIVATED",IF(J111&lt;&gt;"","?FAMILIAR",IF(F111="NEW",IF(ISNA(VLOOKUP(E111,#REF!,1,FALSE())),"?TYPE_IDENTIFIABLE","?REFERENTIAL"),"_")))))</f>
        <v/>
      </c>
      <c r="H111" s="12" t="str">
        <f aca="false">IF(J111&lt;&gt;1,"",IF(I111="SBJ","CB","?"))</f>
        <v/>
      </c>
      <c r="I111" s="13" t="str">
        <f aca="false">IF(OR(E111="",E111="!!!",F111="NEW"),"",INDEX(B$2:B110,-1+SUMPRODUCT(MAX(ROW(E$2:E110)*(E111=E$2:E110)))))</f>
        <v/>
      </c>
      <c r="J111" s="14" t="str">
        <f aca="true">IF(OR(E111="",E111="!!!",F111="NEW"),"",COUNTBLANK(OFFSET(A$1,,,SUMPRODUCT(MAX(ROW(E$2:E111)*(E111=E$2:E111)))))-COUNTBLANK(OFFSET(A$1,,,SUMPRODUCT(MAX(ROW(E$1:E110)*(E111=E$1:E110))))))</f>
        <v/>
      </c>
      <c r="K111" s="14" t="str">
        <f aca="false">IF(OR(E111="",E111="!!!",F111="NEW"),"",INDEX(J$1:J110,SUMPRODUCT(MAX(ROW(E$1:E110)*(E111=E$1:E110)))))</f>
        <v/>
      </c>
      <c r="L111" s="15"/>
    </row>
    <row r="112" customFormat="false" ht="12.75" hidden="false" customHeight="false" outlineLevel="0" collapsed="false">
      <c r="A112" s="0" t="s">
        <v>126</v>
      </c>
      <c r="E112" s="9" t="str">
        <f aca="false">IF(D112="?OLD","!!!","")</f>
        <v/>
      </c>
      <c r="F112" s="10" t="str">
        <f aca="false">IF(OR(E112="",E112="!!!"),"",IF(NOT(ISNA(VLOOKUP(E112,E$1:E111,1,FALSE()))),"OLD",IF(AND(E112&lt;&gt;"",E112&lt;&gt;"!!!"),"NEW","")))</f>
        <v/>
      </c>
      <c r="G112" s="11" t="str">
        <f aca="false">IF(OR(E112="",E112="!!!"),"",IF(OR(J112=0,AND(J112=1,K112=1),AND(J112=1,I112="SBJ"),AND(J112=1,I112=0)),"?IN_FOCUS",IF(J112&lt;=2,"?ACTIVATED",IF(J112&lt;&gt;"","?FAMILIAR",IF(F112="NEW",IF(ISNA(VLOOKUP(E112,#REF!,1,FALSE())),"?TYPE_IDENTIFIABLE","?REFERENTIAL"),"_")))))</f>
        <v/>
      </c>
      <c r="H112" s="12" t="str">
        <f aca="false">IF(J112&lt;&gt;1,"",IF(I112="SBJ","CB","?"))</f>
        <v/>
      </c>
      <c r="I112" s="13" t="str">
        <f aca="false">IF(OR(E112="",E112="!!!",F112="NEW"),"",INDEX(B$2:B111,-1+SUMPRODUCT(MAX(ROW(E$2:E111)*(E112=E$2:E111)))))</f>
        <v/>
      </c>
      <c r="J112" s="14" t="str">
        <f aca="true">IF(OR(E112="",E112="!!!",F112="NEW"),"",COUNTBLANK(OFFSET(A$1,,,SUMPRODUCT(MAX(ROW(E$2:E112)*(E112=E$2:E112)))))-COUNTBLANK(OFFSET(A$1,,,SUMPRODUCT(MAX(ROW(E$1:E111)*(E112=E$1:E111))))))</f>
        <v/>
      </c>
      <c r="K112" s="14" t="str">
        <f aca="false">IF(OR(E112="",E112="!!!",F112="NEW"),"",INDEX(J$1:J111,SUMPRODUCT(MAX(ROW(E$1:E111)*(E112=E$1:E111)))))</f>
        <v/>
      </c>
      <c r="L112" s="15"/>
    </row>
    <row r="113" customFormat="false" ht="12.75" hidden="false" customHeight="false" outlineLevel="0" collapsed="false">
      <c r="A113" s="0" t="s">
        <v>127</v>
      </c>
      <c r="E113" s="9" t="str">
        <f aca="false">IF(D113="?OLD","!!!","")</f>
        <v/>
      </c>
      <c r="F113" s="10" t="str">
        <f aca="false">IF(OR(E113="",E113="!!!"),"",IF(NOT(ISNA(VLOOKUP(E113,E$1:E112,1,FALSE()))),"OLD",IF(AND(E113&lt;&gt;"",E113&lt;&gt;"!!!"),"NEW","")))</f>
        <v/>
      </c>
      <c r="G113" s="11" t="str">
        <f aca="false">IF(OR(E113="",E113="!!!"),"",IF(OR(J113=0,AND(J113=1,K113=1),AND(J113=1,I113="SBJ"),AND(J113=1,I113=0)),"?IN_FOCUS",IF(J113&lt;=2,"?ACTIVATED",IF(J113&lt;&gt;"","?FAMILIAR",IF(F113="NEW",IF(ISNA(VLOOKUP(E113,#REF!,1,FALSE())),"?TYPE_IDENTIFIABLE","?REFERENTIAL"),"_")))))</f>
        <v/>
      </c>
      <c r="H113" s="12" t="str">
        <f aca="false">IF(J113&lt;&gt;1,"",IF(I113="SBJ","CB","?"))</f>
        <v/>
      </c>
      <c r="I113" s="13" t="str">
        <f aca="false">IF(OR(E113="",E113="!!!",F113="NEW"),"",INDEX(B$2:B112,-1+SUMPRODUCT(MAX(ROW(E$2:E112)*(E113=E$2:E112)))))</f>
        <v/>
      </c>
      <c r="J113" s="14" t="str">
        <f aca="true">IF(OR(E113="",E113="!!!",F113="NEW"),"",COUNTBLANK(OFFSET(A$1,,,SUMPRODUCT(MAX(ROW(E$2:E113)*(E113=E$2:E113)))))-COUNTBLANK(OFFSET(A$1,,,SUMPRODUCT(MAX(ROW(E$1:E112)*(E113=E$1:E112))))))</f>
        <v/>
      </c>
      <c r="K113" s="14" t="str">
        <f aca="false">IF(OR(E113="",E113="!!!",F113="NEW"),"",INDEX(J$1:J112,SUMPRODUCT(MAX(ROW(E$1:E112)*(E113=E$1:E112)))))</f>
        <v/>
      </c>
      <c r="L113" s="15"/>
    </row>
    <row r="114" customFormat="false" ht="12.75" hidden="false" customHeight="false" outlineLevel="0" collapsed="false">
      <c r="A114" s="0" t="s">
        <v>36</v>
      </c>
      <c r="B114" s="0" t="s">
        <v>62</v>
      </c>
      <c r="C114" s="0" t="s">
        <v>38</v>
      </c>
      <c r="D114" s="0" t="s">
        <v>56</v>
      </c>
      <c r="E114" s="9" t="s">
        <v>17</v>
      </c>
      <c r="F114" s="10" t="str">
        <f aca="false">IF(OR(E114="",E114="!!!"),"",IF(NOT(ISNA(VLOOKUP(E114,E$1:E113,1,FALSE()))),"OLD",IF(AND(E114&lt;&gt;"",E114&lt;&gt;"!!!"),"NEW","")))</f>
        <v>OLD</v>
      </c>
      <c r="G114" s="11" t="s">
        <v>25</v>
      </c>
      <c r="H114" s="12" t="str">
        <f aca="false">IF(J114&lt;&gt;1,"",IF(I114="SBJ","CB","?"))</f>
        <v/>
      </c>
      <c r="I114" s="13" t="str">
        <f aca="false">IF(OR(E114="",E114="!!!",F114="NEW"),"",INDEX(B$2:B113,-1+SUMPRODUCT(MAX(ROW(E$2:E113)*(E114=E$2:E113)))))</f>
        <v>SBJ</v>
      </c>
      <c r="J114" s="14" t="n">
        <f aca="true">IF(OR(E114="",E114="!!!",F114="NEW"),"",COUNTBLANK(OFFSET(A$1,,,SUMPRODUCT(MAX(ROW(E$2:E114)*(E114=E$2:E114)))))-COUNTBLANK(OFFSET(A$1,,,SUMPRODUCT(MAX(ROW(E$1:E113)*(E114=E$1:E113))))))</f>
        <v>3</v>
      </c>
      <c r="K114" s="14" t="n">
        <f aca="false">IF(OR(E114="",E114="!!!",F114="NEW"),"",INDEX(J$1:J113,SUMPRODUCT(MAX(ROW(E$1:E113)*(E114=E$1:E113)))))</f>
        <v>1</v>
      </c>
      <c r="L114" s="15"/>
    </row>
    <row r="115" customFormat="false" ht="12.75" hidden="false" customHeight="false" outlineLevel="0" collapsed="false">
      <c r="A115" s="0" t="s">
        <v>31</v>
      </c>
      <c r="E115" s="9" t="str">
        <f aca="false">IF(D115="?OLD","!!!","")</f>
        <v/>
      </c>
      <c r="F115" s="10" t="str">
        <f aca="false">IF(OR(E115="",E115="!!!"),"",IF(NOT(ISNA(VLOOKUP(E115,E$1:E114,1,FALSE()))),"OLD",IF(AND(E115&lt;&gt;"",E115&lt;&gt;"!!!"),"NEW","")))</f>
        <v/>
      </c>
      <c r="G115" s="11" t="str">
        <f aca="false">IF(OR(E115="",E115="!!!"),"",IF(OR(J115=0,AND(J115=1,K115=1),AND(J115=1,I115="SBJ"),AND(J115=1,I115=0)),"?IN_FOCUS",IF(J115&lt;=2,"?ACTIVATED",IF(J115&lt;&gt;"","?FAMILIAR",IF(F115="NEW",IF(ISNA(VLOOKUP(E115,#REF!,1,FALSE())),"?TYPE_IDENTIFIABLE","?REFERENTIAL"),"_")))))</f>
        <v/>
      </c>
      <c r="H115" s="12" t="str">
        <f aca="false">IF(J115&lt;&gt;1,"",IF(I115="SBJ","CB","?"))</f>
        <v/>
      </c>
      <c r="I115" s="13" t="str">
        <f aca="false">IF(OR(E115="",E115="!!!",F115="NEW"),"",INDEX(B$2:B114,-1+SUMPRODUCT(MAX(ROW(E$2:E114)*(E115=E$2:E114)))))</f>
        <v/>
      </c>
      <c r="J115" s="14" t="str">
        <f aca="true">IF(OR(E115="",E115="!!!",F115="NEW"),"",COUNTBLANK(OFFSET(A$1,,,SUMPRODUCT(MAX(ROW(E$2:E115)*(E115=E$2:E115)))))-COUNTBLANK(OFFSET(A$1,,,SUMPRODUCT(MAX(ROW(E$1:E114)*(E115=E$1:E114))))))</f>
        <v/>
      </c>
      <c r="K115" s="14" t="str">
        <f aca="false">IF(OR(E115="",E115="!!!",F115="NEW"),"",INDEX(J$1:J114,SUMPRODUCT(MAX(ROW(E$1:E114)*(E115=E$1:E114)))))</f>
        <v/>
      </c>
      <c r="L115" s="15"/>
    </row>
    <row r="116" customFormat="false" ht="12.75" hidden="false" customHeight="false" outlineLevel="0" collapsed="false">
      <c r="A116" s="0" t="s">
        <v>128</v>
      </c>
      <c r="E116" s="9" t="str">
        <f aca="false">IF(D116="?OLD","!!!","")</f>
        <v/>
      </c>
      <c r="F116" s="10" t="str">
        <f aca="false">IF(OR(E116="",E116="!!!"),"",IF(NOT(ISNA(VLOOKUP(E116,E$1:E115,1,FALSE()))),"OLD",IF(AND(E116&lt;&gt;"",E116&lt;&gt;"!!!"),"NEW","")))</f>
        <v/>
      </c>
      <c r="G116" s="11" t="str">
        <f aca="false">IF(OR(E116="",E116="!!!"),"",IF(OR(J116=0,AND(J116=1,K116=1),AND(J116=1,I116="SBJ"),AND(J116=1,I116=0)),"?IN_FOCUS",IF(J116&lt;=2,"?ACTIVATED",IF(J116&lt;&gt;"","?FAMILIAR",IF(F116="NEW",IF(ISNA(VLOOKUP(E116,#REF!,1,FALSE())),"?TYPE_IDENTIFIABLE","?REFERENTIAL"),"_")))))</f>
        <v/>
      </c>
      <c r="H116" s="12" t="str">
        <f aca="false">IF(J116&lt;&gt;1,"",IF(I116="SBJ","CB","?"))</f>
        <v/>
      </c>
      <c r="I116" s="13" t="str">
        <f aca="false">IF(OR(E116="",E116="!!!",F116="NEW"),"",INDEX(B$2:B115,-1+SUMPRODUCT(MAX(ROW(E$2:E115)*(E116=E$2:E115)))))</f>
        <v/>
      </c>
      <c r="J116" s="14" t="str">
        <f aca="true">IF(OR(E116="",E116="!!!",F116="NEW"),"",COUNTBLANK(OFFSET(A$1,,,SUMPRODUCT(MAX(ROW(E$2:E116)*(E116=E$2:E116)))))-COUNTBLANK(OFFSET(A$1,,,SUMPRODUCT(MAX(ROW(E$1:E115)*(E116=E$1:E115))))))</f>
        <v/>
      </c>
      <c r="K116" s="14" t="str">
        <f aca="false">IF(OR(E116="",E116="!!!",F116="NEW"),"",INDEX(J$1:J115,SUMPRODUCT(MAX(ROW(E$1:E115)*(E116=E$1:E115)))))</f>
        <v/>
      </c>
      <c r="L116" s="15"/>
    </row>
    <row r="117" customFormat="false" ht="12.75" hidden="false" customHeight="false" outlineLevel="0" collapsed="false">
      <c r="A117" s="0" t="s">
        <v>104</v>
      </c>
      <c r="E117" s="9" t="str">
        <f aca="false">IF(D117="?OLD","!!!","")</f>
        <v/>
      </c>
      <c r="F117" s="10" t="str">
        <f aca="false">IF(OR(E117="",E117="!!!"),"",IF(NOT(ISNA(VLOOKUP(E117,E$1:E116,1,FALSE()))),"OLD",IF(AND(E117&lt;&gt;"",E117&lt;&gt;"!!!"),"NEW","")))</f>
        <v/>
      </c>
      <c r="G117" s="11" t="str">
        <f aca="false">IF(OR(E117="",E117="!!!"),"",IF(OR(J117=0,AND(J117=1,K117=1),AND(J117=1,I117="SBJ"),AND(J117=1,I117=0)),"?IN_FOCUS",IF(J117&lt;=2,"?ACTIVATED",IF(J117&lt;&gt;"","?FAMILIAR",IF(F117="NEW",IF(ISNA(VLOOKUP(E117,#REF!,1,FALSE())),"?TYPE_IDENTIFIABLE","?REFERENTIAL"),"_")))))</f>
        <v/>
      </c>
      <c r="H117" s="12" t="str">
        <f aca="false">IF(J117&lt;&gt;1,"",IF(I117="SBJ","CB","?"))</f>
        <v/>
      </c>
      <c r="I117" s="13" t="str">
        <f aca="false">IF(OR(E117="",E117="!!!",F117="NEW"),"",INDEX(B$2:B116,-1+SUMPRODUCT(MAX(ROW(E$2:E116)*(E117=E$2:E116)))))</f>
        <v/>
      </c>
      <c r="J117" s="14" t="str">
        <f aca="true">IF(OR(E117="",E117="!!!",F117="NEW"),"",COUNTBLANK(OFFSET(A$1,,,SUMPRODUCT(MAX(ROW(E$2:E117)*(E117=E$2:E117)))))-COUNTBLANK(OFFSET(A$1,,,SUMPRODUCT(MAX(ROW(E$1:E116)*(E117=E$1:E116))))))</f>
        <v/>
      </c>
      <c r="K117" s="14" t="str">
        <f aca="false">IF(OR(E117="",E117="!!!",F117="NEW"),"",INDEX(J$1:J116,SUMPRODUCT(MAX(ROW(E$1:E116)*(E117=E$1:E116)))))</f>
        <v/>
      </c>
      <c r="L117" s="15"/>
    </row>
    <row r="118" customFormat="false" ht="12.75" hidden="false" customHeight="false" outlineLevel="0" collapsed="false">
      <c r="A118" s="0" t="s">
        <v>129</v>
      </c>
      <c r="E118" s="9" t="str">
        <f aca="false">IF(D118="?OLD","!!!","")</f>
        <v/>
      </c>
      <c r="F118" s="10" t="str">
        <f aca="false">IF(OR(E118="",E118="!!!"),"",IF(NOT(ISNA(VLOOKUP(E118,E$1:E117,1,FALSE()))),"OLD",IF(AND(E118&lt;&gt;"",E118&lt;&gt;"!!!"),"NEW","")))</f>
        <v/>
      </c>
      <c r="G118" s="11" t="str">
        <f aca="false">IF(OR(E118="",E118="!!!"),"",IF(OR(J118=0,AND(J118=1,K118=1),AND(J118=1,I118="SBJ"),AND(J118=1,I118=0)),"?IN_FOCUS",IF(J118&lt;=2,"?ACTIVATED",IF(J118&lt;&gt;"","?FAMILIAR",IF(F118="NEW",IF(ISNA(VLOOKUP(E118,#REF!,1,FALSE())),"?TYPE_IDENTIFIABLE","?REFERENTIAL"),"_")))))</f>
        <v/>
      </c>
      <c r="H118" s="12" t="str">
        <f aca="false">IF(J118&lt;&gt;1,"",IF(I118="SBJ","CB","?"))</f>
        <v/>
      </c>
      <c r="I118" s="13" t="str">
        <f aca="false">IF(OR(E118="",E118="!!!",F118="NEW"),"",INDEX(B$2:B117,-1+SUMPRODUCT(MAX(ROW(E$2:E117)*(E118=E$2:E117)))))</f>
        <v/>
      </c>
      <c r="J118" s="14" t="str">
        <f aca="true">IF(OR(E118="",E118="!!!",F118="NEW"),"",COUNTBLANK(OFFSET(A$1,,,SUMPRODUCT(MAX(ROW(E$2:E118)*(E118=E$2:E118)))))-COUNTBLANK(OFFSET(A$1,,,SUMPRODUCT(MAX(ROW(E$1:E117)*(E118=E$1:E117))))))</f>
        <v/>
      </c>
      <c r="K118" s="14" t="str">
        <f aca="false">IF(OR(E118="",E118="!!!",F118="NEW"),"",INDEX(J$1:J117,SUMPRODUCT(MAX(ROW(E$1:E117)*(E118=E$1:E117)))))</f>
        <v/>
      </c>
      <c r="L118" s="15"/>
    </row>
    <row r="119" customFormat="false" ht="12.75" hidden="false" customHeight="false" outlineLevel="0" collapsed="false">
      <c r="A119" s="0" t="s">
        <v>130</v>
      </c>
      <c r="E119" s="9" t="str">
        <f aca="false">IF(D119="?OLD","!!!","")</f>
        <v/>
      </c>
      <c r="F119" s="10" t="str">
        <f aca="false">IF(OR(E119="",E119="!!!"),"",IF(NOT(ISNA(VLOOKUP(E119,E$1:E118,1,FALSE()))),"OLD",IF(AND(E119&lt;&gt;"",E119&lt;&gt;"!!!"),"NEW","")))</f>
        <v/>
      </c>
      <c r="G119" s="11" t="str">
        <f aca="false">IF(OR(E119="",E119="!!!"),"",IF(OR(J119=0,AND(J119=1,K119=1),AND(J119=1,I119="SBJ"),AND(J119=1,I119=0)),"?IN_FOCUS",IF(J119&lt;=2,"?ACTIVATED",IF(J119&lt;&gt;"","?FAMILIAR",IF(F119="NEW",IF(ISNA(VLOOKUP(E119,#REF!,1,FALSE())),"?TYPE_IDENTIFIABLE","?REFERENTIAL"),"_")))))</f>
        <v/>
      </c>
      <c r="H119" s="12" t="str">
        <f aca="false">IF(J119&lt;&gt;1,"",IF(I119="SBJ","CB","?"))</f>
        <v/>
      </c>
      <c r="I119" s="13" t="str">
        <f aca="false">IF(OR(E119="",E119="!!!",F119="NEW"),"",INDEX(B$2:B118,-1+SUMPRODUCT(MAX(ROW(E$2:E118)*(E119=E$2:E118)))))</f>
        <v/>
      </c>
      <c r="J119" s="14" t="str">
        <f aca="true">IF(OR(E119="",E119="!!!",F119="NEW"),"",COUNTBLANK(OFFSET(A$1,,,SUMPRODUCT(MAX(ROW(E$2:E119)*(E119=E$2:E119)))))-COUNTBLANK(OFFSET(A$1,,,SUMPRODUCT(MAX(ROW(E$1:E118)*(E119=E$1:E118))))))</f>
        <v/>
      </c>
      <c r="K119" s="14" t="str">
        <f aca="false">IF(OR(E119="",E119="!!!",F119="NEW"),"",INDEX(J$1:J118,SUMPRODUCT(MAX(ROW(E$1:E118)*(E119=E$1:E118)))))</f>
        <v/>
      </c>
      <c r="L119" s="15"/>
    </row>
    <row r="120" customFormat="false" ht="12.75" hidden="false" customHeight="false" outlineLevel="0" collapsed="false">
      <c r="A120" s="0" t="s">
        <v>131</v>
      </c>
      <c r="E120" s="9" t="str">
        <f aca="false">IF(D120="?OLD","!!!","")</f>
        <v/>
      </c>
      <c r="F120" s="10" t="str">
        <f aca="false">IF(OR(E120="",E120="!!!"),"",IF(NOT(ISNA(VLOOKUP(E120,E$1:E119,1,FALSE()))),"OLD",IF(AND(E120&lt;&gt;"",E120&lt;&gt;"!!!"),"NEW","")))</f>
        <v/>
      </c>
      <c r="G120" s="11" t="str">
        <f aca="false">IF(OR(E120="",E120="!!!"),"",IF(OR(J120=0,AND(J120=1,K120=1),AND(J120=1,I120="SBJ"),AND(J120=1,I120=0)),"?IN_FOCUS",IF(J120&lt;=2,"?ACTIVATED",IF(J120&lt;&gt;"","?FAMILIAR",IF(F120="NEW",IF(ISNA(VLOOKUP(E120,#REF!,1,FALSE())),"?TYPE_IDENTIFIABLE","?REFERENTIAL"),"_")))))</f>
        <v/>
      </c>
      <c r="H120" s="12" t="str">
        <f aca="false">IF(J120&lt;&gt;1,"",IF(I120="SBJ","CB","?"))</f>
        <v/>
      </c>
      <c r="I120" s="13" t="str">
        <f aca="false">IF(OR(E120="",E120="!!!",F120="NEW"),"",INDEX(B$2:B119,-1+SUMPRODUCT(MAX(ROW(E$2:E119)*(E120=E$2:E119)))))</f>
        <v/>
      </c>
      <c r="J120" s="14" t="str">
        <f aca="true">IF(OR(E120="",E120="!!!",F120="NEW"),"",COUNTBLANK(OFFSET(A$1,,,SUMPRODUCT(MAX(ROW(E$2:E120)*(E120=E$2:E120)))))-COUNTBLANK(OFFSET(A$1,,,SUMPRODUCT(MAX(ROW(E$1:E119)*(E120=E$1:E119))))))</f>
        <v/>
      </c>
      <c r="K120" s="14" t="str">
        <f aca="false">IF(OR(E120="",E120="!!!",F120="NEW"),"",INDEX(J$1:J119,SUMPRODUCT(MAX(ROW(E$1:E119)*(E120=E$1:E119)))))</f>
        <v/>
      </c>
      <c r="L120" s="15"/>
    </row>
    <row r="121" customFormat="false" ht="12.75" hidden="false" customHeight="false" outlineLevel="0" collapsed="false">
      <c r="A121" s="0" t="s">
        <v>132</v>
      </c>
      <c r="E121" s="9" t="str">
        <f aca="false">IF(D121="?OLD","!!!","")</f>
        <v/>
      </c>
      <c r="F121" s="10" t="str">
        <f aca="false">IF(OR(E121="",E121="!!!"),"",IF(NOT(ISNA(VLOOKUP(E121,E$1:E120,1,FALSE()))),"OLD",IF(AND(E121&lt;&gt;"",E121&lt;&gt;"!!!"),"NEW","")))</f>
        <v/>
      </c>
      <c r="G121" s="11" t="str">
        <f aca="false">IF(OR(E121="",E121="!!!"),"",IF(OR(J121=0,AND(J121=1,K121=1),AND(J121=1,I121="SBJ"),AND(J121=1,I121=0)),"?IN_FOCUS",IF(J121&lt;=2,"?ACTIVATED",IF(J121&lt;&gt;"","?FAMILIAR",IF(F121="NEW",IF(ISNA(VLOOKUP(E121,#REF!,1,FALSE())),"?TYPE_IDENTIFIABLE","?REFERENTIAL"),"_")))))</f>
        <v/>
      </c>
      <c r="H121" s="12" t="str">
        <f aca="false">IF(J121&lt;&gt;1,"",IF(I121="SBJ","CB","?"))</f>
        <v/>
      </c>
      <c r="I121" s="13" t="str">
        <f aca="false">IF(OR(E121="",E121="!!!",F121="NEW"),"",INDEX(B$2:B120,-1+SUMPRODUCT(MAX(ROW(E$2:E120)*(E121=E$2:E120)))))</f>
        <v/>
      </c>
      <c r="J121" s="14" t="str">
        <f aca="true">IF(OR(E121="",E121="!!!",F121="NEW"),"",COUNTBLANK(OFFSET(A$1,,,SUMPRODUCT(MAX(ROW(E$2:E121)*(E121=E$2:E121)))))-COUNTBLANK(OFFSET(A$1,,,SUMPRODUCT(MAX(ROW(E$1:E120)*(E121=E$1:E120))))))</f>
        <v/>
      </c>
      <c r="K121" s="14" t="str">
        <f aca="false">IF(OR(E121="",E121="!!!",F121="NEW"),"",INDEX(J$1:J120,SUMPRODUCT(MAX(ROW(E$1:E120)*(E121=E$1:E120)))))</f>
        <v/>
      </c>
      <c r="L121" s="15"/>
    </row>
    <row r="122" customFormat="false" ht="12.75" hidden="false" customHeight="false" outlineLevel="0" collapsed="false">
      <c r="A122" s="0" t="s">
        <v>45</v>
      </c>
      <c r="E122" s="9" t="str">
        <f aca="false">IF(D122="?OLD","!!!","")</f>
        <v/>
      </c>
      <c r="F122" s="10" t="str">
        <f aca="false">IF(OR(E122="",E122="!!!"),"",IF(NOT(ISNA(VLOOKUP(E122,E$1:E121,1,FALSE()))),"OLD",IF(AND(E122&lt;&gt;"",E122&lt;&gt;"!!!"),"NEW","")))</f>
        <v/>
      </c>
      <c r="G122" s="11" t="str">
        <f aca="false">IF(OR(E122="",E122="!!!"),"",IF(OR(J122=0,AND(J122=1,K122=1),AND(J122=1,I122="SBJ"),AND(J122=1,I122=0)),"?IN_FOCUS",IF(J122&lt;=2,"?ACTIVATED",IF(J122&lt;&gt;"","?FAMILIAR",IF(F122="NEW",IF(ISNA(VLOOKUP(E122,#REF!,1,FALSE())),"?TYPE_IDENTIFIABLE","?REFERENTIAL"),"_")))))</f>
        <v/>
      </c>
      <c r="H122" s="12" t="str">
        <f aca="false">IF(J122&lt;&gt;1,"",IF(I122="SBJ","CB","?"))</f>
        <v/>
      </c>
      <c r="I122" s="13" t="str">
        <f aca="false">IF(OR(E122="",E122="!!!",F122="NEW"),"",INDEX(B$2:B121,-1+SUMPRODUCT(MAX(ROW(E$2:E121)*(E122=E$2:E121)))))</f>
        <v/>
      </c>
      <c r="J122" s="14" t="str">
        <f aca="true">IF(OR(E122="",E122="!!!",F122="NEW"),"",COUNTBLANK(OFFSET(A$1,,,SUMPRODUCT(MAX(ROW(E$2:E122)*(E122=E$2:E122)))))-COUNTBLANK(OFFSET(A$1,,,SUMPRODUCT(MAX(ROW(E$1:E121)*(E122=E$1:E121))))))</f>
        <v/>
      </c>
      <c r="K122" s="14" t="str">
        <f aca="false">IF(OR(E122="",E122="!!!",F122="NEW"),"",INDEX(J$1:J121,SUMPRODUCT(MAX(ROW(E$1:E121)*(E122=E$1:E121)))))</f>
        <v/>
      </c>
      <c r="L122" s="15"/>
    </row>
    <row r="123" customFormat="false" ht="12.75" hidden="false" customHeight="false" outlineLevel="0" collapsed="false">
      <c r="A123" s="0" t="s">
        <v>133</v>
      </c>
      <c r="E123" s="9" t="str">
        <f aca="false">IF(D123="?OLD","!!!","")</f>
        <v/>
      </c>
      <c r="F123" s="10" t="str">
        <f aca="false">IF(OR(E123="",E123="!!!"),"",IF(NOT(ISNA(VLOOKUP(E123,E$1:E122,1,FALSE()))),"OLD",IF(AND(E123&lt;&gt;"",E123&lt;&gt;"!!!"),"NEW","")))</f>
        <v/>
      </c>
      <c r="G123" s="11" t="str">
        <f aca="false">IF(OR(E123="",E123="!!!"),"",IF(OR(J123=0,AND(J123=1,K123=1),AND(J123=1,I123="SBJ"),AND(J123=1,I123=0)),"?IN_FOCUS",IF(J123&lt;=2,"?ACTIVATED",IF(J123&lt;&gt;"","?FAMILIAR",IF(F123="NEW",IF(ISNA(VLOOKUP(E123,#REF!,1,FALSE())),"?TYPE_IDENTIFIABLE","?REFERENTIAL"),"_")))))</f>
        <v/>
      </c>
      <c r="H123" s="12" t="str">
        <f aca="false">IF(J123&lt;&gt;1,"",IF(I123="SBJ","CB","?"))</f>
        <v/>
      </c>
      <c r="I123" s="13" t="str">
        <f aca="false">IF(OR(E123="",E123="!!!",F123="NEW"),"",INDEX(B$2:B122,-1+SUMPRODUCT(MAX(ROW(E$2:E122)*(E123=E$2:E122)))))</f>
        <v/>
      </c>
      <c r="J123" s="14" t="str">
        <f aca="true">IF(OR(E123="",E123="!!!",F123="NEW"),"",COUNTBLANK(OFFSET(A$1,,,SUMPRODUCT(MAX(ROW(E$2:E123)*(E123=E$2:E123)))))-COUNTBLANK(OFFSET(A$1,,,SUMPRODUCT(MAX(ROW(E$1:E122)*(E123=E$1:E122))))))</f>
        <v/>
      </c>
      <c r="K123" s="14" t="str">
        <f aca="false">IF(OR(E123="",E123="!!!",F123="NEW"),"",INDEX(J$1:J122,SUMPRODUCT(MAX(ROW(E$1:E122)*(E123=E$1:E122)))))</f>
        <v/>
      </c>
      <c r="L123" s="15"/>
    </row>
    <row r="124" customFormat="false" ht="12.75" hidden="false" customHeight="false" outlineLevel="0" collapsed="false">
      <c r="A124" s="0" t="s">
        <v>134</v>
      </c>
      <c r="B124" s="0" t="s">
        <v>62</v>
      </c>
      <c r="C124" s="0" t="s">
        <v>135</v>
      </c>
      <c r="D124" s="0" t="s">
        <v>29</v>
      </c>
      <c r="E124" s="9" t="s">
        <v>68</v>
      </c>
      <c r="F124" s="10" t="s">
        <v>69</v>
      </c>
      <c r="G124" s="11"/>
      <c r="H124" s="12"/>
      <c r="I124" s="13" t="str">
        <f aca="false">IF(OR(E124="",E124="!!!",F124="NEW"),"",INDEX(B$2:B123,-1+SUMPRODUCT(MAX(ROW(E$2:E123)*(E124=E$2:E123)))))</f>
        <v>other_3</v>
      </c>
      <c r="J124" s="14" t="n">
        <f aca="true">IF(OR(E124="",E124="!!!",F124="NEW"),"",COUNTBLANK(OFFSET(A$1,,,SUMPRODUCT(MAX(ROW(E$2:E124)*(E124=E$2:E124)))))-COUNTBLANK(OFFSET(A$1,,,SUMPRODUCT(MAX(ROW(E$1:E123)*(E124=E$1:E123))))))</f>
        <v>1</v>
      </c>
      <c r="K124" s="14" t="n">
        <f aca="false">IF(OR(E124="",E124="!!!",F124="NEW"),"",INDEX(J$1:J123,SUMPRODUCT(MAX(ROW(E$1:E123)*(E124=E$1:E123)))))</f>
        <v>0</v>
      </c>
      <c r="L124" s="15"/>
    </row>
    <row r="125" customFormat="false" ht="12.75" hidden="false" customHeight="false" outlineLevel="0" collapsed="false">
      <c r="A125" s="0" t="s">
        <v>136</v>
      </c>
      <c r="E125" s="9" t="str">
        <f aca="false">IF(D125="?OLD","!!!","")</f>
        <v/>
      </c>
      <c r="F125" s="10" t="str">
        <f aca="false">IF(OR(E125="",E125="!!!"),"",IF(NOT(ISNA(VLOOKUP(E125,E$1:E124,1,FALSE()))),"OLD",IF(AND(E125&lt;&gt;"",E125&lt;&gt;"!!!"),"NEW","")))</f>
        <v/>
      </c>
      <c r="G125" s="11" t="str">
        <f aca="false">IF(OR(E125="",E125="!!!"),"",IF(OR(J125=0,AND(J125=1,K125=1),AND(J125=1,I125="SBJ"),AND(J125=1,I125=0)),"?IN_FOCUS",IF(J125&lt;=2,"?ACTIVATED",IF(J125&lt;&gt;"","?FAMILIAR",IF(F125="NEW",IF(ISNA(VLOOKUP(E125,#REF!,1,FALSE())),"?TYPE_IDENTIFIABLE","?REFERENTIAL"),"_")))))</f>
        <v/>
      </c>
      <c r="H125" s="12" t="str">
        <f aca="false">IF(J125&lt;&gt;1,"",IF(I125="SBJ","CB","?"))</f>
        <v/>
      </c>
      <c r="I125" s="13" t="str">
        <f aca="false">IF(OR(E125="",E125="!!!",F125="NEW"),"",INDEX(B$2:B124,-1+SUMPRODUCT(MAX(ROW(E$2:E124)*(E125=E$2:E124)))))</f>
        <v/>
      </c>
      <c r="J125" s="14" t="str">
        <f aca="true">IF(OR(E125="",E125="!!!",F125="NEW"),"",COUNTBLANK(OFFSET(A$1,,,SUMPRODUCT(MAX(ROW(E$2:E125)*(E125=E$2:E125)))))-COUNTBLANK(OFFSET(A$1,,,SUMPRODUCT(MAX(ROW(E$1:E124)*(E125=E$1:E124))))))</f>
        <v/>
      </c>
      <c r="K125" s="14" t="str">
        <f aca="false">IF(OR(E125="",E125="!!!",F125="NEW"),"",INDEX(J$1:J124,SUMPRODUCT(MAX(ROW(E$1:E124)*(E125=E$1:E124)))))</f>
        <v/>
      </c>
      <c r="L125" s="15"/>
    </row>
    <row r="126" customFormat="false" ht="12.75" hidden="false" customHeight="false" outlineLevel="0" collapsed="false">
      <c r="A126" s="0" t="s">
        <v>66</v>
      </c>
      <c r="E126" s="9" t="str">
        <f aca="false">IF(D126="?OLD","!!!","")</f>
        <v/>
      </c>
      <c r="F126" s="10" t="str">
        <f aca="false">IF(OR(E126="",E126="!!!"),"",IF(NOT(ISNA(VLOOKUP(E126,E$1:E125,1,FALSE()))),"OLD",IF(AND(E126&lt;&gt;"",E126&lt;&gt;"!!!"),"NEW","")))</f>
        <v/>
      </c>
      <c r="G126" s="11" t="str">
        <f aca="false">IF(OR(E126="",E126="!!!"),"",IF(OR(J126=0,AND(J126=1,K126=1),AND(J126=1,I126="SBJ"),AND(J126=1,I126=0)),"?IN_FOCUS",IF(J126&lt;=2,"?ACTIVATED",IF(J126&lt;&gt;"","?FAMILIAR",IF(F126="NEW",IF(ISNA(VLOOKUP(E126,#REF!,1,FALSE())),"?TYPE_IDENTIFIABLE","?REFERENTIAL"),"_")))))</f>
        <v/>
      </c>
      <c r="H126" s="12" t="str">
        <f aca="false">IF(J126&lt;&gt;1,"",IF(I126="SBJ","CB","?"))</f>
        <v/>
      </c>
      <c r="I126" s="13" t="str">
        <f aca="false">IF(OR(E126="",E126="!!!",F126="NEW"),"",INDEX(B$2:B125,-1+SUMPRODUCT(MAX(ROW(E$2:E125)*(E126=E$2:E125)))))</f>
        <v/>
      </c>
      <c r="J126" s="14" t="str">
        <f aca="true">IF(OR(E126="",E126="!!!",F126="NEW"),"",COUNTBLANK(OFFSET(A$1,,,SUMPRODUCT(MAX(ROW(E$2:E126)*(E126=E$2:E126)))))-COUNTBLANK(OFFSET(A$1,,,SUMPRODUCT(MAX(ROW(E$1:E125)*(E126=E$1:E125))))))</f>
        <v/>
      </c>
      <c r="K126" s="14" t="str">
        <f aca="false">IF(OR(E126="",E126="!!!",F126="NEW"),"",INDEX(J$1:J125,SUMPRODUCT(MAX(ROW(E$1:E125)*(E126=E$1:E125)))))</f>
        <v/>
      </c>
      <c r="L126" s="15"/>
    </row>
    <row r="127" customFormat="false" ht="12.75" hidden="false" customHeight="false" outlineLevel="0" collapsed="false">
      <c r="A127" s="0" t="s">
        <v>137</v>
      </c>
      <c r="B127" s="0" t="s">
        <v>28</v>
      </c>
      <c r="C127" s="0" t="s">
        <v>111</v>
      </c>
      <c r="D127" s="0" t="s">
        <v>29</v>
      </c>
      <c r="E127" s="9" t="s">
        <v>68</v>
      </c>
      <c r="F127" s="10" t="s">
        <v>69</v>
      </c>
      <c r="G127" s="11"/>
      <c r="H127" s="12" t="str">
        <f aca="false">IF(J127&lt;&gt;1,"",IF(I127="SBJ","CB","?"))</f>
        <v/>
      </c>
      <c r="I127" s="13" t="str">
        <f aca="false">IF(OR(E127="",E127="!!!",F127="NEW"),"",INDEX(B$2:B126,-1+SUMPRODUCT(MAX(ROW(E$2:E126)*(E127=E$2:E126)))))</f>
        <v>other</v>
      </c>
      <c r="J127" s="14" t="n">
        <f aca="true">IF(OR(E127="",E127="!!!",F127="NEW"),"",COUNTBLANK(OFFSET(A$1,,,SUMPRODUCT(MAX(ROW(E$2:E127)*(E127=E$2:E127)))))-COUNTBLANK(OFFSET(A$1,,,SUMPRODUCT(MAX(ROW(E$1:E126)*(E127=E$1:E126))))))</f>
        <v>0</v>
      </c>
      <c r="K127" s="14" t="n">
        <f aca="false">IF(OR(E127="",E127="!!!",F127="NEW"),"",INDEX(J$1:J126,SUMPRODUCT(MAX(ROW(E$1:E126)*(E127=E$1:E126)))))</f>
        <v>1</v>
      </c>
      <c r="L127" s="15"/>
    </row>
    <row r="128" customFormat="false" ht="12.75" hidden="false" customHeight="false" outlineLevel="0" collapsed="false">
      <c r="A128" s="0" t="s">
        <v>73</v>
      </c>
      <c r="E128" s="9" t="str">
        <f aca="false">IF(D128="?OLD","!!!","")</f>
        <v/>
      </c>
      <c r="F128" s="10" t="str">
        <f aca="false">IF(OR(E128="",E128="!!!"),"",IF(NOT(ISNA(VLOOKUP(E128,E$1:E127,1,FALSE()))),"OLD",IF(AND(E128&lt;&gt;"",E128&lt;&gt;"!!!"),"NEW","")))</f>
        <v/>
      </c>
      <c r="G128" s="11" t="str">
        <f aca="false">IF(OR(E128="",E128="!!!"),"",IF(OR(J128=0,AND(J128=1,K128=1),AND(J128=1,I128="SBJ"),AND(J128=1,I128=0)),"?IN_FOCUS",IF(J128&lt;=2,"?ACTIVATED",IF(J128&lt;&gt;"","?FAMILIAR",IF(F128="NEW",IF(ISNA(VLOOKUP(E128,#REF!,1,FALSE())),"?TYPE_IDENTIFIABLE","?REFERENTIAL"),"_")))))</f>
        <v/>
      </c>
      <c r="H128" s="12" t="str">
        <f aca="false">IF(J128&lt;&gt;1,"",IF(I128="SBJ","CB","?"))</f>
        <v/>
      </c>
      <c r="I128" s="13" t="str">
        <f aca="false">IF(OR(E128="",E128="!!!",F128="NEW"),"",INDEX(B$2:B127,-1+SUMPRODUCT(MAX(ROW(E$2:E127)*(E128=E$2:E127)))))</f>
        <v/>
      </c>
      <c r="J128" s="14" t="str">
        <f aca="true">IF(OR(E128="",E128="!!!",F128="NEW"),"",COUNTBLANK(OFFSET(A$1,,,SUMPRODUCT(MAX(ROW(E$2:E128)*(E128=E$2:E128)))))-COUNTBLANK(OFFSET(A$1,,,SUMPRODUCT(MAX(ROW(E$1:E127)*(E128=E$1:E127))))))</f>
        <v/>
      </c>
      <c r="K128" s="14" t="str">
        <f aca="false">IF(OR(E128="",E128="!!!",F128="NEW"),"",INDEX(J$1:J127,SUMPRODUCT(MAX(ROW(E$1:E127)*(E128=E$1:E127)))))</f>
        <v/>
      </c>
      <c r="L128" s="15"/>
    </row>
    <row r="129" customFormat="false" ht="12.75" hidden="false" customHeight="false" outlineLevel="0" collapsed="false">
      <c r="E129" s="9" t="str">
        <f aca="false">IF(D129="?OLD","!!!","")</f>
        <v/>
      </c>
      <c r="F129" s="10" t="str">
        <f aca="false">IF(OR(E129="",E129="!!!"),"",IF(NOT(ISNA(VLOOKUP(E129,E$1:E128,1,FALSE()))),"OLD",IF(AND(E129&lt;&gt;"",E129&lt;&gt;"!!!"),"NEW","")))</f>
        <v/>
      </c>
      <c r="G129" s="11" t="str">
        <f aca="false">IF(OR(E129="",E129="!!!"),"",IF(OR(J129=0,AND(J129=1,K129=1),AND(J129=1,I129="SBJ"),AND(J129=1,I129=0)),"?IN_FOCUS",IF(J129&lt;=2,"?ACTIVATED",IF(J129&lt;&gt;"","?FAMILIAR",IF(F129="NEW",IF(ISNA(VLOOKUP(E129,#REF!,1,FALSE())),"?TYPE_IDENTIFIABLE","?REFERENTIAL"),"_")))))</f>
        <v/>
      </c>
      <c r="H129" s="12" t="str">
        <f aca="false">IF(J129&lt;&gt;1,"",IF(I129="SBJ","CB","?"))</f>
        <v/>
      </c>
      <c r="I129" s="13" t="str">
        <f aca="false">IF(OR(E129="",E129="!!!",F129="NEW"),"",INDEX(B$2:B128,-1+SUMPRODUCT(MAX(ROW(E$2:E128)*(E129=E$2:E128)))))</f>
        <v/>
      </c>
      <c r="J129" s="14" t="str">
        <f aca="true">IF(OR(E129="",E129="!!!",F129="NEW"),"",COUNTBLANK(OFFSET(A$1,,,SUMPRODUCT(MAX(ROW(E$2:E129)*(E129=E$2:E129)))))-COUNTBLANK(OFFSET(A$1,,,SUMPRODUCT(MAX(ROW(E$1:E128)*(E129=E$1:E128))))))</f>
        <v/>
      </c>
      <c r="K129" s="14" t="str">
        <f aca="false">IF(OR(E129="",E129="!!!",F129="NEW"),"",INDEX(J$1:J128,SUMPRODUCT(MAX(ROW(E$1:E128)*(E129=E$1:E128)))))</f>
        <v/>
      </c>
      <c r="L129" s="15"/>
    </row>
    <row r="130" customFormat="false" ht="12.75" hidden="false" customHeight="false" outlineLevel="0" collapsed="false">
      <c r="A130" s="0" t="s">
        <v>138</v>
      </c>
      <c r="E130" s="9" t="str">
        <f aca="false">IF(D130="?OLD","!!!","")</f>
        <v/>
      </c>
      <c r="F130" s="10" t="str">
        <f aca="false">IF(OR(E130="",E130="!!!"),"",IF(NOT(ISNA(VLOOKUP(E130,E$1:E129,1,FALSE()))),"OLD",IF(AND(E130&lt;&gt;"",E130&lt;&gt;"!!!"),"NEW","")))</f>
        <v/>
      </c>
      <c r="G130" s="11" t="str">
        <f aca="false">IF(OR(E130="",E130="!!!"),"",IF(OR(J130=0,AND(J130=1,K130=1),AND(J130=1,I130="SBJ"),AND(J130=1,I130=0)),"?IN_FOCUS",IF(J130&lt;=2,"?ACTIVATED",IF(J130&lt;&gt;"","?FAMILIAR",IF(F130="NEW",IF(ISNA(VLOOKUP(E130,#REF!,1,FALSE())),"?TYPE_IDENTIFIABLE","?REFERENTIAL"),"_")))))</f>
        <v/>
      </c>
      <c r="H130" s="12" t="str">
        <f aca="false">IF(J130&lt;&gt;1,"",IF(I130="SBJ","CB","?"))</f>
        <v/>
      </c>
      <c r="I130" s="13" t="str">
        <f aca="false">IF(OR(E130="",E130="!!!",F130="NEW"),"",INDEX(B$2:B129,-1+SUMPRODUCT(MAX(ROW(E$2:E129)*(E130=E$2:E129)))))</f>
        <v/>
      </c>
      <c r="J130" s="14" t="str">
        <f aca="true">IF(OR(E130="",E130="!!!",F130="NEW"),"",COUNTBLANK(OFFSET(A$1,,,SUMPRODUCT(MAX(ROW(E$2:E130)*(E130=E$2:E130)))))-COUNTBLANK(OFFSET(A$1,,,SUMPRODUCT(MAX(ROW(E$1:E129)*(E130=E$1:E129))))))</f>
        <v/>
      </c>
      <c r="K130" s="14" t="str">
        <f aca="false">IF(OR(E130="",E130="!!!",F130="NEW"),"",INDEX(J$1:J129,SUMPRODUCT(MAX(ROW(E$1:E129)*(E130=E$1:E129)))))</f>
        <v/>
      </c>
      <c r="L130" s="15"/>
    </row>
    <row r="131" customFormat="false" ht="12.75" hidden="false" customHeight="false" outlineLevel="0" collapsed="false">
      <c r="A131" s="0" t="s">
        <v>109</v>
      </c>
      <c r="E131" s="9" t="str">
        <f aca="false">IF(D131="?OLD","!!!","")</f>
        <v/>
      </c>
      <c r="F131" s="10" t="str">
        <f aca="false">IF(OR(E131="",E131="!!!"),"",IF(NOT(ISNA(VLOOKUP(E131,E$1:E130,1,FALSE()))),"OLD",IF(AND(E131&lt;&gt;"",E131&lt;&gt;"!!!"),"NEW","")))</f>
        <v/>
      </c>
      <c r="G131" s="11" t="str">
        <f aca="false">IF(OR(E131="",E131="!!!"),"",IF(OR(J131=0,AND(J131=1,K131=1),AND(J131=1,I131="SBJ"),AND(J131=1,I131=0)),"?IN_FOCUS",IF(J131&lt;=2,"?ACTIVATED",IF(J131&lt;&gt;"","?FAMILIAR",IF(F131="NEW",IF(ISNA(VLOOKUP(E131,#REF!,1,FALSE())),"?TYPE_IDENTIFIABLE","?REFERENTIAL"),"_")))))</f>
        <v/>
      </c>
      <c r="H131" s="12" t="str">
        <f aca="false">IF(J131&lt;&gt;1,"",IF(I131="SBJ","CB","?"))</f>
        <v/>
      </c>
      <c r="I131" s="13" t="str">
        <f aca="false">IF(OR(E131="",E131="!!!",F131="NEW"),"",INDEX(B$2:B130,-1+SUMPRODUCT(MAX(ROW(E$2:E130)*(E131=E$2:E130)))))</f>
        <v/>
      </c>
      <c r="J131" s="14" t="str">
        <f aca="true">IF(OR(E131="",E131="!!!",F131="NEW"),"",COUNTBLANK(OFFSET(A$1,,,SUMPRODUCT(MAX(ROW(E$2:E131)*(E131=E$2:E131)))))-COUNTBLANK(OFFSET(A$1,,,SUMPRODUCT(MAX(ROW(E$1:E130)*(E131=E$1:E130))))))</f>
        <v/>
      </c>
      <c r="K131" s="14" t="str">
        <f aca="false">IF(OR(E131="",E131="!!!",F131="NEW"),"",INDEX(J$1:J130,SUMPRODUCT(MAX(ROW(E$1:E130)*(E131=E$1:E130)))))</f>
        <v/>
      </c>
      <c r="L131" s="15"/>
    </row>
    <row r="132" customFormat="false" ht="12.75" hidden="false" customHeight="false" outlineLevel="0" collapsed="false">
      <c r="A132" s="0" t="s">
        <v>139</v>
      </c>
      <c r="E132" s="9" t="str">
        <f aca="false">IF(D132="?OLD","!!!","")</f>
        <v/>
      </c>
      <c r="F132" s="10" t="str">
        <f aca="false">IF(OR(E132="",E132="!!!"),"",IF(NOT(ISNA(VLOOKUP(E132,E$1:E131,1,FALSE()))),"OLD",IF(AND(E132&lt;&gt;"",E132&lt;&gt;"!!!"),"NEW","")))</f>
        <v/>
      </c>
      <c r="G132" s="11" t="str">
        <f aca="false">IF(OR(E132="",E132="!!!"),"",IF(OR(J132=0,AND(J132=1,K132=1),AND(J132=1,I132="SBJ"),AND(J132=1,I132=0)),"?IN_FOCUS",IF(J132&lt;=2,"?ACTIVATED",IF(J132&lt;&gt;"","?FAMILIAR",IF(F132="NEW",IF(ISNA(VLOOKUP(E132,#REF!,1,FALSE())),"?TYPE_IDENTIFIABLE","?REFERENTIAL"),"_")))))</f>
        <v/>
      </c>
      <c r="H132" s="12" t="str">
        <f aca="false">IF(J132&lt;&gt;1,"",IF(I132="SBJ","CB","?"))</f>
        <v/>
      </c>
      <c r="I132" s="13" t="str">
        <f aca="false">IF(OR(E132="",E132="!!!",F132="NEW"),"",INDEX(B$2:B131,-1+SUMPRODUCT(MAX(ROW(E$2:E131)*(E132=E$2:E131)))))</f>
        <v/>
      </c>
      <c r="J132" s="14" t="str">
        <f aca="true">IF(OR(E132="",E132="!!!",F132="NEW"),"",COUNTBLANK(OFFSET(A$1,,,SUMPRODUCT(MAX(ROW(E$2:E132)*(E132=E$2:E132)))))-COUNTBLANK(OFFSET(A$1,,,SUMPRODUCT(MAX(ROW(E$1:E131)*(E132=E$1:E131))))))</f>
        <v/>
      </c>
      <c r="K132" s="14" t="str">
        <f aca="false">IF(OR(E132="",E132="!!!",F132="NEW"),"",INDEX(J$1:J131,SUMPRODUCT(MAX(ROW(E$1:E131)*(E132=E$1:E131)))))</f>
        <v/>
      </c>
      <c r="L132" s="15"/>
    </row>
    <row r="133" customFormat="false" ht="12.75" hidden="false" customHeight="false" outlineLevel="0" collapsed="false">
      <c r="A133" s="0" t="s">
        <v>140</v>
      </c>
      <c r="B133" s="0" t="s">
        <v>14</v>
      </c>
      <c r="C133" s="0" t="s">
        <v>111</v>
      </c>
      <c r="D133" s="0" t="s">
        <v>29</v>
      </c>
      <c r="E133" s="9" t="s">
        <v>68</v>
      </c>
      <c r="F133" s="10" t="s">
        <v>16</v>
      </c>
      <c r="G133" s="11"/>
      <c r="H133" s="12" t="str">
        <f aca="false">IF(J133&lt;&gt;1,"",IF(I133="SBJ","CB","?"))</f>
        <v/>
      </c>
      <c r="I133" s="13" t="str">
        <f aca="false">IF(OR(E133="",E133="!!!",F133="NEW"),"",INDEX(B$2:B132,-1+SUMPRODUCT(MAX(ROW(E$2:E132)*(E133=E$2:E132)))))</f>
        <v/>
      </c>
      <c r="J133" s="14" t="str">
        <f aca="true">IF(OR(E133="",E133="!!!",F133="NEW"),"",COUNTBLANK(OFFSET(A$1,,,SUMPRODUCT(MAX(ROW(E$2:E133)*(E133=E$2:E133)))))-COUNTBLANK(OFFSET(A$1,,,SUMPRODUCT(MAX(ROW(E$1:E132)*(E133=E$1:E132))))))</f>
        <v/>
      </c>
      <c r="K133" s="14" t="str">
        <f aca="false">IF(OR(E133="",E133="!!!",F133="NEW"),"",INDEX(J$1:J132,SUMPRODUCT(MAX(ROW(E$1:E132)*(E133=E$1:E132)))))</f>
        <v/>
      </c>
      <c r="L133" s="15"/>
    </row>
    <row r="134" customFormat="false" ht="12.75" hidden="false" customHeight="false" outlineLevel="0" collapsed="false">
      <c r="A134" s="0" t="s">
        <v>48</v>
      </c>
      <c r="E134" s="9" t="str">
        <f aca="false">IF(D134="?OLD","!!!","")</f>
        <v/>
      </c>
      <c r="F134" s="10" t="str">
        <f aca="false">IF(OR(E134="",E134="!!!"),"",IF(NOT(ISNA(VLOOKUP(E134,E$1:E133,1,FALSE()))),"OLD",IF(AND(E134&lt;&gt;"",E134&lt;&gt;"!!!"),"NEW","")))</f>
        <v/>
      </c>
      <c r="G134" s="11" t="str">
        <f aca="false">IF(OR(E134="",E134="!!!"),"",IF(OR(J134=0,AND(J134=1,K134=1),AND(J134=1,I134="SBJ"),AND(J134=1,I134=0)),"?IN_FOCUS",IF(J134&lt;=2,"?ACTIVATED",IF(J134&lt;&gt;"","?FAMILIAR",IF(F134="NEW",IF(ISNA(VLOOKUP(E134,#REF!,1,FALSE())),"?TYPE_IDENTIFIABLE","?REFERENTIAL"),"_")))))</f>
        <v/>
      </c>
      <c r="H134" s="12" t="str">
        <f aca="false">IF(J134&lt;&gt;1,"",IF(I134="SBJ","CB","?"))</f>
        <v/>
      </c>
      <c r="I134" s="13" t="str">
        <f aca="false">IF(OR(E134="",E134="!!!",F134="NEW"),"",INDEX(B$2:B133,-1+SUMPRODUCT(MAX(ROW(E$2:E133)*(E134=E$2:E133)))))</f>
        <v/>
      </c>
      <c r="J134" s="14" t="str">
        <f aca="true">IF(OR(E134="",E134="!!!",F134="NEW"),"",COUNTBLANK(OFFSET(A$1,,,SUMPRODUCT(MAX(ROW(E$2:E134)*(E134=E$2:E134)))))-COUNTBLANK(OFFSET(A$1,,,SUMPRODUCT(MAX(ROW(E$1:E133)*(E134=E$1:E133))))))</f>
        <v/>
      </c>
      <c r="K134" s="14" t="str">
        <f aca="false">IF(OR(E134="",E134="!!!",F134="NEW"),"",INDEX(J$1:J133,SUMPRODUCT(MAX(ROW(E$1:E133)*(E134=E$1:E133)))))</f>
        <v/>
      </c>
      <c r="L134" s="15"/>
    </row>
    <row r="135" customFormat="false" ht="12.75" hidden="false" customHeight="false" outlineLevel="0" collapsed="false">
      <c r="A135" s="0" t="s">
        <v>136</v>
      </c>
      <c r="E135" s="9" t="str">
        <f aca="false">IF(D135="?OLD","!!!","")</f>
        <v/>
      </c>
      <c r="F135" s="10" t="str">
        <f aca="false">IF(OR(E135="",E135="!!!"),"",IF(NOT(ISNA(VLOOKUP(E135,E$1:E134,1,FALSE()))),"OLD",IF(AND(E135&lt;&gt;"",E135&lt;&gt;"!!!"),"NEW","")))</f>
        <v/>
      </c>
      <c r="G135" s="11" t="str">
        <f aca="false">IF(OR(E135="",E135="!!!"),"",IF(OR(J135=0,AND(J135=1,K135=1),AND(J135=1,I135="SBJ"),AND(J135=1,I135=0)),"?IN_FOCUS",IF(J135&lt;=2,"?ACTIVATED",IF(J135&lt;&gt;"","?FAMILIAR",IF(F135="NEW",IF(ISNA(VLOOKUP(E135,#REF!,1,FALSE())),"?TYPE_IDENTIFIABLE","?REFERENTIAL"),"_")))))</f>
        <v/>
      </c>
      <c r="H135" s="12" t="str">
        <f aca="false">IF(J135&lt;&gt;1,"",IF(I135="SBJ","CB","?"))</f>
        <v/>
      </c>
      <c r="I135" s="13" t="str">
        <f aca="false">IF(OR(E135="",E135="!!!",F135="NEW"),"",INDEX(B$2:B134,-1+SUMPRODUCT(MAX(ROW(E$2:E134)*(E135=E$2:E134)))))</f>
        <v/>
      </c>
      <c r="J135" s="14" t="str">
        <f aca="true">IF(OR(E135="",E135="!!!",F135="NEW"),"",COUNTBLANK(OFFSET(A$1,,,SUMPRODUCT(MAX(ROW(E$2:E135)*(E135=E$2:E135)))))-COUNTBLANK(OFFSET(A$1,,,SUMPRODUCT(MAX(ROW(E$1:E134)*(E135=E$1:E134))))))</f>
        <v/>
      </c>
      <c r="K135" s="14" t="str">
        <f aca="false">IF(OR(E135="",E135="!!!",F135="NEW"),"",INDEX(J$1:J134,SUMPRODUCT(MAX(ROW(E$1:E134)*(E135=E$1:E134)))))</f>
        <v/>
      </c>
      <c r="L135" s="15"/>
    </row>
    <row r="136" customFormat="false" ht="12.75" hidden="false" customHeight="false" outlineLevel="0" collapsed="false">
      <c r="A136" s="0" t="s">
        <v>141</v>
      </c>
      <c r="B136" s="0" t="s">
        <v>62</v>
      </c>
      <c r="C136" s="0" t="s">
        <v>15</v>
      </c>
      <c r="D136" s="0" t="s">
        <v>29</v>
      </c>
      <c r="E136" s="9" t="s">
        <v>68</v>
      </c>
      <c r="F136" s="10" t="s">
        <v>69</v>
      </c>
      <c r="G136" s="11"/>
      <c r="H136" s="12" t="str">
        <f aca="false">IF(J136&lt;&gt;1,"",IF(I136="SBJ","CB","?"))</f>
        <v/>
      </c>
      <c r="I136" s="13" t="str">
        <f aca="false">IF(OR(E136="",E136="!!!",F136="NEW"),"",INDEX(B$2:B135,-1+SUMPRODUCT(MAX(ROW(E$2:E135)*(E136=E$2:E135)))))</f>
        <v>SBJ</v>
      </c>
      <c r="J136" s="14" t="n">
        <f aca="true">IF(OR(E136="",E136="!!!",F136="NEW"),"",COUNTBLANK(OFFSET(A$1,,,SUMPRODUCT(MAX(ROW(E$2:E136)*(E136=E$2:E136)))))-COUNTBLANK(OFFSET(A$1,,,SUMPRODUCT(MAX(ROW(E$1:E135)*(E136=E$1:E135))))))</f>
        <v>0</v>
      </c>
      <c r="K136" s="14" t="str">
        <f aca="false">IF(OR(E136="",E136="!!!",F136="NEW"),"",INDEX(J$1:J135,SUMPRODUCT(MAX(ROW(E$1:E135)*(E136=E$1:E135)))))</f>
        <v/>
      </c>
      <c r="L136" s="15"/>
    </row>
    <row r="137" customFormat="false" ht="12.75" hidden="false" customHeight="false" outlineLevel="0" collapsed="false">
      <c r="A137" s="0" t="s">
        <v>19</v>
      </c>
      <c r="E137" s="9" t="str">
        <f aca="false">IF(D137="?OLD","!!!","")</f>
        <v/>
      </c>
      <c r="F137" s="10" t="str">
        <f aca="false">IF(OR(E137="",E137="!!!"),"",IF(NOT(ISNA(VLOOKUP(E137,E$1:E136,1,FALSE()))),"OLD",IF(AND(E137&lt;&gt;"",E137&lt;&gt;"!!!"),"NEW","")))</f>
        <v/>
      </c>
      <c r="G137" s="11" t="str">
        <f aca="false">IF(OR(E137="",E137="!!!"),"",IF(OR(J137=0,AND(J137=1,K137=1),AND(J137=1,I137="SBJ"),AND(J137=1,I137=0)),"?IN_FOCUS",IF(J137&lt;=2,"?ACTIVATED",IF(J137&lt;&gt;"","?FAMILIAR",IF(F137="NEW",IF(ISNA(VLOOKUP(E137,#REF!,1,FALSE())),"?TYPE_IDENTIFIABLE","?REFERENTIAL"),"_")))))</f>
        <v/>
      </c>
      <c r="H137" s="12" t="str">
        <f aca="false">IF(J137&lt;&gt;1,"",IF(I137="SBJ","CB","?"))</f>
        <v/>
      </c>
      <c r="I137" s="13" t="str">
        <f aca="false">IF(OR(E137="",E137="!!!",F137="NEW"),"",INDEX(B$2:B136,-1+SUMPRODUCT(MAX(ROW(E$2:E136)*(E137=E$2:E136)))))</f>
        <v/>
      </c>
      <c r="J137" s="14" t="str">
        <f aca="true">IF(OR(E137="",E137="!!!",F137="NEW"),"",COUNTBLANK(OFFSET(A$1,,,SUMPRODUCT(MAX(ROW(E$2:E137)*(E137=E$2:E137)))))-COUNTBLANK(OFFSET(A$1,,,SUMPRODUCT(MAX(ROW(E$1:E136)*(E137=E$1:E136))))))</f>
        <v/>
      </c>
      <c r="K137" s="14" t="str">
        <f aca="false">IF(OR(E137="",E137="!!!",F137="NEW"),"",INDEX(J$1:J136,SUMPRODUCT(MAX(ROW(E$1:E136)*(E137=E$1:E136)))))</f>
        <v/>
      </c>
      <c r="L137" s="15"/>
    </row>
    <row r="138" customFormat="false" ht="12.75" hidden="false" customHeight="false" outlineLevel="0" collapsed="false">
      <c r="A138" s="0" t="s">
        <v>142</v>
      </c>
      <c r="B138" s="0" t="s">
        <v>62</v>
      </c>
      <c r="C138" s="0" t="s">
        <v>38</v>
      </c>
      <c r="D138" s="0" t="s">
        <v>16</v>
      </c>
      <c r="E138" s="9" t="s">
        <v>143</v>
      </c>
      <c r="F138" s="10" t="str">
        <f aca="false">IF(OR(E138="",E138="!!!"),"",IF(NOT(ISNA(VLOOKUP(E138,E$1:E137,1,FALSE()))),"OLD",IF(AND(E138&lt;&gt;"",E138&lt;&gt;"!!!"),"NEW","")))</f>
        <v>NEW</v>
      </c>
      <c r="G138" s="11" t="s">
        <v>25</v>
      </c>
      <c r="H138" s="12" t="str">
        <f aca="false">IF(J138&lt;&gt;1,"",IF(I138="SBJ","CB","?"))</f>
        <v/>
      </c>
      <c r="I138" s="13" t="str">
        <f aca="false">IF(OR(E138="",E138="!!!",F138="NEW"),"",INDEX(B$2:B137,-1+SUMPRODUCT(MAX(ROW(E$2:E137)*(E138=E$2:E137)))))</f>
        <v/>
      </c>
      <c r="J138" s="14" t="str">
        <f aca="true">IF(OR(E138="",E138="!!!",F138="NEW"),"",COUNTBLANK(OFFSET(A$1,,,SUMPRODUCT(MAX(ROW(E$2:E138)*(E138=E$2:E138)))))-COUNTBLANK(OFFSET(A$1,,,SUMPRODUCT(MAX(ROW(E$1:E137)*(E138=E$1:E137))))))</f>
        <v/>
      </c>
      <c r="K138" s="14" t="str">
        <f aca="false">IF(OR(E138="",E138="!!!",F138="NEW"),"",INDEX(J$1:J137,SUMPRODUCT(MAX(ROW(E$1:E137)*(E138=E$1:E137)))))</f>
        <v/>
      </c>
      <c r="L138" s="15"/>
    </row>
    <row r="139" customFormat="false" ht="12.75" hidden="false" customHeight="false" outlineLevel="0" collapsed="false">
      <c r="A139" s="0" t="s">
        <v>144</v>
      </c>
      <c r="E139" s="9" t="str">
        <f aca="false">IF(D139="?OLD","!!!","")</f>
        <v/>
      </c>
      <c r="F139" s="10" t="str">
        <f aca="false">IF(OR(E139="",E139="!!!"),"",IF(NOT(ISNA(VLOOKUP(E139,E$1:E138,1,FALSE()))),"OLD",IF(AND(E139&lt;&gt;"",E139&lt;&gt;"!!!"),"NEW","")))</f>
        <v/>
      </c>
      <c r="G139" s="11" t="str">
        <f aca="false">IF(OR(E139="",E139="!!!"),"",IF(OR(J139=0,AND(J139=1,K139=1),AND(J139=1,I139="SBJ"),AND(J139=1,I139=0)),"?IN_FOCUS",IF(J139&lt;=2,"?ACTIVATED",IF(J139&lt;&gt;"","?FAMILIAR",IF(F139="NEW",IF(ISNA(VLOOKUP(E139,#REF!,1,FALSE())),"?TYPE_IDENTIFIABLE","?REFERENTIAL"),"_")))))</f>
        <v/>
      </c>
      <c r="H139" s="12" t="str">
        <f aca="false">IF(J139&lt;&gt;1,"",IF(I139="SBJ","CB","?"))</f>
        <v/>
      </c>
      <c r="I139" s="13" t="str">
        <f aca="false">IF(OR(E139="",E139="!!!",F139="NEW"),"",INDEX(B$2:B138,-1+SUMPRODUCT(MAX(ROW(E$2:E138)*(E139=E$2:E138)))))</f>
        <v/>
      </c>
      <c r="J139" s="14" t="str">
        <f aca="true">IF(OR(E139="",E139="!!!",F139="NEW"),"",COUNTBLANK(OFFSET(A$1,,,SUMPRODUCT(MAX(ROW(E$2:E139)*(E139=E$2:E139)))))-COUNTBLANK(OFFSET(A$1,,,SUMPRODUCT(MAX(ROW(E$1:E138)*(E139=E$1:E138))))))</f>
        <v/>
      </c>
      <c r="K139" s="14" t="str">
        <f aca="false">IF(OR(E139="",E139="!!!",F139="NEW"),"",INDEX(J$1:J138,SUMPRODUCT(MAX(ROW(E$1:E138)*(E139=E$1:E138)))))</f>
        <v/>
      </c>
      <c r="L139" s="15"/>
    </row>
    <row r="140" customFormat="false" ht="12.75" hidden="false" customHeight="false" outlineLevel="0" collapsed="false">
      <c r="A140" s="0" t="s">
        <v>145</v>
      </c>
      <c r="E140" s="9" t="str">
        <f aca="false">IF(D140="?OLD","!!!","")</f>
        <v/>
      </c>
      <c r="F140" s="10" t="str">
        <f aca="false">IF(OR(E140="",E140="!!!"),"",IF(NOT(ISNA(VLOOKUP(E140,E$1:E139,1,FALSE()))),"OLD",IF(AND(E140&lt;&gt;"",E140&lt;&gt;"!!!"),"NEW","")))</f>
        <v/>
      </c>
      <c r="G140" s="11" t="str">
        <f aca="false">IF(OR(E140="",E140="!!!"),"",IF(OR(J140=0,AND(J140=1,K140=1),AND(J140=1,I140="SBJ"),AND(J140=1,I140=0)),"?IN_FOCUS",IF(J140&lt;=2,"?ACTIVATED",IF(J140&lt;&gt;"","?FAMILIAR",IF(F140="NEW",IF(ISNA(VLOOKUP(E140,#REF!,1,FALSE())),"?TYPE_IDENTIFIABLE","?REFERENTIAL"),"_")))))</f>
        <v/>
      </c>
      <c r="H140" s="12" t="str">
        <f aca="false">IF(J140&lt;&gt;1,"",IF(I140="SBJ","CB","?"))</f>
        <v/>
      </c>
      <c r="I140" s="13" t="str">
        <f aca="false">IF(OR(E140="",E140="!!!",F140="NEW"),"",INDEX(B$2:B139,-1+SUMPRODUCT(MAX(ROW(E$2:E139)*(E140=E$2:E139)))))</f>
        <v/>
      </c>
      <c r="J140" s="14" t="str">
        <f aca="true">IF(OR(E140="",E140="!!!",F140="NEW"),"",COUNTBLANK(OFFSET(A$1,,,SUMPRODUCT(MAX(ROW(E$2:E140)*(E140=E$2:E140)))))-COUNTBLANK(OFFSET(A$1,,,SUMPRODUCT(MAX(ROW(E$1:E139)*(E140=E$1:E139))))))</f>
        <v/>
      </c>
      <c r="K140" s="14" t="str">
        <f aca="false">IF(OR(E140="",E140="!!!",F140="NEW"),"",INDEX(J$1:J139,SUMPRODUCT(MAX(ROW(E$1:E139)*(E140=E$1:E139)))))</f>
        <v/>
      </c>
      <c r="L140" s="15"/>
    </row>
    <row r="141" customFormat="false" ht="12.75" hidden="false" customHeight="false" outlineLevel="0" collapsed="false">
      <c r="A141" s="0" t="s">
        <v>146</v>
      </c>
      <c r="E141" s="9" t="str">
        <f aca="false">IF(D141="?OLD","!!!","")</f>
        <v/>
      </c>
      <c r="F141" s="10" t="str">
        <f aca="false">IF(OR(E141="",E141="!!!"),"",IF(NOT(ISNA(VLOOKUP(E141,E$1:E140,1,FALSE()))),"OLD",IF(AND(E141&lt;&gt;"",E141&lt;&gt;"!!!"),"NEW","")))</f>
        <v/>
      </c>
      <c r="G141" s="11" t="str">
        <f aca="false">IF(OR(E141="",E141="!!!"),"",IF(OR(J141=0,AND(J141=1,K141=1),AND(J141=1,I141="SBJ"),AND(J141=1,I141=0)),"?IN_FOCUS",IF(J141&lt;=2,"?ACTIVATED",IF(J141&lt;&gt;"","?FAMILIAR",IF(F141="NEW",IF(ISNA(VLOOKUP(E141,#REF!,1,FALSE())),"?TYPE_IDENTIFIABLE","?REFERENTIAL"),"_")))))</f>
        <v/>
      </c>
      <c r="H141" s="12" t="str">
        <f aca="false">IF(J141&lt;&gt;1,"",IF(I141="SBJ","CB","?"))</f>
        <v/>
      </c>
      <c r="I141" s="13" t="str">
        <f aca="false">IF(OR(E141="",E141="!!!",F141="NEW"),"",INDEX(B$2:B140,-1+SUMPRODUCT(MAX(ROW(E$2:E140)*(E141=E$2:E140)))))</f>
        <v/>
      </c>
      <c r="J141" s="14" t="str">
        <f aca="true">IF(OR(E141="",E141="!!!",F141="NEW"),"",COUNTBLANK(OFFSET(A$1,,,SUMPRODUCT(MAX(ROW(E$2:E141)*(E141=E$2:E141)))))-COUNTBLANK(OFFSET(A$1,,,SUMPRODUCT(MAX(ROW(E$1:E140)*(E141=E$1:E140))))))</f>
        <v/>
      </c>
      <c r="K141" s="14" t="str">
        <f aca="false">IF(OR(E141="",E141="!!!",F141="NEW"),"",INDEX(J$1:J140,SUMPRODUCT(MAX(ROW(E$1:E140)*(E141=E$1:E140)))))</f>
        <v/>
      </c>
      <c r="L141" s="15"/>
    </row>
    <row r="142" customFormat="false" ht="12.75" hidden="false" customHeight="false" outlineLevel="0" collapsed="false">
      <c r="A142" s="0" t="s">
        <v>147</v>
      </c>
      <c r="B142" s="0" t="s">
        <v>42</v>
      </c>
      <c r="C142" s="0" t="s">
        <v>38</v>
      </c>
      <c r="D142" s="0" t="s">
        <v>56</v>
      </c>
      <c r="E142" s="9" t="s">
        <v>143</v>
      </c>
      <c r="F142" s="10" t="str">
        <f aca="false">IF(OR(E142="",E142="!!!"),"",IF(NOT(ISNA(VLOOKUP(E142,E$1:E141,1,FALSE()))),"OLD",IF(AND(E142&lt;&gt;"",E142&lt;&gt;"!!!"),"NEW","")))</f>
        <v>OLD</v>
      </c>
      <c r="G142" s="11" t="s">
        <v>39</v>
      </c>
      <c r="H142" s="12" t="str">
        <f aca="false">IF(J142&lt;&gt;1,"",IF(I142="SBJ","CB","?"))</f>
        <v/>
      </c>
      <c r="I142" s="13" t="str">
        <f aca="false">IF(OR(E142="",E142="!!!",F142="NEW"),"",INDEX(B$2:B141,-1+SUMPRODUCT(MAX(ROW(E$2:E141)*(E142=E$2:E141)))))</f>
        <v>other</v>
      </c>
      <c r="J142" s="14" t="n">
        <f aca="true">IF(OR(E142="",E142="!!!",F142="NEW"),"",COUNTBLANK(OFFSET(A$1,,,SUMPRODUCT(MAX(ROW(E$2:E142)*(E142=E$2:E142)))))-COUNTBLANK(OFFSET(A$1,,,SUMPRODUCT(MAX(ROW(E$1:E141)*(E142=E$1:E141))))))</f>
        <v>0</v>
      </c>
      <c r="K142" s="14" t="str">
        <f aca="false">IF(OR(E142="",E142="!!!",F142="NEW"),"",INDEX(J$1:J141,SUMPRODUCT(MAX(ROW(E$1:E141)*(E142=E$1:E141)))))</f>
        <v/>
      </c>
      <c r="L142" s="15"/>
    </row>
    <row r="143" customFormat="false" ht="12.75" hidden="false" customHeight="false" outlineLevel="0" collapsed="false">
      <c r="A143" s="0" t="s">
        <v>95</v>
      </c>
      <c r="E143" s="9" t="str">
        <f aca="false">IF(D143="?OLD","!!!","")</f>
        <v/>
      </c>
      <c r="F143" s="10" t="str">
        <f aca="false">IF(OR(E143="",E143="!!!"),"",IF(NOT(ISNA(VLOOKUP(E143,E$1:E142,1,FALSE()))),"OLD",IF(AND(E143&lt;&gt;"",E143&lt;&gt;"!!!"),"NEW","")))</f>
        <v/>
      </c>
      <c r="G143" s="11" t="str">
        <f aca="false">IF(OR(E143="",E143="!!!"),"",IF(OR(J143=0,AND(J143=1,K143=1),AND(J143=1,I143="SBJ"),AND(J143=1,I143=0)),"?IN_FOCUS",IF(J143&lt;=2,"?ACTIVATED",IF(J143&lt;&gt;"","?FAMILIAR",IF(F143="NEW",IF(ISNA(VLOOKUP(E143,#REF!,1,FALSE())),"?TYPE_IDENTIFIABLE","?REFERENTIAL"),"_")))))</f>
        <v/>
      </c>
      <c r="H143" s="12" t="str">
        <f aca="false">IF(J143&lt;&gt;1,"",IF(I143="SBJ","CB","?"))</f>
        <v/>
      </c>
      <c r="I143" s="13" t="str">
        <f aca="false">IF(OR(E143="",E143="!!!",F143="NEW"),"",INDEX(B$2:B142,-1+SUMPRODUCT(MAX(ROW(E$2:E142)*(E143=E$2:E142)))))</f>
        <v/>
      </c>
      <c r="J143" s="14" t="str">
        <f aca="true">IF(OR(E143="",E143="!!!",F143="NEW"),"",COUNTBLANK(OFFSET(A$1,,,SUMPRODUCT(MAX(ROW(E$2:E143)*(E143=E$2:E143)))))-COUNTBLANK(OFFSET(A$1,,,SUMPRODUCT(MAX(ROW(E$1:E142)*(E143=E$1:E142))))))</f>
        <v/>
      </c>
      <c r="K143" s="14" t="str">
        <f aca="false">IF(OR(E143="",E143="!!!",F143="NEW"),"",INDEX(J$1:J142,SUMPRODUCT(MAX(ROW(E$1:E142)*(E143=E$1:E142)))))</f>
        <v/>
      </c>
      <c r="L143" s="15"/>
    </row>
    <row r="144" customFormat="false" ht="12.75" hidden="false" customHeight="false" outlineLevel="0" collapsed="false">
      <c r="A144" s="0" t="s">
        <v>148</v>
      </c>
      <c r="E144" s="9" t="str">
        <f aca="false">IF(D144="?OLD","!!!","")</f>
        <v/>
      </c>
      <c r="F144" s="10" t="str">
        <f aca="false">IF(OR(E144="",E144="!!!"),"",IF(NOT(ISNA(VLOOKUP(E144,E$1:E143,1,FALSE()))),"OLD",IF(AND(E144&lt;&gt;"",E144&lt;&gt;"!!!"),"NEW","")))</f>
        <v/>
      </c>
      <c r="G144" s="11" t="str">
        <f aca="false">IF(OR(E144="",E144="!!!"),"",IF(OR(J144=0,AND(J144=1,K144=1),AND(J144=1,I144="SBJ"),AND(J144=1,I144=0)),"?IN_FOCUS",IF(J144&lt;=2,"?ACTIVATED",IF(J144&lt;&gt;"","?FAMILIAR",IF(F144="NEW",IF(ISNA(VLOOKUP(E144,#REF!,1,FALSE())),"?TYPE_IDENTIFIABLE","?REFERENTIAL"),"_")))))</f>
        <v/>
      </c>
      <c r="H144" s="12" t="str">
        <f aca="false">IF(J144&lt;&gt;1,"",IF(I144="SBJ","CB","?"))</f>
        <v/>
      </c>
      <c r="I144" s="13" t="str">
        <f aca="false">IF(OR(E144="",E144="!!!",F144="NEW"),"",INDEX(B$2:B143,-1+SUMPRODUCT(MAX(ROW(E$2:E143)*(E144=E$2:E143)))))</f>
        <v/>
      </c>
      <c r="J144" s="14" t="str">
        <f aca="true">IF(OR(E144="",E144="!!!",F144="NEW"),"",COUNTBLANK(OFFSET(A$1,,,SUMPRODUCT(MAX(ROW(E$2:E144)*(E144=E$2:E144)))))-COUNTBLANK(OFFSET(A$1,,,SUMPRODUCT(MAX(ROW(E$1:E143)*(E144=E$1:E143))))))</f>
        <v/>
      </c>
      <c r="K144" s="14" t="str">
        <f aca="false">IF(OR(E144="",E144="!!!",F144="NEW"),"",INDEX(J$1:J143,SUMPRODUCT(MAX(ROW(E$1:E143)*(E144=E$1:E143)))))</f>
        <v/>
      </c>
      <c r="L144" s="15"/>
    </row>
    <row r="145" customFormat="false" ht="12.75" hidden="false" customHeight="false" outlineLevel="0" collapsed="false">
      <c r="A145" s="0" t="s">
        <v>51</v>
      </c>
      <c r="E145" s="9" t="str">
        <f aca="false">IF(D145="?OLD","!!!","")</f>
        <v/>
      </c>
      <c r="F145" s="10" t="str">
        <f aca="false">IF(OR(E145="",E145="!!!"),"",IF(NOT(ISNA(VLOOKUP(E145,E$1:E144,1,FALSE()))),"OLD",IF(AND(E145&lt;&gt;"",E145&lt;&gt;"!!!"),"NEW","")))</f>
        <v/>
      </c>
      <c r="G145" s="11" t="str">
        <f aca="false">IF(OR(E145="",E145="!!!"),"",IF(OR(J145=0,AND(J145=1,K145=1),AND(J145=1,I145="SBJ"),AND(J145=1,I145=0)),"?IN_FOCUS",IF(J145&lt;=2,"?ACTIVATED",IF(J145&lt;&gt;"","?FAMILIAR",IF(F145="NEW",IF(ISNA(VLOOKUP(E145,#REF!,1,FALSE())),"?TYPE_IDENTIFIABLE","?REFERENTIAL"),"_")))))</f>
        <v/>
      </c>
      <c r="H145" s="12" t="str">
        <f aca="false">IF(J145&lt;&gt;1,"",IF(I145="SBJ","CB","?"))</f>
        <v/>
      </c>
      <c r="I145" s="13" t="str">
        <f aca="false">IF(OR(E145="",E145="!!!",F145="NEW"),"",INDEX(B$2:B144,-1+SUMPRODUCT(MAX(ROW(E$2:E144)*(E145=E$2:E144)))))</f>
        <v/>
      </c>
      <c r="J145" s="14" t="str">
        <f aca="true">IF(OR(E145="",E145="!!!",F145="NEW"),"",COUNTBLANK(OFFSET(A$1,,,SUMPRODUCT(MAX(ROW(E$2:E145)*(E145=E$2:E145)))))-COUNTBLANK(OFFSET(A$1,,,SUMPRODUCT(MAX(ROW(E$1:E144)*(E145=E$1:E144))))))</f>
        <v/>
      </c>
      <c r="K145" s="14" t="str">
        <f aca="false">IF(OR(E145="",E145="!!!",F145="NEW"),"",INDEX(J$1:J144,SUMPRODUCT(MAX(ROW(E$1:E144)*(E145=E$1:E144)))))</f>
        <v/>
      </c>
      <c r="L145" s="15"/>
    </row>
    <row r="146" customFormat="false" ht="12.75" hidden="false" customHeight="false" outlineLevel="0" collapsed="false">
      <c r="A146" s="0" t="s">
        <v>149</v>
      </c>
      <c r="E146" s="9" t="str">
        <f aca="false">IF(D146="?OLD","!!!","")</f>
        <v/>
      </c>
      <c r="F146" s="10" t="str">
        <f aca="false">IF(OR(E146="",E146="!!!"),"",IF(NOT(ISNA(VLOOKUP(E146,E$1:E145,1,FALSE()))),"OLD",IF(AND(E146&lt;&gt;"",E146&lt;&gt;"!!!"),"NEW","")))</f>
        <v/>
      </c>
      <c r="G146" s="11" t="str">
        <f aca="false">IF(OR(E146="",E146="!!!"),"",IF(OR(J146=0,AND(J146=1,K146=1),AND(J146=1,I146="SBJ"),AND(J146=1,I146=0)),"?IN_FOCUS",IF(J146&lt;=2,"?ACTIVATED",IF(J146&lt;&gt;"","?FAMILIAR",IF(F146="NEW",IF(ISNA(VLOOKUP(E146,#REF!,1,FALSE())),"?TYPE_IDENTIFIABLE","?REFERENTIAL"),"_")))))</f>
        <v/>
      </c>
      <c r="H146" s="12" t="str">
        <f aca="false">IF(J146&lt;&gt;1,"",IF(I146="SBJ","CB","?"))</f>
        <v/>
      </c>
      <c r="I146" s="13" t="str">
        <f aca="false">IF(OR(E146="",E146="!!!",F146="NEW"),"",INDEX(B$2:B145,-1+SUMPRODUCT(MAX(ROW(E$2:E145)*(E146=E$2:E145)))))</f>
        <v/>
      </c>
      <c r="J146" s="14" t="str">
        <f aca="true">IF(OR(E146="",E146="!!!",F146="NEW"),"",COUNTBLANK(OFFSET(A$1,,,SUMPRODUCT(MAX(ROW(E$2:E146)*(E146=E$2:E146)))))-COUNTBLANK(OFFSET(A$1,,,SUMPRODUCT(MAX(ROW(E$1:E145)*(E146=E$1:E145))))))</f>
        <v/>
      </c>
      <c r="K146" s="14" t="str">
        <f aca="false">IF(OR(E146="",E146="!!!",F146="NEW"),"",INDEX(J$1:J145,SUMPRODUCT(MAX(ROW(E$1:E145)*(E146=E$1:E145)))))</f>
        <v/>
      </c>
      <c r="L146" s="15"/>
    </row>
    <row r="147" customFormat="false" ht="12.75" hidden="false" customHeight="false" outlineLevel="0" collapsed="false">
      <c r="A147" s="0" t="s">
        <v>150</v>
      </c>
      <c r="B147" s="0" t="s">
        <v>22</v>
      </c>
      <c r="C147" s="0" t="s">
        <v>55</v>
      </c>
      <c r="D147" s="0" t="s">
        <v>56</v>
      </c>
      <c r="E147" s="9" t="s">
        <v>143</v>
      </c>
      <c r="F147" s="10" t="str">
        <f aca="false">IF(OR(E147="",E147="!!!"),"",IF(NOT(ISNA(VLOOKUP(E147,E$1:E146,1,FALSE()))),"OLD",IF(AND(E147&lt;&gt;"",E147&lt;&gt;"!!!"),"NEW","")))</f>
        <v>OLD</v>
      </c>
      <c r="G147" s="11" t="s">
        <v>39</v>
      </c>
      <c r="H147" s="12" t="str">
        <f aca="false">IF(J147&lt;&gt;1,"",IF(I147="SBJ","CB","?"))</f>
        <v/>
      </c>
      <c r="I147" s="13" t="str">
        <f aca="false">IF(OR(E147="",E147="!!!",F147="NEW"),"",INDEX(B$2:B146,-1+SUMPRODUCT(MAX(ROW(E$2:E146)*(E147=E$2:E146)))))</f>
        <v>SBJ_2</v>
      </c>
      <c r="J147" s="14" t="n">
        <f aca="true">IF(OR(E147="",E147="!!!",F147="NEW"),"",COUNTBLANK(OFFSET(A$1,,,SUMPRODUCT(MAX(ROW(E$2:E147)*(E147=E$2:E147)))))-COUNTBLANK(OFFSET(A$1,,,SUMPRODUCT(MAX(ROW(E$1:E146)*(E147=E$1:E146))))))</f>
        <v>0</v>
      </c>
      <c r="K147" s="14" t="n">
        <f aca="false">IF(OR(E147="",E147="!!!",F147="NEW"),"",INDEX(J$1:J146,SUMPRODUCT(MAX(ROW(E$1:E146)*(E147=E$1:E146)))))</f>
        <v>0</v>
      </c>
      <c r="L147" s="15"/>
    </row>
    <row r="148" customFormat="false" ht="12.75" hidden="false" customHeight="false" outlineLevel="0" collapsed="false">
      <c r="A148" s="0" t="s">
        <v>151</v>
      </c>
      <c r="E148" s="9" t="str">
        <f aca="false">IF(D148="?OLD","!!!","")</f>
        <v/>
      </c>
      <c r="F148" s="10" t="str">
        <f aca="false">IF(OR(E148="",E148="!!!"),"",IF(NOT(ISNA(VLOOKUP(E148,E$1:E147,1,FALSE()))),"OLD",IF(AND(E148&lt;&gt;"",E148&lt;&gt;"!!!"),"NEW","")))</f>
        <v/>
      </c>
      <c r="G148" s="11" t="str">
        <f aca="false">IF(OR(E148="",E148="!!!"),"",IF(OR(J148=0,AND(J148=1,K148=1),AND(J148=1,I148="SBJ"),AND(J148=1,I148=0)),"?IN_FOCUS",IF(J148&lt;=2,"?ACTIVATED",IF(J148&lt;&gt;"","?FAMILIAR",IF(F148="NEW",IF(ISNA(VLOOKUP(E148,#REF!,1,FALSE())),"?TYPE_IDENTIFIABLE","?REFERENTIAL"),"_")))))</f>
        <v/>
      </c>
      <c r="H148" s="12" t="str">
        <f aca="false">IF(J148&lt;&gt;1,"",IF(I148="SBJ","CB","?"))</f>
        <v/>
      </c>
      <c r="I148" s="13" t="str">
        <f aca="false">IF(OR(E148="",E148="!!!",F148="NEW"),"",INDEX(B$2:B147,-1+SUMPRODUCT(MAX(ROW(E$2:E147)*(E148=E$2:E147)))))</f>
        <v/>
      </c>
      <c r="J148" s="14" t="str">
        <f aca="true">IF(OR(E148="",E148="!!!",F148="NEW"),"",COUNTBLANK(OFFSET(A$1,,,SUMPRODUCT(MAX(ROW(E$2:E148)*(E148=E$2:E148)))))-COUNTBLANK(OFFSET(A$1,,,SUMPRODUCT(MAX(ROW(E$1:E147)*(E148=E$1:E147))))))</f>
        <v/>
      </c>
      <c r="K148" s="14" t="str">
        <f aca="false">IF(OR(E148="",E148="!!!",F148="NEW"),"",INDEX(J$1:J147,SUMPRODUCT(MAX(ROW(E$1:E147)*(E148=E$1:E147)))))</f>
        <v/>
      </c>
      <c r="L148" s="15"/>
    </row>
    <row r="149" customFormat="false" ht="12.75" hidden="false" customHeight="false" outlineLevel="0" collapsed="false">
      <c r="A149" s="0" t="s">
        <v>152</v>
      </c>
      <c r="B149" s="0" t="s">
        <v>103</v>
      </c>
      <c r="C149" s="0" t="s">
        <v>15</v>
      </c>
      <c r="D149" s="0" t="s">
        <v>29</v>
      </c>
      <c r="E149" s="9" t="s">
        <v>68</v>
      </c>
      <c r="F149" s="10" t="s">
        <v>69</v>
      </c>
      <c r="G149" s="11"/>
      <c r="H149" s="12" t="str">
        <f aca="false">IF(J149&lt;&gt;1,"",IF(I149="SBJ","CB","?"))</f>
        <v/>
      </c>
      <c r="I149" s="13" t="str">
        <f aca="false">IF(OR(E149="",E149="!!!",F149="NEW"),"",INDEX(B$2:B148,-1+SUMPRODUCT(MAX(ROW(E$2:E148)*(E149=E$2:E148)))))</f>
        <v>other</v>
      </c>
      <c r="J149" s="14" t="n">
        <f aca="true">IF(OR(E149="",E149="!!!",F149="NEW"),"",COUNTBLANK(OFFSET(A$1,,,SUMPRODUCT(MAX(ROW(E$2:E149)*(E149=E$2:E149)))))-COUNTBLANK(OFFSET(A$1,,,SUMPRODUCT(MAX(ROW(E$1:E148)*(E149=E$1:E148))))))</f>
        <v>0</v>
      </c>
      <c r="K149" s="14" t="n">
        <f aca="false">IF(OR(E149="",E149="!!!",F149="NEW"),"",INDEX(J$1:J148,SUMPRODUCT(MAX(ROW(E$1:E148)*(E149=E$1:E148)))))</f>
        <v>0</v>
      </c>
      <c r="L149" s="15"/>
    </row>
    <row r="150" customFormat="false" ht="12.75" hidden="false" customHeight="false" outlineLevel="0" collapsed="false">
      <c r="A150" s="0" t="s">
        <v>31</v>
      </c>
      <c r="E150" s="9" t="str">
        <f aca="false">IF(D150="?OLD","!!!","")</f>
        <v/>
      </c>
      <c r="F150" s="10" t="str">
        <f aca="false">IF(OR(E150="",E150="!!!"),"",IF(NOT(ISNA(VLOOKUP(E150,E$1:E149,1,FALSE()))),"OLD",IF(AND(E150&lt;&gt;"",E150&lt;&gt;"!!!"),"NEW","")))</f>
        <v/>
      </c>
      <c r="G150" s="11" t="str">
        <f aca="false">IF(OR(E150="",E150="!!!"),"",IF(OR(J150=0,AND(J150=1,K150=1),AND(J150=1,I150="SBJ"),AND(J150=1,I150=0)),"?IN_FOCUS",IF(J150&lt;=2,"?ACTIVATED",IF(J150&lt;&gt;"","?FAMILIAR",IF(F150="NEW",IF(ISNA(VLOOKUP(E150,#REF!,1,FALSE())),"?TYPE_IDENTIFIABLE","?REFERENTIAL"),"_")))))</f>
        <v/>
      </c>
      <c r="H150" s="12" t="str">
        <f aca="false">IF(J150&lt;&gt;1,"",IF(I150="SBJ","CB","?"))</f>
        <v/>
      </c>
      <c r="I150" s="13" t="str">
        <f aca="false">IF(OR(E150="",E150="!!!",F150="NEW"),"",INDEX(B$2:B149,-1+SUMPRODUCT(MAX(ROW(E$2:E149)*(E150=E$2:E149)))))</f>
        <v/>
      </c>
      <c r="J150" s="14" t="str">
        <f aca="true">IF(OR(E150="",E150="!!!",F150="NEW"),"",COUNTBLANK(OFFSET(A$1,,,SUMPRODUCT(MAX(ROW(E$2:E150)*(E150=E$2:E150)))))-COUNTBLANK(OFFSET(A$1,,,SUMPRODUCT(MAX(ROW(E$1:E149)*(E150=E$1:E149))))))</f>
        <v/>
      </c>
      <c r="K150" s="14" t="str">
        <f aca="false">IF(OR(E150="",E150="!!!",F150="NEW"),"",INDEX(J$1:J149,SUMPRODUCT(MAX(ROW(E$1:E149)*(E150=E$1:E149)))))</f>
        <v/>
      </c>
      <c r="L150" s="15"/>
    </row>
    <row r="151" customFormat="false" ht="12.75" hidden="false" customHeight="false" outlineLevel="0" collapsed="false">
      <c r="A151" s="0" t="s">
        <v>88</v>
      </c>
      <c r="E151" s="9" t="str">
        <f aca="false">IF(D151="?OLD","!!!","")</f>
        <v/>
      </c>
      <c r="F151" s="10" t="str">
        <f aca="false">IF(OR(E151="",E151="!!!"),"",IF(NOT(ISNA(VLOOKUP(E151,E$1:E150,1,FALSE()))),"OLD",IF(AND(E151&lt;&gt;"",E151&lt;&gt;"!!!"),"NEW","")))</f>
        <v/>
      </c>
      <c r="G151" s="11" t="str">
        <f aca="false">IF(OR(E151="",E151="!!!"),"",IF(OR(J151=0,AND(J151=1,K151=1),AND(J151=1,I151="SBJ"),AND(J151=1,I151=0)),"?IN_FOCUS",IF(J151&lt;=2,"?ACTIVATED",IF(J151&lt;&gt;"","?FAMILIAR",IF(F151="NEW",IF(ISNA(VLOOKUP(E151,#REF!,1,FALSE())),"?TYPE_IDENTIFIABLE","?REFERENTIAL"),"_")))))</f>
        <v/>
      </c>
      <c r="H151" s="12" t="str">
        <f aca="false">IF(J151&lt;&gt;1,"",IF(I151="SBJ","CB","?"))</f>
        <v/>
      </c>
      <c r="I151" s="13" t="str">
        <f aca="false">IF(OR(E151="",E151="!!!",F151="NEW"),"",INDEX(B$2:B150,-1+SUMPRODUCT(MAX(ROW(E$2:E150)*(E151=E$2:E150)))))</f>
        <v/>
      </c>
      <c r="J151" s="14" t="str">
        <f aca="true">IF(OR(E151="",E151="!!!",F151="NEW"),"",COUNTBLANK(OFFSET(A$1,,,SUMPRODUCT(MAX(ROW(E$2:E151)*(E151=E$2:E151)))))-COUNTBLANK(OFFSET(A$1,,,SUMPRODUCT(MAX(ROW(E$1:E150)*(E151=E$1:E150))))))</f>
        <v/>
      </c>
      <c r="K151" s="14" t="str">
        <f aca="false">IF(OR(E151="",E151="!!!",F151="NEW"),"",INDEX(J$1:J150,SUMPRODUCT(MAX(ROW(E$1:E150)*(E151=E$1:E150)))))</f>
        <v/>
      </c>
      <c r="L151" s="15"/>
    </row>
    <row r="152" customFormat="false" ht="12.75" hidden="false" customHeight="false" outlineLevel="0" collapsed="false">
      <c r="A152" s="0" t="s">
        <v>153</v>
      </c>
      <c r="E152" s="9" t="str">
        <f aca="false">IF(D152="?OLD","!!!","")</f>
        <v/>
      </c>
      <c r="F152" s="10" t="str">
        <f aca="false">IF(OR(E152="",E152="!!!"),"",IF(NOT(ISNA(VLOOKUP(E152,E$1:E151,1,FALSE()))),"OLD",IF(AND(E152&lt;&gt;"",E152&lt;&gt;"!!!"),"NEW","")))</f>
        <v/>
      </c>
      <c r="G152" s="11" t="str">
        <f aca="false">IF(OR(E152="",E152="!!!"),"",IF(OR(J152=0,AND(J152=1,K152=1),AND(J152=1,I152="SBJ"),AND(J152=1,I152=0)),"?IN_FOCUS",IF(J152&lt;=2,"?ACTIVATED",IF(J152&lt;&gt;"","?FAMILIAR",IF(F152="NEW",IF(ISNA(VLOOKUP(E152,#REF!,1,FALSE())),"?TYPE_IDENTIFIABLE","?REFERENTIAL"),"_")))))</f>
        <v/>
      </c>
      <c r="H152" s="12" t="str">
        <f aca="false">IF(J152&lt;&gt;1,"",IF(I152="SBJ","CB","?"))</f>
        <v/>
      </c>
      <c r="I152" s="13" t="str">
        <f aca="false">IF(OR(E152="",E152="!!!",F152="NEW"),"",INDEX(B$2:B151,-1+SUMPRODUCT(MAX(ROW(E$2:E151)*(E152=E$2:E151)))))</f>
        <v/>
      </c>
      <c r="J152" s="14" t="str">
        <f aca="true">IF(OR(E152="",E152="!!!",F152="NEW"),"",COUNTBLANK(OFFSET(A$1,,,SUMPRODUCT(MAX(ROW(E$2:E152)*(E152=E$2:E152)))))-COUNTBLANK(OFFSET(A$1,,,SUMPRODUCT(MAX(ROW(E$1:E151)*(E152=E$1:E151))))))</f>
        <v/>
      </c>
      <c r="K152" s="14" t="str">
        <f aca="false">IF(OR(E152="",E152="!!!",F152="NEW"),"",INDEX(J$1:J151,SUMPRODUCT(MAX(ROW(E$1:E151)*(E152=E$1:E151)))))</f>
        <v/>
      </c>
      <c r="L152" s="15"/>
    </row>
    <row r="153" customFormat="false" ht="12.75" hidden="false" customHeight="false" outlineLevel="0" collapsed="false">
      <c r="A153" s="0" t="s">
        <v>21</v>
      </c>
      <c r="B153" s="0" t="s">
        <v>42</v>
      </c>
      <c r="C153" s="0" t="s">
        <v>120</v>
      </c>
      <c r="E153" s="9" t="str">
        <f aca="false">IF(D153="?OLD","!!!","")</f>
        <v/>
      </c>
      <c r="F153" s="10" t="str">
        <f aca="false">IF(OR(E153="",E153="!!!"),"",IF(NOT(ISNA(VLOOKUP(E153,E$1:E152,1,FALSE()))),"OLD",IF(AND(E153&lt;&gt;"",E153&lt;&gt;"!!!"),"NEW","")))</f>
        <v/>
      </c>
      <c r="G153" s="11" t="str">
        <f aca="false">IF(OR(E153="",E153="!!!"),"",IF(OR(J153=0,AND(J153=1,K153=1),AND(J153=1,I153="SBJ"),AND(J153=1,I153=0)),"?IN_FOCUS",IF(J153&lt;=2,"?ACTIVATED",IF(J153&lt;&gt;"","?FAMILIAR",IF(F153="NEW",IF(ISNA(VLOOKUP(E153,#REF!,1,FALSE())),"?TYPE_IDENTIFIABLE","?REFERENTIAL"),"_")))))</f>
        <v/>
      </c>
      <c r="H153" s="12" t="str">
        <f aca="false">IF(J153&lt;&gt;1,"",IF(I153="SBJ","CB","?"))</f>
        <v/>
      </c>
      <c r="I153" s="13" t="str">
        <f aca="false">IF(OR(E153="",E153="!!!",F153="NEW"),"",INDEX(B$2:B152,-1+SUMPRODUCT(MAX(ROW(E$2:E152)*(E153=E$2:E152)))))</f>
        <v/>
      </c>
      <c r="J153" s="14" t="str">
        <f aca="true">IF(OR(E153="",E153="!!!",F153="NEW"),"",COUNTBLANK(OFFSET(A$1,,,SUMPRODUCT(MAX(ROW(E$2:E153)*(E153=E$2:E153)))))-COUNTBLANK(OFFSET(A$1,,,SUMPRODUCT(MAX(ROW(E$1:E152)*(E153=E$1:E152))))))</f>
        <v/>
      </c>
      <c r="K153" s="14" t="str">
        <f aca="false">IF(OR(E153="",E153="!!!",F153="NEW"),"",INDEX(J$1:J152,SUMPRODUCT(MAX(ROW(E$1:E152)*(E153=E$1:E152)))))</f>
        <v/>
      </c>
      <c r="L153" s="15"/>
    </row>
    <row r="154" customFormat="false" ht="12.75" hidden="false" customHeight="false" outlineLevel="0" collapsed="false">
      <c r="A154" s="0" t="s">
        <v>124</v>
      </c>
      <c r="E154" s="9" t="str">
        <f aca="false">IF(D154="?OLD","!!!","")</f>
        <v/>
      </c>
      <c r="F154" s="10" t="str">
        <f aca="false">IF(OR(E154="",E154="!!!"),"",IF(NOT(ISNA(VLOOKUP(E154,E$1:E153,1,FALSE()))),"OLD",IF(AND(E154&lt;&gt;"",E154&lt;&gt;"!!!"),"NEW","")))</f>
        <v/>
      </c>
      <c r="G154" s="11" t="str">
        <f aca="false">IF(OR(E154="",E154="!!!"),"",IF(OR(J154=0,AND(J154=1,K154=1),AND(J154=1,I154="SBJ"),AND(J154=1,I154=0)),"?IN_FOCUS",IF(J154&lt;=2,"?ACTIVATED",IF(J154&lt;&gt;"","?FAMILIAR",IF(F154="NEW",IF(ISNA(VLOOKUP(E154,#REF!,1,FALSE())),"?TYPE_IDENTIFIABLE","?REFERENTIAL"),"_")))))</f>
        <v/>
      </c>
      <c r="H154" s="12" t="str">
        <f aca="false">IF(J154&lt;&gt;1,"",IF(I154="SBJ","CB","?"))</f>
        <v/>
      </c>
      <c r="I154" s="13" t="str">
        <f aca="false">IF(OR(E154="",E154="!!!",F154="NEW"),"",INDEX(B$2:B153,-1+SUMPRODUCT(MAX(ROW(E$2:E153)*(E154=E$2:E153)))))</f>
        <v/>
      </c>
      <c r="J154" s="14" t="str">
        <f aca="true">IF(OR(E154="",E154="!!!",F154="NEW"),"",COUNTBLANK(OFFSET(A$1,,,SUMPRODUCT(MAX(ROW(E$2:E154)*(E154=E$2:E154)))))-COUNTBLANK(OFFSET(A$1,,,SUMPRODUCT(MAX(ROW(E$1:E153)*(E154=E$1:E153))))))</f>
        <v/>
      </c>
      <c r="K154" s="14" t="str">
        <f aca="false">IF(OR(E154="",E154="!!!",F154="NEW"),"",INDEX(J$1:J153,SUMPRODUCT(MAX(ROW(E$1:E153)*(E154=E$1:E153)))))</f>
        <v/>
      </c>
      <c r="L154" s="15"/>
    </row>
    <row r="155" customFormat="false" ht="12.75" hidden="false" customHeight="false" outlineLevel="0" collapsed="false">
      <c r="A155" s="0" t="s">
        <v>154</v>
      </c>
      <c r="E155" s="9" t="str">
        <f aca="false">IF(D155="?OLD","!!!","")</f>
        <v/>
      </c>
      <c r="F155" s="10" t="str">
        <f aca="false">IF(OR(E155="",E155="!!!"),"",IF(NOT(ISNA(VLOOKUP(E155,E$1:E154,1,FALSE()))),"OLD",IF(AND(E155&lt;&gt;"",E155&lt;&gt;"!!!"),"NEW","")))</f>
        <v/>
      </c>
      <c r="G155" s="11" t="str">
        <f aca="false">IF(OR(E155="",E155="!!!"),"",IF(OR(J155=0,AND(J155=1,K155=1),AND(J155=1,I155="SBJ"),AND(J155=1,I155=0)),"?IN_FOCUS",IF(J155&lt;=2,"?ACTIVATED",IF(J155&lt;&gt;"","?FAMILIAR",IF(F155="NEW",IF(ISNA(VLOOKUP(E155,#REF!,1,FALSE())),"?TYPE_IDENTIFIABLE","?REFERENTIAL"),"_")))))</f>
        <v/>
      </c>
      <c r="H155" s="12" t="str">
        <f aca="false">IF(J155&lt;&gt;1,"",IF(I155="SBJ","CB","?"))</f>
        <v/>
      </c>
      <c r="I155" s="13" t="str">
        <f aca="false">IF(OR(E155="",E155="!!!",F155="NEW"),"",INDEX(B$2:B154,-1+SUMPRODUCT(MAX(ROW(E$2:E154)*(E155=E$2:E154)))))</f>
        <v/>
      </c>
      <c r="J155" s="14" t="str">
        <f aca="true">IF(OR(E155="",E155="!!!",F155="NEW"),"",COUNTBLANK(OFFSET(A$1,,,SUMPRODUCT(MAX(ROW(E$2:E155)*(E155=E$2:E155)))))-COUNTBLANK(OFFSET(A$1,,,SUMPRODUCT(MAX(ROW(E$1:E154)*(E155=E$1:E154))))))</f>
        <v/>
      </c>
      <c r="K155" s="14" t="str">
        <f aca="false">IF(OR(E155="",E155="!!!",F155="NEW"),"",INDEX(J$1:J154,SUMPRODUCT(MAX(ROW(E$1:E154)*(E155=E$1:E154)))))</f>
        <v/>
      </c>
      <c r="L155" s="15"/>
    </row>
    <row r="156" customFormat="false" ht="12.75" hidden="false" customHeight="false" outlineLevel="0" collapsed="false">
      <c r="A156" s="0" t="s">
        <v>155</v>
      </c>
      <c r="B156" s="0" t="s">
        <v>103</v>
      </c>
      <c r="C156" s="0" t="s">
        <v>156</v>
      </c>
      <c r="D156" s="0" t="s">
        <v>29</v>
      </c>
      <c r="E156" s="9" t="s">
        <v>68</v>
      </c>
      <c r="F156" s="10" t="s">
        <v>69</v>
      </c>
      <c r="G156" s="11"/>
      <c r="H156" s="12" t="str">
        <f aca="false">IF(J156&lt;&gt;1,"",IF(I156="SBJ","CB","?"))</f>
        <v/>
      </c>
      <c r="I156" s="13" t="str">
        <f aca="false">IF(OR(E156="",E156="!!!",F156="NEW"),"",INDEX(B$2:B155,-1+SUMPRODUCT(MAX(ROW(E$2:E155)*(E156=E$2:E155)))))</f>
        <v>OBJ_2</v>
      </c>
      <c r="J156" s="14" t="n">
        <f aca="true">IF(OR(E156="",E156="!!!",F156="NEW"),"",COUNTBLANK(OFFSET(A$1,,,SUMPRODUCT(MAX(ROW(E$2:E156)*(E156=E$2:E156)))))-COUNTBLANK(OFFSET(A$1,,,SUMPRODUCT(MAX(ROW(E$1:E155)*(E156=E$1:E155))))))</f>
        <v>0</v>
      </c>
      <c r="K156" s="14" t="n">
        <f aca="false">IF(OR(E156="",E156="!!!",F156="NEW"),"",INDEX(J$1:J155,SUMPRODUCT(MAX(ROW(E$1:E155)*(E156=E$1:E155)))))</f>
        <v>0</v>
      </c>
      <c r="L156" s="15"/>
    </row>
    <row r="157" customFormat="false" ht="12.75" hidden="false" customHeight="false" outlineLevel="0" collapsed="false">
      <c r="A157" s="0" t="s">
        <v>31</v>
      </c>
      <c r="E157" s="9" t="str">
        <f aca="false">IF(D157="?OLD","!!!","")</f>
        <v/>
      </c>
      <c r="F157" s="10" t="str">
        <f aca="false">IF(OR(E157="",E157="!!!"),"",IF(NOT(ISNA(VLOOKUP(E157,E$1:E156,1,FALSE()))),"OLD",IF(AND(E157&lt;&gt;"",E157&lt;&gt;"!!!"),"NEW","")))</f>
        <v/>
      </c>
      <c r="G157" s="11" t="str">
        <f aca="false">IF(OR(E157="",E157="!!!"),"",IF(OR(J157=0,AND(J157=1,K157=1),AND(J157=1,I157="SBJ"),AND(J157=1,I157=0)),"?IN_FOCUS",IF(J157&lt;=2,"?ACTIVATED",IF(J157&lt;&gt;"","?FAMILIAR",IF(F157="NEW",IF(ISNA(VLOOKUP(E157,#REF!,1,FALSE())),"?TYPE_IDENTIFIABLE","?REFERENTIAL"),"_")))))</f>
        <v/>
      </c>
      <c r="H157" s="12" t="str">
        <f aca="false">IF(J157&lt;&gt;1,"",IF(I157="SBJ","CB","?"))</f>
        <v/>
      </c>
      <c r="I157" s="13" t="str">
        <f aca="false">IF(OR(E157="",E157="!!!",F157="NEW"),"",INDEX(B$2:B156,-1+SUMPRODUCT(MAX(ROW(E$2:E156)*(E157=E$2:E156)))))</f>
        <v/>
      </c>
      <c r="J157" s="14" t="str">
        <f aca="true">IF(OR(E157="",E157="!!!",F157="NEW"),"",COUNTBLANK(OFFSET(A$1,,,SUMPRODUCT(MAX(ROW(E$2:E157)*(E157=E$2:E157)))))-COUNTBLANK(OFFSET(A$1,,,SUMPRODUCT(MAX(ROW(E$1:E156)*(E157=E$1:E156))))))</f>
        <v/>
      </c>
      <c r="K157" s="14" t="str">
        <f aca="false">IF(OR(E157="",E157="!!!",F157="NEW"),"",INDEX(J$1:J156,SUMPRODUCT(MAX(ROW(E$1:E156)*(E157=E$1:E156)))))</f>
        <v/>
      </c>
      <c r="L157" s="15"/>
    </row>
    <row r="158" customFormat="false" ht="12.75" hidden="false" customHeight="false" outlineLevel="0" collapsed="false">
      <c r="A158" s="0" t="s">
        <v>88</v>
      </c>
      <c r="E158" s="9" t="str">
        <f aca="false">IF(D158="?OLD","!!!","")</f>
        <v/>
      </c>
      <c r="F158" s="10" t="str">
        <f aca="false">IF(OR(E158="",E158="!!!"),"",IF(NOT(ISNA(VLOOKUP(E158,E$1:E157,1,FALSE()))),"OLD",IF(AND(E158&lt;&gt;"",E158&lt;&gt;"!!!"),"NEW","")))</f>
        <v/>
      </c>
      <c r="G158" s="11" t="str">
        <f aca="false">IF(OR(E158="",E158="!!!"),"",IF(OR(J158=0,AND(J158=1,K158=1),AND(J158=1,I158="SBJ"),AND(J158=1,I158=0)),"?IN_FOCUS",IF(J158&lt;=2,"?ACTIVATED",IF(J158&lt;&gt;"","?FAMILIAR",IF(F158="NEW",IF(ISNA(VLOOKUP(E158,#REF!,1,FALSE())),"?TYPE_IDENTIFIABLE","?REFERENTIAL"),"_")))))</f>
        <v/>
      </c>
      <c r="H158" s="12" t="str">
        <f aca="false">IF(J158&lt;&gt;1,"",IF(I158="SBJ","CB","?"))</f>
        <v/>
      </c>
      <c r="I158" s="13" t="str">
        <f aca="false">IF(OR(E158="",E158="!!!",F158="NEW"),"",INDEX(B$2:B157,-1+SUMPRODUCT(MAX(ROW(E$2:E157)*(E158=E$2:E157)))))</f>
        <v/>
      </c>
      <c r="J158" s="14" t="str">
        <f aca="true">IF(OR(E158="",E158="!!!",F158="NEW"),"",COUNTBLANK(OFFSET(A$1,,,SUMPRODUCT(MAX(ROW(E$2:E158)*(E158=E$2:E158)))))-COUNTBLANK(OFFSET(A$1,,,SUMPRODUCT(MAX(ROW(E$1:E157)*(E158=E$1:E157))))))</f>
        <v/>
      </c>
      <c r="K158" s="14" t="str">
        <f aca="false">IF(OR(E158="",E158="!!!",F158="NEW"),"",INDEX(J$1:J157,SUMPRODUCT(MAX(ROW(E$1:E157)*(E158=E$1:E157)))))</f>
        <v/>
      </c>
      <c r="L158" s="15"/>
    </row>
    <row r="159" customFormat="false" ht="12.75" hidden="false" customHeight="false" outlineLevel="0" collapsed="false">
      <c r="A159" s="0" t="s">
        <v>122</v>
      </c>
      <c r="B159" s="0" t="s">
        <v>157</v>
      </c>
      <c r="C159" s="0" t="s">
        <v>38</v>
      </c>
      <c r="D159" s="0" t="s">
        <v>56</v>
      </c>
      <c r="E159" s="9" t="s">
        <v>123</v>
      </c>
      <c r="F159" s="10" t="str">
        <f aca="false">IF(OR(E159="",E159="!!!"),"",IF(NOT(ISNA(VLOOKUP(E159,E$1:E158,1,FALSE()))),"OLD",IF(AND(E159&lt;&gt;"",E159&lt;&gt;"!!!"),"NEW","")))</f>
        <v>OLD</v>
      </c>
      <c r="G159" s="11" t="s">
        <v>80</v>
      </c>
      <c r="H159" s="12" t="str">
        <f aca="false">IF(J159&lt;&gt;1,"",IF(I159="SBJ","CB","?"))</f>
        <v>CB</v>
      </c>
      <c r="I159" s="13" t="str">
        <f aca="false">IF(OR(E159="",E159="!!!",F159="NEW"),"",INDEX(B$2:B158,-1+SUMPRODUCT(MAX(ROW(E$2:E158)*(E159=E$2:E158)))))</f>
        <v>SBJ</v>
      </c>
      <c r="J159" s="14" t="n">
        <f aca="true">IF(OR(E159="",E159="!!!",F159="NEW"),"",COUNTBLANK(OFFSET(A$1,,,SUMPRODUCT(MAX(ROW(E$2:E159)*(E159=E$2:E159)))))-COUNTBLANK(OFFSET(A$1,,,SUMPRODUCT(MAX(ROW(E$1:E158)*(E159=E$1:E158))))))</f>
        <v>1</v>
      </c>
      <c r="K159" s="14" t="str">
        <f aca="false">IF(OR(E159="",E159="!!!",F159="NEW"),"",INDEX(J$1:J158,SUMPRODUCT(MAX(ROW(E$1:E158)*(E159=E$1:E158)))))</f>
        <v/>
      </c>
      <c r="L159" s="15"/>
    </row>
    <row r="160" customFormat="false" ht="12.75" hidden="false" customHeight="false" outlineLevel="0" collapsed="false">
      <c r="A160" s="0" t="s">
        <v>158</v>
      </c>
      <c r="E160" s="9" t="str">
        <f aca="false">IF(D160="?OLD","!!!","")</f>
        <v/>
      </c>
      <c r="F160" s="10" t="str">
        <f aca="false">IF(OR(E160="",E160="!!!"),"",IF(NOT(ISNA(VLOOKUP(E160,E$1:E159,1,FALSE()))),"OLD",IF(AND(E160&lt;&gt;"",E160&lt;&gt;"!!!"),"NEW","")))</f>
        <v/>
      </c>
      <c r="G160" s="11" t="str">
        <f aca="false">IF(OR(E160="",E160="!!!"),"",IF(OR(J160=0,AND(J160=1,K160=1),AND(J160=1,I160="SBJ"),AND(J160=1,I160=0)),"?IN_FOCUS",IF(J160&lt;=2,"?ACTIVATED",IF(J160&lt;&gt;"","?FAMILIAR",IF(F160="NEW",IF(ISNA(VLOOKUP(E160,#REF!,1,FALSE())),"?TYPE_IDENTIFIABLE","?REFERENTIAL"),"_")))))</f>
        <v/>
      </c>
      <c r="H160" s="12" t="str">
        <f aca="false">IF(J160&lt;&gt;1,"",IF(I160="SBJ","CB","?"))</f>
        <v/>
      </c>
      <c r="I160" s="13" t="str">
        <f aca="false">IF(OR(E160="",E160="!!!",F160="NEW"),"",INDEX(B$2:B159,-1+SUMPRODUCT(MAX(ROW(E$2:E159)*(E160=E$2:E159)))))</f>
        <v/>
      </c>
      <c r="J160" s="14" t="str">
        <f aca="true">IF(OR(E160="",E160="!!!",F160="NEW"),"",COUNTBLANK(OFFSET(A$1,,,SUMPRODUCT(MAX(ROW(E$2:E160)*(E160=E$2:E160)))))-COUNTBLANK(OFFSET(A$1,,,SUMPRODUCT(MAX(ROW(E$1:E159)*(E160=E$1:E159))))))</f>
        <v/>
      </c>
      <c r="K160" s="14" t="str">
        <f aca="false">IF(OR(E160="",E160="!!!",F160="NEW"),"",INDEX(J$1:J159,SUMPRODUCT(MAX(ROW(E$1:E159)*(E160=E$1:E159)))))</f>
        <v/>
      </c>
      <c r="L160" s="15"/>
    </row>
    <row r="161" customFormat="false" ht="12.75" hidden="false" customHeight="false" outlineLevel="0" collapsed="false">
      <c r="A161" s="0" t="s">
        <v>159</v>
      </c>
      <c r="E161" s="9" t="str">
        <f aca="false">IF(D161="?OLD","!!!","")</f>
        <v/>
      </c>
      <c r="F161" s="10" t="str">
        <f aca="false">IF(OR(E161="",E161="!!!"),"",IF(NOT(ISNA(VLOOKUP(E161,E$1:E160,1,FALSE()))),"OLD",IF(AND(E161&lt;&gt;"",E161&lt;&gt;"!!!"),"NEW","")))</f>
        <v/>
      </c>
      <c r="G161" s="11" t="str">
        <f aca="false">IF(OR(E161="",E161="!!!"),"",IF(OR(J161=0,AND(J161=1,K161=1),AND(J161=1,I161="SBJ"),AND(J161=1,I161=0)),"?IN_FOCUS",IF(J161&lt;=2,"?ACTIVATED",IF(J161&lt;&gt;"","?FAMILIAR",IF(F161="NEW",IF(ISNA(VLOOKUP(E161,#REF!,1,FALSE())),"?TYPE_IDENTIFIABLE","?REFERENTIAL"),"_")))))</f>
        <v/>
      </c>
      <c r="H161" s="12" t="str">
        <f aca="false">IF(J161&lt;&gt;1,"",IF(I161="SBJ","CB","?"))</f>
        <v/>
      </c>
      <c r="I161" s="13" t="str">
        <f aca="false">IF(OR(E161="",E161="!!!",F161="NEW"),"",INDEX(B$2:B160,-1+SUMPRODUCT(MAX(ROW(E$2:E160)*(E161=E$2:E160)))))</f>
        <v/>
      </c>
      <c r="J161" s="14" t="str">
        <f aca="true">IF(OR(E161="",E161="!!!",F161="NEW"),"",COUNTBLANK(OFFSET(A$1,,,SUMPRODUCT(MAX(ROW(E$2:E161)*(E161=E$2:E161)))))-COUNTBLANK(OFFSET(A$1,,,SUMPRODUCT(MAX(ROW(E$1:E160)*(E161=E$1:E160))))))</f>
        <v/>
      </c>
      <c r="K161" s="14" t="str">
        <f aca="false">IF(OR(E161="",E161="!!!",F161="NEW"),"",INDEX(J$1:J160,SUMPRODUCT(MAX(ROW(E$1:E160)*(E161=E$1:E160)))))</f>
        <v/>
      </c>
      <c r="L161" s="15"/>
    </row>
    <row r="162" customFormat="false" ht="12.75" hidden="false" customHeight="false" outlineLevel="0" collapsed="false">
      <c r="A162" s="0" t="s">
        <v>160</v>
      </c>
      <c r="E162" s="9" t="str">
        <f aca="false">IF(D162="?OLD","!!!","")</f>
        <v/>
      </c>
      <c r="F162" s="10" t="str">
        <f aca="false">IF(OR(E162="",E162="!!!"),"",IF(NOT(ISNA(VLOOKUP(E162,E$1:E161,1,FALSE()))),"OLD",IF(AND(E162&lt;&gt;"",E162&lt;&gt;"!!!"),"NEW","")))</f>
        <v/>
      </c>
      <c r="G162" s="11" t="str">
        <f aca="false">IF(OR(E162="",E162="!!!"),"",IF(OR(J162=0,AND(J162=1,K162=1),AND(J162=1,I162="SBJ"),AND(J162=1,I162=0)),"?IN_FOCUS",IF(J162&lt;=2,"?ACTIVATED",IF(J162&lt;&gt;"","?FAMILIAR",IF(F162="NEW",IF(ISNA(VLOOKUP(E162,#REF!,1,FALSE())),"?TYPE_IDENTIFIABLE","?REFERENTIAL"),"_")))))</f>
        <v/>
      </c>
      <c r="H162" s="12" t="str">
        <f aca="false">IF(J162&lt;&gt;1,"",IF(I162="SBJ","CB","?"))</f>
        <v/>
      </c>
      <c r="I162" s="13" t="str">
        <f aca="false">IF(OR(E162="",E162="!!!",F162="NEW"),"",INDEX(B$2:B161,-1+SUMPRODUCT(MAX(ROW(E$2:E161)*(E162=E$2:E161)))))</f>
        <v/>
      </c>
      <c r="J162" s="14" t="str">
        <f aca="true">IF(OR(E162="",E162="!!!",F162="NEW"),"",COUNTBLANK(OFFSET(A$1,,,SUMPRODUCT(MAX(ROW(E$2:E162)*(E162=E$2:E162)))))-COUNTBLANK(OFFSET(A$1,,,SUMPRODUCT(MAX(ROW(E$1:E161)*(E162=E$1:E161))))))</f>
        <v/>
      </c>
      <c r="K162" s="14" t="str">
        <f aca="false">IF(OR(E162="",E162="!!!",F162="NEW"),"",INDEX(J$1:J161,SUMPRODUCT(MAX(ROW(E$1:E161)*(E162=E$1:E161)))))</f>
        <v/>
      </c>
      <c r="L162" s="15"/>
    </row>
    <row r="163" customFormat="false" ht="12.75" hidden="false" customHeight="false" outlineLevel="0" collapsed="false">
      <c r="A163" s="0" t="s">
        <v>161</v>
      </c>
      <c r="B163" s="0" t="s">
        <v>59</v>
      </c>
      <c r="C163" s="0" t="s">
        <v>162</v>
      </c>
      <c r="E163" s="9" t="str">
        <f aca="false">IF(D163="?OLD","!!!","")</f>
        <v/>
      </c>
      <c r="F163" s="10" t="str">
        <f aca="false">IF(OR(E163="",E163="!!!"),"",IF(NOT(ISNA(VLOOKUP(E163,E$1:E162,1,FALSE()))),"OLD",IF(AND(E163&lt;&gt;"",E163&lt;&gt;"!!!"),"NEW","")))</f>
        <v/>
      </c>
      <c r="G163" s="11" t="str">
        <f aca="false">IF(OR(E163="",E163="!!!"),"",IF(OR(J163=0,AND(J163=1,K163=1),AND(J163=1,I163="SBJ"),AND(J163=1,I163=0)),"?IN_FOCUS",IF(J163&lt;=2,"?ACTIVATED",IF(J163&lt;&gt;"","?FAMILIAR",IF(F163="NEW",IF(ISNA(VLOOKUP(E163,#REF!,1,FALSE())),"?TYPE_IDENTIFIABLE","?REFERENTIAL"),"_")))))</f>
        <v/>
      </c>
      <c r="H163" s="12" t="str">
        <f aca="false">IF(J163&lt;&gt;1,"",IF(I163="SBJ","CB","?"))</f>
        <v/>
      </c>
      <c r="I163" s="13" t="str">
        <f aca="false">IF(OR(E163="",E163="!!!",F163="NEW"),"",INDEX(B$2:B162,-1+SUMPRODUCT(MAX(ROW(E$2:E162)*(E163=E$2:E162)))))</f>
        <v/>
      </c>
      <c r="J163" s="14" t="str">
        <f aca="true">IF(OR(E163="",E163="!!!",F163="NEW"),"",COUNTBLANK(OFFSET(A$1,,,SUMPRODUCT(MAX(ROW(E$2:E163)*(E163=E$2:E163)))))-COUNTBLANK(OFFSET(A$1,,,SUMPRODUCT(MAX(ROW(E$1:E162)*(E163=E$1:E162))))))</f>
        <v/>
      </c>
      <c r="K163" s="14" t="str">
        <f aca="false">IF(OR(E163="",E163="!!!",F163="NEW"),"",INDEX(J$1:J162,SUMPRODUCT(MAX(ROW(E$1:E162)*(E163=E$1:E162)))))</f>
        <v/>
      </c>
      <c r="L163" s="15"/>
    </row>
    <row r="164" customFormat="false" ht="12.75" hidden="false" customHeight="false" outlineLevel="0" collapsed="false">
      <c r="A164" s="0" t="s">
        <v>53</v>
      </c>
      <c r="B164" s="0" t="s">
        <v>163</v>
      </c>
      <c r="C164" s="0" t="s">
        <v>55</v>
      </c>
      <c r="D164" s="0" t="s">
        <v>56</v>
      </c>
      <c r="E164" s="9" t="s">
        <v>24</v>
      </c>
      <c r="F164" s="10" t="str">
        <f aca="false">IF(OR(E164="",E164="!!!"),"",IF(NOT(ISNA(VLOOKUP(E164,E$1:E163,1,FALSE()))),"OLD",IF(AND(E164&lt;&gt;"",E164&lt;&gt;"!!!"),"NEW","")))</f>
        <v>OLD</v>
      </c>
      <c r="G164" s="11" t="s">
        <v>80</v>
      </c>
      <c r="H164" s="12" t="str">
        <f aca="false">IF(J164&lt;&gt;1,"",IF(I164="SBJ","CB","?"))</f>
        <v/>
      </c>
      <c r="I164" s="13" t="str">
        <f aca="false">IF(OR(E164="",E164="!!!",F164="NEW"),"",INDEX(B$2:B163,-1+SUMPRODUCT(MAX(ROW(E$2:E163)*(E164=E$2:E163)))))</f>
        <v>other_4</v>
      </c>
      <c r="J164" s="14" t="n">
        <f aca="true">IF(OR(E164="",E164="!!!",F164="NEW"),"",COUNTBLANK(OFFSET(A$1,,,SUMPRODUCT(MAX(ROW(E$2:E164)*(E164=E$2:E164)))))-COUNTBLANK(OFFSET(A$1,,,SUMPRODUCT(MAX(ROW(E$1:E163)*(E164=E$1:E163))))))</f>
        <v>2</v>
      </c>
      <c r="K164" s="14" t="n">
        <f aca="false">IF(OR(E164="",E164="!!!",F164="NEW"),"",INDEX(J$1:J163,SUMPRODUCT(MAX(ROW(E$1:E163)*(E164=E$1:E163)))))</f>
        <v>1</v>
      </c>
      <c r="L164" s="15"/>
    </row>
    <row r="165" customFormat="false" ht="12.75" hidden="false" customHeight="false" outlineLevel="0" collapsed="false">
      <c r="A165" s="0" t="s">
        <v>164</v>
      </c>
      <c r="B165" s="0" t="s">
        <v>165</v>
      </c>
      <c r="C165" s="0" t="s">
        <v>15</v>
      </c>
      <c r="D165" s="0" t="s">
        <v>29</v>
      </c>
      <c r="E165" s="9" t="s">
        <v>68</v>
      </c>
      <c r="F165" s="10" t="s">
        <v>69</v>
      </c>
      <c r="G165" s="11"/>
      <c r="H165" s="12" t="str">
        <f aca="false">IF(J165&lt;&gt;1,"",IF(I165="SBJ","CB","?"))</f>
        <v/>
      </c>
      <c r="I165" s="13" t="str">
        <f aca="false">IF(OR(E165="",E165="!!!",F165="NEW"),"",INDEX(B$2:B164,-1+SUMPRODUCT(MAX(ROW(E$2:E164)*(E165=E$2:E164)))))</f>
        <v>OBJ_2</v>
      </c>
      <c r="J165" s="14" t="n">
        <f aca="true">IF(OR(E165="",E165="!!!",F165="NEW"),"",COUNTBLANK(OFFSET(A$1,,,SUMPRODUCT(MAX(ROW(E$2:E165)*(E165=E$2:E165)))))-COUNTBLANK(OFFSET(A$1,,,SUMPRODUCT(MAX(ROW(E$1:E164)*(E165=E$1:E164))))))</f>
        <v>0</v>
      </c>
      <c r="K165" s="14" t="n">
        <f aca="false">IF(OR(E165="",E165="!!!",F165="NEW"),"",INDEX(J$1:J164,SUMPRODUCT(MAX(ROW(E$1:E164)*(E165=E$1:E164)))))</f>
        <v>0</v>
      </c>
      <c r="L165" s="15"/>
    </row>
    <row r="166" customFormat="false" ht="12.75" hidden="false" customHeight="false" outlineLevel="0" collapsed="false">
      <c r="A166" s="0" t="s">
        <v>19</v>
      </c>
      <c r="E166" s="9" t="str">
        <f aca="false">IF(D166="?OLD","!!!","")</f>
        <v/>
      </c>
      <c r="F166" s="10" t="str">
        <f aca="false">IF(OR(E166="",E166="!!!"),"",IF(NOT(ISNA(VLOOKUP(E166,E$1:E165,1,FALSE()))),"OLD",IF(AND(E166&lt;&gt;"",E166&lt;&gt;"!!!"),"NEW","")))</f>
        <v/>
      </c>
      <c r="G166" s="11" t="str">
        <f aca="false">IF(OR(E166="",E166="!!!"),"",IF(OR(J166=0,AND(J166=1,K166=1),AND(J166=1,I166="SBJ"),AND(J166=1,I166=0)),"?IN_FOCUS",IF(J166&lt;=2,"?ACTIVATED",IF(J166&lt;&gt;"","?FAMILIAR",IF(F166="NEW",IF(ISNA(VLOOKUP(E166,#REF!,1,FALSE())),"?TYPE_IDENTIFIABLE","?REFERENTIAL"),"_")))))</f>
        <v/>
      </c>
      <c r="H166" s="12" t="str">
        <f aca="false">IF(J166&lt;&gt;1,"",IF(I166="SBJ","CB","?"))</f>
        <v/>
      </c>
      <c r="I166" s="13" t="str">
        <f aca="false">IF(OR(E166="",E166="!!!",F166="NEW"),"",INDEX(B$2:B165,-1+SUMPRODUCT(MAX(ROW(E$2:E165)*(E166=E$2:E165)))))</f>
        <v/>
      </c>
      <c r="J166" s="14" t="str">
        <f aca="true">IF(OR(E166="",E166="!!!",F166="NEW"),"",COUNTBLANK(OFFSET(A$1,,,SUMPRODUCT(MAX(ROW(E$2:E166)*(E166=E$2:E166)))))-COUNTBLANK(OFFSET(A$1,,,SUMPRODUCT(MAX(ROW(E$1:E165)*(E166=E$1:E165))))))</f>
        <v/>
      </c>
      <c r="K166" s="14" t="str">
        <f aca="false">IF(OR(E166="",E166="!!!",F166="NEW"),"",INDEX(J$1:J165,SUMPRODUCT(MAX(ROW(E$1:E165)*(E166=E$1:E165)))))</f>
        <v/>
      </c>
      <c r="L166" s="15"/>
    </row>
    <row r="167" customFormat="false" ht="12.75" hidden="false" customHeight="false" outlineLevel="0" collapsed="false">
      <c r="A167" s="0" t="s">
        <v>166</v>
      </c>
      <c r="B167" s="0" t="s">
        <v>163</v>
      </c>
      <c r="C167" s="0" t="s">
        <v>120</v>
      </c>
      <c r="E167" s="9" t="str">
        <f aca="false">IF(D167="?OLD","!!!","")</f>
        <v/>
      </c>
      <c r="F167" s="10" t="str">
        <f aca="false">IF(OR(E167="",E167="!!!"),"",IF(NOT(ISNA(VLOOKUP(E167,E$1:E166,1,FALSE()))),"OLD",IF(AND(E167&lt;&gt;"",E167&lt;&gt;"!!!"),"NEW","")))</f>
        <v/>
      </c>
      <c r="G167" s="11" t="str">
        <f aca="false">IF(OR(E167="",E167="!!!"),"",IF(OR(J167=0,AND(J167=1,K167=1),AND(J167=1,I167="SBJ"),AND(J167=1,I167=0)),"?IN_FOCUS",IF(J167&lt;=2,"?ACTIVATED",IF(J167&lt;&gt;"","?FAMILIAR",IF(F167="NEW",IF(ISNA(VLOOKUP(E167,#REF!,1,FALSE())),"?TYPE_IDENTIFIABLE","?REFERENTIAL"),"_")))))</f>
        <v/>
      </c>
      <c r="H167" s="12" t="str">
        <f aca="false">IF(J167&lt;&gt;1,"",IF(I167="SBJ","CB","?"))</f>
        <v/>
      </c>
      <c r="I167" s="13" t="str">
        <f aca="false">IF(OR(E167="",E167="!!!",F167="NEW"),"",INDEX(B$2:B166,-1+SUMPRODUCT(MAX(ROW(E$2:E166)*(E167=E$2:E166)))))</f>
        <v/>
      </c>
      <c r="J167" s="14" t="str">
        <f aca="true">IF(OR(E167="",E167="!!!",F167="NEW"),"",COUNTBLANK(OFFSET(A$1,,,SUMPRODUCT(MAX(ROW(E$2:E167)*(E167=E$2:E167)))))-COUNTBLANK(OFFSET(A$1,,,SUMPRODUCT(MAX(ROW(E$1:E166)*(E167=E$1:E166))))))</f>
        <v/>
      </c>
      <c r="K167" s="14" t="str">
        <f aca="false">IF(OR(E167="",E167="!!!",F167="NEW"),"",INDEX(J$1:J166,SUMPRODUCT(MAX(ROW(E$1:E166)*(E167=E$1:E166)))))</f>
        <v/>
      </c>
      <c r="L167" s="15"/>
    </row>
    <row r="168" customFormat="false" ht="12.75" hidden="false" customHeight="false" outlineLevel="0" collapsed="false">
      <c r="A168" s="0" t="s">
        <v>167</v>
      </c>
      <c r="E168" s="9" t="str">
        <f aca="false">IF(D168="?OLD","!!!","")</f>
        <v/>
      </c>
      <c r="F168" s="10" t="str">
        <f aca="false">IF(OR(E168="",E168="!!!"),"",IF(NOT(ISNA(VLOOKUP(E168,E$1:E167,1,FALSE()))),"OLD",IF(AND(E168&lt;&gt;"",E168&lt;&gt;"!!!"),"NEW","")))</f>
        <v/>
      </c>
      <c r="G168" s="11" t="str">
        <f aca="false">IF(OR(E168="",E168="!!!"),"",IF(OR(J168=0,AND(J168=1,K168=1),AND(J168=1,I168="SBJ"),AND(J168=1,I168=0)),"?IN_FOCUS",IF(J168&lt;=2,"?ACTIVATED",IF(J168&lt;&gt;"","?FAMILIAR",IF(F168="NEW",IF(ISNA(VLOOKUP(E168,#REF!,1,FALSE())),"?TYPE_IDENTIFIABLE","?REFERENTIAL"),"_")))))</f>
        <v/>
      </c>
      <c r="H168" s="12" t="str">
        <f aca="false">IF(J168&lt;&gt;1,"",IF(I168="SBJ","CB","?"))</f>
        <v/>
      </c>
      <c r="I168" s="13" t="str">
        <f aca="false">IF(OR(E168="",E168="!!!",F168="NEW"),"",INDEX(B$2:B167,-1+SUMPRODUCT(MAX(ROW(E$2:E167)*(E168=E$2:E167)))))</f>
        <v/>
      </c>
      <c r="J168" s="14" t="str">
        <f aca="true">IF(OR(E168="",E168="!!!",F168="NEW"),"",COUNTBLANK(OFFSET(A$1,,,SUMPRODUCT(MAX(ROW(E$2:E168)*(E168=E$2:E168)))))-COUNTBLANK(OFFSET(A$1,,,SUMPRODUCT(MAX(ROW(E$1:E167)*(E168=E$1:E167))))))</f>
        <v/>
      </c>
      <c r="K168" s="14" t="str">
        <f aca="false">IF(OR(E168="",E168="!!!",F168="NEW"),"",INDEX(J$1:J167,SUMPRODUCT(MAX(ROW(E$1:E167)*(E168=E$1:E167)))))</f>
        <v/>
      </c>
      <c r="L168" s="15"/>
    </row>
    <row r="169" customFormat="false" ht="12.75" hidden="false" customHeight="false" outlineLevel="0" collapsed="false">
      <c r="A169" s="0" t="s">
        <v>168</v>
      </c>
      <c r="E169" s="9" t="str">
        <f aca="false">IF(D169="?OLD","!!!","")</f>
        <v/>
      </c>
      <c r="F169" s="10" t="str">
        <f aca="false">IF(OR(E169="",E169="!!!"),"",IF(NOT(ISNA(VLOOKUP(E169,E$1:E168,1,FALSE()))),"OLD",IF(AND(E169&lt;&gt;"",E169&lt;&gt;"!!!"),"NEW","")))</f>
        <v/>
      </c>
      <c r="G169" s="11" t="str">
        <f aca="false">IF(OR(E169="",E169="!!!"),"",IF(OR(J169=0,AND(J169=1,K169=1),AND(J169=1,I169="SBJ"),AND(J169=1,I169=0)),"?IN_FOCUS",IF(J169&lt;=2,"?ACTIVATED",IF(J169&lt;&gt;"","?FAMILIAR",IF(F169="NEW",IF(ISNA(VLOOKUP(E169,#REF!,1,FALSE())),"?TYPE_IDENTIFIABLE","?REFERENTIAL"),"_")))))</f>
        <v/>
      </c>
      <c r="H169" s="12" t="str">
        <f aca="false">IF(J169&lt;&gt;1,"",IF(I169="SBJ","CB","?"))</f>
        <v/>
      </c>
      <c r="I169" s="13" t="str">
        <f aca="false">IF(OR(E169="",E169="!!!",F169="NEW"),"",INDEX(B$2:B168,-1+SUMPRODUCT(MAX(ROW(E$2:E168)*(E169=E$2:E168)))))</f>
        <v/>
      </c>
      <c r="J169" s="14" t="str">
        <f aca="true">IF(OR(E169="",E169="!!!",F169="NEW"),"",COUNTBLANK(OFFSET(A$1,,,SUMPRODUCT(MAX(ROW(E$2:E169)*(E169=E$2:E169)))))-COUNTBLANK(OFFSET(A$1,,,SUMPRODUCT(MAX(ROW(E$1:E168)*(E169=E$1:E168))))))</f>
        <v/>
      </c>
      <c r="K169" s="14" t="str">
        <f aca="false">IF(OR(E169="",E169="!!!",F169="NEW"),"",INDEX(J$1:J168,SUMPRODUCT(MAX(ROW(E$1:E168)*(E169=E$1:E168)))))</f>
        <v/>
      </c>
      <c r="L169" s="15"/>
    </row>
    <row r="170" customFormat="false" ht="12.75" hidden="false" customHeight="false" outlineLevel="0" collapsed="false">
      <c r="A170" s="0" t="s">
        <v>73</v>
      </c>
      <c r="E170" s="9" t="str">
        <f aca="false">IF(D170="?OLD","!!!","")</f>
        <v/>
      </c>
      <c r="F170" s="10" t="str">
        <f aca="false">IF(OR(E170="",E170="!!!"),"",IF(NOT(ISNA(VLOOKUP(E170,E$1:E169,1,FALSE()))),"OLD",IF(AND(E170&lt;&gt;"",E170&lt;&gt;"!!!"),"NEW","")))</f>
        <v/>
      </c>
      <c r="G170" s="11" t="str">
        <f aca="false">IF(OR(E170="",E170="!!!"),"",IF(OR(J170=0,AND(J170=1,K170=1),AND(J170=1,I170="SBJ"),AND(J170=1,I170=0)),"?IN_FOCUS",IF(J170&lt;=2,"?ACTIVATED",IF(J170&lt;&gt;"","?FAMILIAR",IF(F170="NEW",IF(ISNA(VLOOKUP(E170,#REF!,1,FALSE())),"?TYPE_IDENTIFIABLE","?REFERENTIAL"),"_")))))</f>
        <v/>
      </c>
      <c r="H170" s="12" t="str">
        <f aca="false">IF(J170&lt;&gt;1,"",IF(I170="SBJ","CB","?"))</f>
        <v/>
      </c>
      <c r="I170" s="13" t="str">
        <f aca="false">IF(OR(E170="",E170="!!!",F170="NEW"),"",INDEX(B$2:B169,-1+SUMPRODUCT(MAX(ROW(E$2:E169)*(E170=E$2:E169)))))</f>
        <v/>
      </c>
      <c r="J170" s="14" t="str">
        <f aca="true">IF(OR(E170="",E170="!!!",F170="NEW"),"",COUNTBLANK(OFFSET(A$1,,,SUMPRODUCT(MAX(ROW(E$2:E170)*(E170=E$2:E170)))))-COUNTBLANK(OFFSET(A$1,,,SUMPRODUCT(MAX(ROW(E$1:E169)*(E170=E$1:E169))))))</f>
        <v/>
      </c>
      <c r="K170" s="14" t="str">
        <f aca="false">IF(OR(E170="",E170="!!!",F170="NEW"),"",INDEX(J$1:J169,SUMPRODUCT(MAX(ROW(E$1:E169)*(E170=E$1:E169)))))</f>
        <v/>
      </c>
      <c r="L170" s="15"/>
    </row>
    <row r="171" customFormat="false" ht="12.75" hidden="false" customHeight="false" outlineLevel="0" collapsed="false">
      <c r="E171" s="9" t="str">
        <f aca="false">IF(D171="?OLD","!!!","")</f>
        <v/>
      </c>
      <c r="F171" s="10" t="str">
        <f aca="false">IF(OR(E171="",E171="!!!"),"",IF(NOT(ISNA(VLOOKUP(E171,E$1:E170,1,FALSE()))),"OLD",IF(AND(E171&lt;&gt;"",E171&lt;&gt;"!!!"),"NEW","")))</f>
        <v/>
      </c>
      <c r="G171" s="11" t="str">
        <f aca="false">IF(OR(E171="",E171="!!!"),"",IF(OR(J171=0,AND(J171=1,K171=1),AND(J171=1,I171="SBJ"),AND(J171=1,I171=0)),"?IN_FOCUS",IF(J171&lt;=2,"?ACTIVATED",IF(J171&lt;&gt;"","?FAMILIAR",IF(F171="NEW",IF(ISNA(VLOOKUP(E171,#REF!,1,FALSE())),"?TYPE_IDENTIFIABLE","?REFERENTIAL"),"_")))))</f>
        <v/>
      </c>
      <c r="H171" s="12" t="str">
        <f aca="false">IF(J171&lt;&gt;1,"",IF(I171="SBJ","CB","?"))</f>
        <v/>
      </c>
      <c r="I171" s="13" t="str">
        <f aca="false">IF(OR(E171="",E171="!!!",F171="NEW"),"",INDEX(B$2:B170,-1+SUMPRODUCT(MAX(ROW(E$2:E170)*(E171=E$2:E170)))))</f>
        <v/>
      </c>
      <c r="J171" s="14" t="str">
        <f aca="true">IF(OR(E171="",E171="!!!",F171="NEW"),"",COUNTBLANK(OFFSET(A$1,,,SUMPRODUCT(MAX(ROW(E$2:E171)*(E171=E$2:E171)))))-COUNTBLANK(OFFSET(A$1,,,SUMPRODUCT(MAX(ROW(E$1:E170)*(E171=E$1:E170))))))</f>
        <v/>
      </c>
      <c r="K171" s="14" t="str">
        <f aca="false">IF(OR(E171="",E171="!!!",F171="NEW"),"",INDEX(J$1:J170,SUMPRODUCT(MAX(ROW(E$1:E170)*(E171=E$1:E170)))))</f>
        <v/>
      </c>
      <c r="L171" s="15"/>
    </row>
    <row r="172" customFormat="false" ht="12.75" hidden="false" customHeight="false" outlineLevel="0" collapsed="false">
      <c r="A172" s="0" t="s">
        <v>169</v>
      </c>
      <c r="E172" s="9" t="str">
        <f aca="false">IF(D172="?OLD","!!!","")</f>
        <v/>
      </c>
      <c r="F172" s="10" t="str">
        <f aca="false">IF(OR(E172="",E172="!!!"),"",IF(NOT(ISNA(VLOOKUP(E172,E$1:E171,1,FALSE()))),"OLD",IF(AND(E172&lt;&gt;"",E172&lt;&gt;"!!!"),"NEW","")))</f>
        <v/>
      </c>
      <c r="G172" s="11" t="str">
        <f aca="false">IF(OR(E172="",E172="!!!"),"",IF(OR(J172=0,AND(J172=1,K172=1),AND(J172=1,I172="SBJ"),AND(J172=1,I172=0)),"?IN_FOCUS",IF(J172&lt;=2,"?ACTIVATED",IF(J172&lt;&gt;"","?FAMILIAR",IF(F172="NEW",IF(ISNA(VLOOKUP(E172,#REF!,1,FALSE())),"?TYPE_IDENTIFIABLE","?REFERENTIAL"),"_")))))</f>
        <v/>
      </c>
      <c r="H172" s="12" t="str">
        <f aca="false">IF(J172&lt;&gt;1,"",IF(I172="SBJ","CB","?"))</f>
        <v/>
      </c>
      <c r="I172" s="13" t="str">
        <f aca="false">IF(OR(E172="",E172="!!!",F172="NEW"),"",INDEX(B$2:B171,-1+SUMPRODUCT(MAX(ROW(E$2:E171)*(E172=E$2:E171)))))</f>
        <v/>
      </c>
      <c r="J172" s="14" t="str">
        <f aca="true">IF(OR(E172="",E172="!!!",F172="NEW"),"",COUNTBLANK(OFFSET(A$1,,,SUMPRODUCT(MAX(ROW(E$2:E172)*(E172=E$2:E172)))))-COUNTBLANK(OFFSET(A$1,,,SUMPRODUCT(MAX(ROW(E$1:E171)*(E172=E$1:E171))))))</f>
        <v/>
      </c>
      <c r="K172" s="14" t="str">
        <f aca="false">IF(OR(E172="",E172="!!!",F172="NEW"),"",INDEX(J$1:J171,SUMPRODUCT(MAX(ROW(E$1:E171)*(E172=E$1:E171)))))</f>
        <v/>
      </c>
      <c r="L172" s="15"/>
    </row>
    <row r="173" customFormat="false" ht="12.75" hidden="false" customHeight="false" outlineLevel="0" collapsed="false">
      <c r="A173" s="0" t="s">
        <v>170</v>
      </c>
      <c r="B173" s="0" t="s">
        <v>28</v>
      </c>
      <c r="C173" s="0" t="s">
        <v>55</v>
      </c>
      <c r="D173" s="0" t="s">
        <v>29</v>
      </c>
      <c r="E173" s="9" t="s">
        <v>123</v>
      </c>
      <c r="F173" s="10" t="str">
        <f aca="false">IF(OR(E173="",E173="!!!"),"",IF(NOT(ISNA(VLOOKUP(E173,E$1:E172,1,FALSE()))),"OLD",IF(AND(E173&lt;&gt;"",E173&lt;&gt;"!!!"),"NEW","")))</f>
        <v>OLD</v>
      </c>
      <c r="G173" s="11" t="s">
        <v>80</v>
      </c>
      <c r="H173" s="12" t="s">
        <v>7</v>
      </c>
      <c r="I173" s="13" t="str">
        <f aca="false">IF(OR(E173="",E173="!!!",F173="NEW"),"",INDEX(B$2:B172,-1+SUMPRODUCT(MAX(ROW(E$2:E172)*(E173=E$2:E172)))))</f>
        <v>SBJ_4</v>
      </c>
      <c r="J173" s="14" t="n">
        <f aca="true">IF(OR(E173="",E173="!!!",F173="NEW"),"",COUNTBLANK(OFFSET(A$1,,,SUMPRODUCT(MAX(ROW(E$2:E173)*(E173=E$2:E173)))))-COUNTBLANK(OFFSET(A$1,,,SUMPRODUCT(MAX(ROW(E$1:E172)*(E173=E$1:E172))))))</f>
        <v>1</v>
      </c>
      <c r="K173" s="14" t="n">
        <f aca="false">IF(OR(E173="",E173="!!!",F173="NEW"),"",INDEX(J$1:J172,SUMPRODUCT(MAX(ROW(E$1:E172)*(E173=E$1:E172)))))</f>
        <v>1</v>
      </c>
      <c r="L173" s="15"/>
    </row>
    <row r="174" customFormat="false" ht="12.75" hidden="false" customHeight="false" outlineLevel="0" collapsed="false">
      <c r="A174" s="0" t="s">
        <v>171</v>
      </c>
      <c r="B174" s="0" t="s">
        <v>14</v>
      </c>
      <c r="C174" s="0" t="s">
        <v>15</v>
      </c>
      <c r="D174" s="0" t="s">
        <v>29</v>
      </c>
      <c r="E174" s="9" t="s">
        <v>68</v>
      </c>
      <c r="F174" s="10" t="s">
        <v>69</v>
      </c>
      <c r="G174" s="11"/>
      <c r="H174" s="12"/>
      <c r="I174" s="13" t="str">
        <f aca="false">IF(OR(E174="",E174="!!!",F174="NEW"),"",INDEX(B$2:B173,-1+SUMPRODUCT(MAX(ROW(E$2:E173)*(E174=E$2:E173)))))</f>
        <v>SBJ_6</v>
      </c>
      <c r="J174" s="14" t="n">
        <f aca="true">IF(OR(E174="",E174="!!!",F174="NEW"),"",COUNTBLANK(OFFSET(A$1,,,SUMPRODUCT(MAX(ROW(E$2:E174)*(E174=E$2:E174)))))-COUNTBLANK(OFFSET(A$1,,,SUMPRODUCT(MAX(ROW(E$1:E173)*(E174=E$1:E173))))))</f>
        <v>1</v>
      </c>
      <c r="K174" s="14" t="n">
        <f aca="false">IF(OR(E174="",E174="!!!",F174="NEW"),"",INDEX(J$1:J173,SUMPRODUCT(MAX(ROW(E$1:E173)*(E174=E$1:E173)))))</f>
        <v>0</v>
      </c>
      <c r="L174" s="15"/>
    </row>
    <row r="175" customFormat="false" ht="12.75" hidden="false" customHeight="false" outlineLevel="0" collapsed="false">
      <c r="A175" s="0" t="s">
        <v>172</v>
      </c>
      <c r="E175" s="9" t="str">
        <f aca="false">IF(D175="?OLD","!!!","")</f>
        <v/>
      </c>
      <c r="F175" s="10" t="str">
        <f aca="false">IF(OR(E175="",E175="!!!"),"",IF(NOT(ISNA(VLOOKUP(E175,E$1:E174,1,FALSE()))),"OLD",IF(AND(E175&lt;&gt;"",E175&lt;&gt;"!!!"),"NEW","")))</f>
        <v/>
      </c>
      <c r="G175" s="11" t="str">
        <f aca="false">IF(OR(E175="",E175="!!!"),"",IF(OR(J175=0,AND(J175=1,K175=1),AND(J175=1,I175="SBJ"),AND(J175=1,I175=0)),"?IN_FOCUS",IF(J175&lt;=2,"?ACTIVATED",IF(J175&lt;&gt;"","?FAMILIAR",IF(F175="NEW",IF(ISNA(VLOOKUP(E175,#REF!,1,FALSE())),"?TYPE_IDENTIFIABLE","?REFERENTIAL"),"_")))))</f>
        <v/>
      </c>
      <c r="H175" s="12" t="str">
        <f aca="false">IF(J175&lt;&gt;1,"",IF(I175="SBJ","CB","?"))</f>
        <v/>
      </c>
      <c r="I175" s="13" t="str">
        <f aca="false">IF(OR(E175="",E175="!!!",F175="NEW"),"",INDEX(B$2:B174,-1+SUMPRODUCT(MAX(ROW(E$2:E174)*(E175=E$2:E174)))))</f>
        <v/>
      </c>
      <c r="J175" s="14" t="str">
        <f aca="true">IF(OR(E175="",E175="!!!",F175="NEW"),"",COUNTBLANK(OFFSET(A$1,,,SUMPRODUCT(MAX(ROW(E$2:E175)*(E175=E$2:E175)))))-COUNTBLANK(OFFSET(A$1,,,SUMPRODUCT(MAX(ROW(E$1:E174)*(E175=E$1:E174))))))</f>
        <v/>
      </c>
      <c r="K175" s="14" t="str">
        <f aca="false">IF(OR(E175="",E175="!!!",F175="NEW"),"",INDEX(J$1:J174,SUMPRODUCT(MAX(ROW(E$1:E174)*(E175=E$1:E174)))))</f>
        <v/>
      </c>
      <c r="L175" s="15"/>
    </row>
    <row r="176" customFormat="false" ht="12.75" hidden="false" customHeight="false" outlineLevel="0" collapsed="false">
      <c r="A176" s="0" t="s">
        <v>173</v>
      </c>
      <c r="E176" s="9" t="str">
        <f aca="false">IF(D176="?OLD","!!!","")</f>
        <v/>
      </c>
      <c r="F176" s="10" t="str">
        <f aca="false">IF(OR(E176="",E176="!!!"),"",IF(NOT(ISNA(VLOOKUP(E176,E$1:E175,1,FALSE()))),"OLD",IF(AND(E176&lt;&gt;"",E176&lt;&gt;"!!!"),"NEW","")))</f>
        <v/>
      </c>
      <c r="G176" s="11" t="str">
        <f aca="false">IF(OR(E176="",E176="!!!"),"",IF(OR(J176=0,AND(J176=1,K176=1),AND(J176=1,I176="SBJ"),AND(J176=1,I176=0)),"?IN_FOCUS",IF(J176&lt;=2,"?ACTIVATED",IF(J176&lt;&gt;"","?FAMILIAR",IF(F176="NEW",IF(ISNA(VLOOKUP(E176,#REF!,1,FALSE())),"?TYPE_IDENTIFIABLE","?REFERENTIAL"),"_")))))</f>
        <v/>
      </c>
      <c r="H176" s="12" t="str">
        <f aca="false">IF(J176&lt;&gt;1,"",IF(I176="SBJ","CB","?"))</f>
        <v/>
      </c>
      <c r="I176" s="13" t="str">
        <f aca="false">IF(OR(E176="",E176="!!!",F176="NEW"),"",INDEX(B$2:B175,-1+SUMPRODUCT(MAX(ROW(E$2:E175)*(E176=E$2:E175)))))</f>
        <v/>
      </c>
      <c r="J176" s="14" t="str">
        <f aca="true">IF(OR(E176="",E176="!!!",F176="NEW"),"",COUNTBLANK(OFFSET(A$1,,,SUMPRODUCT(MAX(ROW(E$2:E176)*(E176=E$2:E176)))))-COUNTBLANK(OFFSET(A$1,,,SUMPRODUCT(MAX(ROW(E$1:E175)*(E176=E$1:E175))))))</f>
        <v/>
      </c>
      <c r="K176" s="14" t="str">
        <f aca="false">IF(OR(E176="",E176="!!!",F176="NEW"),"",INDEX(J$1:J175,SUMPRODUCT(MAX(ROW(E$1:E175)*(E176=E$1:E175)))))</f>
        <v/>
      </c>
      <c r="L176" s="15"/>
    </row>
    <row r="177" customFormat="false" ht="12.75" hidden="false" customHeight="false" outlineLevel="0" collapsed="false">
      <c r="A177" s="0" t="s">
        <v>174</v>
      </c>
      <c r="B177" s="0" t="s">
        <v>62</v>
      </c>
      <c r="C177" s="0" t="s">
        <v>120</v>
      </c>
      <c r="E177" s="9" t="str">
        <f aca="false">IF(D177="?OLD","!!!","")</f>
        <v/>
      </c>
      <c r="F177" s="10" t="str">
        <f aca="false">IF(OR(E177="",E177="!!!"),"",IF(NOT(ISNA(VLOOKUP(E177,E$1:E176,1,FALSE()))),"OLD",IF(AND(E177&lt;&gt;"",E177&lt;&gt;"!!!"),"NEW","")))</f>
        <v/>
      </c>
      <c r="G177" s="11" t="str">
        <f aca="false">IF(OR(E177="",E177="!!!"),"",IF(OR(J177=0,AND(J177=1,K177=1),AND(J177=1,I177="SBJ"),AND(J177=1,I177=0)),"?IN_FOCUS",IF(J177&lt;=2,"?ACTIVATED",IF(J177&lt;&gt;"","?FAMILIAR",IF(F177="NEW",IF(ISNA(VLOOKUP(E177,#REF!,1,FALSE())),"?TYPE_IDENTIFIABLE","?REFERENTIAL"),"_")))))</f>
        <v/>
      </c>
      <c r="H177" s="12" t="str">
        <f aca="false">IF(J177&lt;&gt;1,"",IF(I177="SBJ","CB","?"))</f>
        <v/>
      </c>
      <c r="I177" s="13" t="str">
        <f aca="false">IF(OR(E177="",E177="!!!",F177="NEW"),"",INDEX(B$2:B176,-1+SUMPRODUCT(MAX(ROW(E$2:E176)*(E177=E$2:E176)))))</f>
        <v/>
      </c>
      <c r="J177" s="14" t="str">
        <f aca="true">IF(OR(E177="",E177="!!!",F177="NEW"),"",COUNTBLANK(OFFSET(A$1,,,SUMPRODUCT(MAX(ROW(E$2:E177)*(E177=E$2:E177)))))-COUNTBLANK(OFFSET(A$1,,,SUMPRODUCT(MAX(ROW(E$1:E176)*(E177=E$1:E176))))))</f>
        <v/>
      </c>
      <c r="K177" s="14" t="str">
        <f aca="false">IF(OR(E177="",E177="!!!",F177="NEW"),"",INDEX(J$1:J176,SUMPRODUCT(MAX(ROW(E$1:E176)*(E177=E$1:E176)))))</f>
        <v/>
      </c>
      <c r="L177" s="15"/>
    </row>
    <row r="178" customFormat="false" ht="12.75" hidden="false" customHeight="false" outlineLevel="0" collapsed="false">
      <c r="A178" s="0" t="s">
        <v>175</v>
      </c>
      <c r="E178" s="9" t="str">
        <f aca="false">IF(D178="?OLD","!!!","")</f>
        <v/>
      </c>
      <c r="F178" s="10" t="str">
        <f aca="false">IF(OR(E178="",E178="!!!"),"",IF(NOT(ISNA(VLOOKUP(E178,E$1:E177,1,FALSE()))),"OLD",IF(AND(E178&lt;&gt;"",E178&lt;&gt;"!!!"),"NEW","")))</f>
        <v/>
      </c>
      <c r="G178" s="11" t="str">
        <f aca="false">IF(OR(E178="",E178="!!!"),"",IF(OR(J178=0,AND(J178=1,K178=1),AND(J178=1,I178="SBJ"),AND(J178=1,I178=0)),"?IN_FOCUS",IF(J178&lt;=2,"?ACTIVATED",IF(J178&lt;&gt;"","?FAMILIAR",IF(F178="NEW",IF(ISNA(VLOOKUP(E178,#REF!,1,FALSE())),"?TYPE_IDENTIFIABLE","?REFERENTIAL"),"_")))))</f>
        <v/>
      </c>
      <c r="H178" s="12" t="str">
        <f aca="false">IF(J178&lt;&gt;1,"",IF(I178="SBJ","CB","?"))</f>
        <v/>
      </c>
      <c r="I178" s="13" t="str">
        <f aca="false">IF(OR(E178="",E178="!!!",F178="NEW"),"",INDEX(B$2:B177,-1+SUMPRODUCT(MAX(ROW(E$2:E177)*(E178=E$2:E177)))))</f>
        <v/>
      </c>
      <c r="J178" s="14" t="str">
        <f aca="true">IF(OR(E178="",E178="!!!",F178="NEW"),"",COUNTBLANK(OFFSET(A$1,,,SUMPRODUCT(MAX(ROW(E$2:E178)*(E178=E$2:E178)))))-COUNTBLANK(OFFSET(A$1,,,SUMPRODUCT(MAX(ROW(E$1:E177)*(E178=E$1:E177))))))</f>
        <v/>
      </c>
      <c r="K178" s="14" t="str">
        <f aca="false">IF(OR(E178="",E178="!!!",F178="NEW"),"",INDEX(J$1:J177,SUMPRODUCT(MAX(ROW(E$1:E177)*(E178=E$1:E177)))))</f>
        <v/>
      </c>
      <c r="L178" s="15"/>
    </row>
    <row r="179" customFormat="false" ht="12.75" hidden="false" customHeight="false" outlineLevel="0" collapsed="false">
      <c r="A179" s="0" t="s">
        <v>145</v>
      </c>
      <c r="E179" s="9" t="str">
        <f aca="false">IF(D179="?OLD","!!!","")</f>
        <v/>
      </c>
      <c r="F179" s="10" t="str">
        <f aca="false">IF(OR(E179="",E179="!!!"),"",IF(NOT(ISNA(VLOOKUP(E179,E$1:E178,1,FALSE()))),"OLD",IF(AND(E179&lt;&gt;"",E179&lt;&gt;"!!!"),"NEW","")))</f>
        <v/>
      </c>
      <c r="G179" s="11" t="str">
        <f aca="false">IF(OR(E179="",E179="!!!"),"",IF(OR(J179=0,AND(J179=1,K179=1),AND(J179=1,I179="SBJ"),AND(J179=1,I179=0)),"?IN_FOCUS",IF(J179&lt;=2,"?ACTIVATED",IF(J179&lt;&gt;"","?FAMILIAR",IF(F179="NEW",IF(ISNA(VLOOKUP(E179,#REF!,1,FALSE())),"?TYPE_IDENTIFIABLE","?REFERENTIAL"),"_")))))</f>
        <v/>
      </c>
      <c r="H179" s="12" t="str">
        <f aca="false">IF(J179&lt;&gt;1,"",IF(I179="SBJ","CB","?"))</f>
        <v/>
      </c>
      <c r="I179" s="13" t="str">
        <f aca="false">IF(OR(E179="",E179="!!!",F179="NEW"),"",INDEX(B$2:B178,-1+SUMPRODUCT(MAX(ROW(E$2:E178)*(E179=E$2:E178)))))</f>
        <v/>
      </c>
      <c r="J179" s="14" t="str">
        <f aca="true">IF(OR(E179="",E179="!!!",F179="NEW"),"",COUNTBLANK(OFFSET(A$1,,,SUMPRODUCT(MAX(ROW(E$2:E179)*(E179=E$2:E179)))))-COUNTBLANK(OFFSET(A$1,,,SUMPRODUCT(MAX(ROW(E$1:E178)*(E179=E$1:E178))))))</f>
        <v/>
      </c>
      <c r="K179" s="14" t="str">
        <f aca="false">IF(OR(E179="",E179="!!!",F179="NEW"),"",INDEX(J$1:J178,SUMPRODUCT(MAX(ROW(E$1:E178)*(E179=E$1:E178)))))</f>
        <v/>
      </c>
      <c r="L179" s="15"/>
    </row>
    <row r="180" customFormat="false" ht="12.75" hidden="false" customHeight="false" outlineLevel="0" collapsed="false">
      <c r="A180" s="0" t="s">
        <v>146</v>
      </c>
      <c r="E180" s="9" t="str">
        <f aca="false">IF(D180="?OLD","!!!","")</f>
        <v/>
      </c>
      <c r="F180" s="10" t="str">
        <f aca="false">IF(OR(E180="",E180="!!!"),"",IF(NOT(ISNA(VLOOKUP(E180,E$1:E179,1,FALSE()))),"OLD",IF(AND(E180&lt;&gt;"",E180&lt;&gt;"!!!"),"NEW","")))</f>
        <v/>
      </c>
      <c r="G180" s="11" t="str">
        <f aca="false">IF(OR(E180="",E180="!!!"),"",IF(OR(J180=0,AND(J180=1,K180=1),AND(J180=1,I180="SBJ"),AND(J180=1,I180=0)),"?IN_FOCUS",IF(J180&lt;=2,"?ACTIVATED",IF(J180&lt;&gt;"","?FAMILIAR",IF(F180="NEW",IF(ISNA(VLOOKUP(E180,#REF!,1,FALSE())),"?TYPE_IDENTIFIABLE","?REFERENTIAL"),"_")))))</f>
        <v/>
      </c>
      <c r="H180" s="12" t="str">
        <f aca="false">IF(J180&lt;&gt;1,"",IF(I180="SBJ","CB","?"))</f>
        <v/>
      </c>
      <c r="I180" s="13" t="str">
        <f aca="false">IF(OR(E180="",E180="!!!",F180="NEW"),"",INDEX(B$2:B179,-1+SUMPRODUCT(MAX(ROW(E$2:E179)*(E180=E$2:E179)))))</f>
        <v/>
      </c>
      <c r="J180" s="14" t="str">
        <f aca="true">IF(OR(E180="",E180="!!!",F180="NEW"),"",COUNTBLANK(OFFSET(A$1,,,SUMPRODUCT(MAX(ROW(E$2:E180)*(E180=E$2:E180)))))-COUNTBLANK(OFFSET(A$1,,,SUMPRODUCT(MAX(ROW(E$1:E179)*(E180=E$1:E179))))))</f>
        <v/>
      </c>
      <c r="K180" s="14" t="str">
        <f aca="false">IF(OR(E180="",E180="!!!",F180="NEW"),"",INDEX(J$1:J179,SUMPRODUCT(MAX(ROW(E$1:E179)*(E180=E$1:E179)))))</f>
        <v/>
      </c>
      <c r="L180" s="15"/>
    </row>
    <row r="181" customFormat="false" ht="12.75" hidden="false" customHeight="false" outlineLevel="0" collapsed="false">
      <c r="A181" s="0" t="s">
        <v>66</v>
      </c>
      <c r="E181" s="9" t="str">
        <f aca="false">IF(D181="?OLD","!!!","")</f>
        <v/>
      </c>
      <c r="F181" s="10" t="str">
        <f aca="false">IF(OR(E181="",E181="!!!"),"",IF(NOT(ISNA(VLOOKUP(E181,E$1:E180,1,FALSE()))),"OLD",IF(AND(E181&lt;&gt;"",E181&lt;&gt;"!!!"),"NEW","")))</f>
        <v/>
      </c>
      <c r="G181" s="11" t="str">
        <f aca="false">IF(OR(E181="",E181="!!!"),"",IF(OR(J181=0,AND(J181=1,K181=1),AND(J181=1,I181="SBJ"),AND(J181=1,I181=0)),"?IN_FOCUS",IF(J181&lt;=2,"?ACTIVATED",IF(J181&lt;&gt;"","?FAMILIAR",IF(F181="NEW",IF(ISNA(VLOOKUP(E181,#REF!,1,FALSE())),"?TYPE_IDENTIFIABLE","?REFERENTIAL"),"_")))))</f>
        <v/>
      </c>
      <c r="H181" s="12" t="str">
        <f aca="false">IF(J181&lt;&gt;1,"",IF(I181="SBJ","CB","?"))</f>
        <v/>
      </c>
      <c r="I181" s="13" t="str">
        <f aca="false">IF(OR(E181="",E181="!!!",F181="NEW"),"",INDEX(B$2:B180,-1+SUMPRODUCT(MAX(ROW(E$2:E180)*(E181=E$2:E180)))))</f>
        <v/>
      </c>
      <c r="J181" s="14" t="str">
        <f aca="true">IF(OR(E181="",E181="!!!",F181="NEW"),"",COUNTBLANK(OFFSET(A$1,,,SUMPRODUCT(MAX(ROW(E$2:E181)*(E181=E$2:E181)))))-COUNTBLANK(OFFSET(A$1,,,SUMPRODUCT(MAX(ROW(E$1:E180)*(E181=E$1:E180))))))</f>
        <v/>
      </c>
      <c r="K181" s="14" t="str">
        <f aca="false">IF(OR(E181="",E181="!!!",F181="NEW"),"",INDEX(J$1:J180,SUMPRODUCT(MAX(ROW(E$1:E180)*(E181=E$1:E180)))))</f>
        <v/>
      </c>
      <c r="L181" s="15"/>
    </row>
    <row r="182" customFormat="false" ht="12.75" hidden="false" customHeight="false" outlineLevel="0" collapsed="false">
      <c r="A182" s="0" t="s">
        <v>176</v>
      </c>
      <c r="E182" s="9" t="str">
        <f aca="false">IF(D182="?OLD","!!!","")</f>
        <v/>
      </c>
      <c r="F182" s="10" t="str">
        <f aca="false">IF(OR(E182="",E182="!!!"),"",IF(NOT(ISNA(VLOOKUP(E182,E$1:E181,1,FALSE()))),"OLD",IF(AND(E182&lt;&gt;"",E182&lt;&gt;"!!!"),"NEW","")))</f>
        <v/>
      </c>
      <c r="G182" s="11" t="str">
        <f aca="false">IF(OR(E182="",E182="!!!"),"",IF(OR(J182=0,AND(J182=1,K182=1),AND(J182=1,I182="SBJ"),AND(J182=1,I182=0)),"?IN_FOCUS",IF(J182&lt;=2,"?ACTIVATED",IF(J182&lt;&gt;"","?FAMILIAR",IF(F182="NEW",IF(ISNA(VLOOKUP(E182,#REF!,1,FALSE())),"?TYPE_IDENTIFIABLE","?REFERENTIAL"),"_")))))</f>
        <v/>
      </c>
      <c r="H182" s="12" t="str">
        <f aca="false">IF(J182&lt;&gt;1,"",IF(I182="SBJ","CB","?"))</f>
        <v/>
      </c>
      <c r="I182" s="13" t="str">
        <f aca="false">IF(OR(E182="",E182="!!!",F182="NEW"),"",INDEX(B$2:B181,-1+SUMPRODUCT(MAX(ROW(E$2:E181)*(E182=E$2:E181)))))</f>
        <v/>
      </c>
      <c r="J182" s="14" t="str">
        <f aca="true">IF(OR(E182="",E182="!!!",F182="NEW"),"",COUNTBLANK(OFFSET(A$1,,,SUMPRODUCT(MAX(ROW(E$2:E182)*(E182=E$2:E182)))))-COUNTBLANK(OFFSET(A$1,,,SUMPRODUCT(MAX(ROW(E$1:E181)*(E182=E$1:E181))))))</f>
        <v/>
      </c>
      <c r="K182" s="14" t="str">
        <f aca="false">IF(OR(E182="",E182="!!!",F182="NEW"),"",INDEX(J$1:J181,SUMPRODUCT(MAX(ROW(E$1:E181)*(E182=E$1:E181)))))</f>
        <v/>
      </c>
      <c r="L182" s="15"/>
    </row>
    <row r="183" customFormat="false" ht="12.75" hidden="false" customHeight="false" outlineLevel="0" collapsed="false">
      <c r="A183" s="0" t="s">
        <v>177</v>
      </c>
      <c r="B183" s="0" t="s">
        <v>28</v>
      </c>
      <c r="C183" s="0" t="s">
        <v>111</v>
      </c>
      <c r="D183" s="0" t="s">
        <v>29</v>
      </c>
      <c r="E183" s="9" t="s">
        <v>68</v>
      </c>
      <c r="F183" s="10" t="s">
        <v>69</v>
      </c>
      <c r="G183" s="11"/>
      <c r="H183" s="12" t="str">
        <f aca="false">IF(J183&lt;&gt;1,"",IF(I183="SBJ","CB","?"))</f>
        <v/>
      </c>
      <c r="I183" s="13" t="str">
        <f aca="false">IF(OR(E183="",E183="!!!",F183="NEW"),"",INDEX(B$2:B182,-1+SUMPRODUCT(MAX(ROW(E$2:E182)*(E183=E$2:E182)))))</f>
        <v>SBJ</v>
      </c>
      <c r="J183" s="14" t="n">
        <f aca="true">IF(OR(E183="",E183="!!!",F183="NEW"),"",COUNTBLANK(OFFSET(A$1,,,SUMPRODUCT(MAX(ROW(E$2:E183)*(E183=E$2:E183)))))-COUNTBLANK(OFFSET(A$1,,,SUMPRODUCT(MAX(ROW(E$1:E182)*(E183=E$1:E182))))))</f>
        <v>0</v>
      </c>
      <c r="K183" s="14" t="n">
        <f aca="false">IF(OR(E183="",E183="!!!",F183="NEW"),"",INDEX(J$1:J182,SUMPRODUCT(MAX(ROW(E$1:E182)*(E183=E$1:E182)))))</f>
        <v>1</v>
      </c>
      <c r="L183" s="15"/>
    </row>
    <row r="184" customFormat="false" ht="12.75" hidden="false" customHeight="false" outlineLevel="0" collapsed="false">
      <c r="A184" s="0" t="s">
        <v>178</v>
      </c>
      <c r="E184" s="9" t="str">
        <f aca="false">IF(D184="?OLD","!!!","")</f>
        <v/>
      </c>
      <c r="F184" s="10" t="str">
        <f aca="false">IF(OR(E184="",E184="!!!"),"",IF(NOT(ISNA(VLOOKUP(E184,E$1:E183,1,FALSE()))),"OLD",IF(AND(E184&lt;&gt;"",E184&lt;&gt;"!!!"),"NEW","")))</f>
        <v/>
      </c>
      <c r="G184" s="11" t="str">
        <f aca="false">IF(OR(E184="",E184="!!!"),"",IF(OR(J184=0,AND(J184=1,K184=1),AND(J184=1,I184="SBJ"),AND(J184=1,I184=0)),"?IN_FOCUS",IF(J184&lt;=2,"?ACTIVATED",IF(J184&lt;&gt;"","?FAMILIAR",IF(F184="NEW",IF(ISNA(VLOOKUP(E184,#REF!,1,FALSE())),"?TYPE_IDENTIFIABLE","?REFERENTIAL"),"_")))))</f>
        <v/>
      </c>
      <c r="H184" s="12" t="str">
        <f aca="false">IF(J184&lt;&gt;1,"",IF(I184="SBJ","CB","?"))</f>
        <v/>
      </c>
      <c r="I184" s="13" t="str">
        <f aca="false">IF(OR(E184="",E184="!!!",F184="NEW"),"",INDEX(B$2:B183,-1+SUMPRODUCT(MAX(ROW(E$2:E183)*(E184=E$2:E183)))))</f>
        <v/>
      </c>
      <c r="J184" s="14" t="str">
        <f aca="true">IF(OR(E184="",E184="!!!",F184="NEW"),"",COUNTBLANK(OFFSET(A$1,,,SUMPRODUCT(MAX(ROW(E$2:E184)*(E184=E$2:E184)))))-COUNTBLANK(OFFSET(A$1,,,SUMPRODUCT(MAX(ROW(E$1:E183)*(E184=E$1:E183))))))</f>
        <v/>
      </c>
      <c r="K184" s="14" t="str">
        <f aca="false">IF(OR(E184="",E184="!!!",F184="NEW"),"",INDEX(J$1:J183,SUMPRODUCT(MAX(ROW(E$1:E183)*(E184=E$1:E183)))))</f>
        <v/>
      </c>
      <c r="L184" s="15"/>
    </row>
    <row r="185" customFormat="false" ht="12.75" hidden="false" customHeight="false" outlineLevel="0" collapsed="false">
      <c r="A185" s="0" t="s">
        <v>150</v>
      </c>
      <c r="B185" s="0" t="s">
        <v>64</v>
      </c>
      <c r="C185" s="0" t="s">
        <v>55</v>
      </c>
      <c r="D185" s="0" t="s">
        <v>29</v>
      </c>
      <c r="E185" s="9" t="s">
        <v>143</v>
      </c>
      <c r="F185" s="10" t="str">
        <f aca="false">IF(OR(E185="",E185="!!!"),"",IF(NOT(ISNA(VLOOKUP(E185,E$1:E184,1,FALSE()))),"OLD",IF(AND(E185&lt;&gt;"",E185&lt;&gt;"!!!"),"NEW","")))</f>
        <v>OLD</v>
      </c>
      <c r="G185" s="11" t="s">
        <v>25</v>
      </c>
      <c r="H185" s="12"/>
      <c r="I185" s="13" t="str">
        <f aca="false">IF(OR(E185="",E185="!!!",F185="NEW"),"",INDEX(B$2:B184,-1+SUMPRODUCT(MAX(ROW(E$2:E184)*(E185=E$2:E184)))))</f>
        <v>other_3</v>
      </c>
      <c r="J185" s="14" t="n">
        <f aca="true">IF(OR(E185="",E185="!!!",F185="NEW"),"",COUNTBLANK(OFFSET(A$1,,,SUMPRODUCT(MAX(ROW(E$2:E185)*(E185=E$2:E185)))))-COUNTBLANK(OFFSET(A$1,,,SUMPRODUCT(MAX(ROW(E$1:E184)*(E185=E$1:E184))))))</f>
        <v>1</v>
      </c>
      <c r="K185" s="14" t="n">
        <f aca="false">IF(OR(E185="",E185="!!!",F185="NEW"),"",INDEX(J$1:J184,SUMPRODUCT(MAX(ROW(E$1:E184)*(E185=E$1:E184)))))</f>
        <v>0</v>
      </c>
      <c r="L185" s="15"/>
    </row>
    <row r="186" customFormat="false" ht="12.75" hidden="false" customHeight="false" outlineLevel="0" collapsed="false">
      <c r="A186" s="0" t="s">
        <v>179</v>
      </c>
      <c r="B186" s="0" t="s">
        <v>22</v>
      </c>
      <c r="C186" s="0" t="s">
        <v>15</v>
      </c>
      <c r="D186" s="0" t="s">
        <v>29</v>
      </c>
      <c r="E186" s="9" t="s">
        <v>68</v>
      </c>
      <c r="F186" s="10" t="s">
        <v>69</v>
      </c>
      <c r="G186" s="11"/>
      <c r="H186" s="12" t="str">
        <f aca="false">IF(J186&lt;&gt;1,"",IF(I186="SBJ","CB","?"))</f>
        <v/>
      </c>
      <c r="I186" s="13" t="str">
        <f aca="false">IF(OR(E186="",E186="!!!",F186="NEW"),"",INDEX(B$2:B185,-1+SUMPRODUCT(MAX(ROW(E$2:E185)*(E186=E$2:E185)))))</f>
        <v>other_2</v>
      </c>
      <c r="J186" s="14" t="n">
        <f aca="true">IF(OR(E186="",E186="!!!",F186="NEW"),"",COUNTBLANK(OFFSET(A$1,,,SUMPRODUCT(MAX(ROW(E$2:E186)*(E186=E$2:E186)))))-COUNTBLANK(OFFSET(A$1,,,SUMPRODUCT(MAX(ROW(E$1:E185)*(E186=E$1:E185))))))</f>
        <v>0</v>
      </c>
      <c r="K186" s="14" t="n">
        <f aca="false">IF(OR(E186="",E186="!!!",F186="NEW"),"",INDEX(J$1:J185,SUMPRODUCT(MAX(ROW(E$1:E185)*(E186=E$1:E185)))))</f>
        <v>0</v>
      </c>
      <c r="L186" s="15"/>
    </row>
    <row r="187" customFormat="false" ht="12.75" hidden="false" customHeight="false" outlineLevel="0" collapsed="false">
      <c r="A187" s="0" t="s">
        <v>88</v>
      </c>
      <c r="E187" s="9" t="str">
        <f aca="false">IF(D187="?OLD","!!!","")</f>
        <v/>
      </c>
      <c r="F187" s="10" t="str">
        <f aca="false">IF(OR(E187="",E187="!!!"),"",IF(NOT(ISNA(VLOOKUP(E187,E$1:E186,1,FALSE()))),"OLD",IF(AND(E187&lt;&gt;"",E187&lt;&gt;"!!!"),"NEW","")))</f>
        <v/>
      </c>
      <c r="G187" s="11" t="str">
        <f aca="false">IF(OR(E187="",E187="!!!"),"",IF(OR(J187=0,AND(J187=1,K187=1),AND(J187=1,I187="SBJ"),AND(J187=1,I187=0)),"?IN_FOCUS",IF(J187&lt;=2,"?ACTIVATED",IF(J187&lt;&gt;"","?FAMILIAR",IF(F187="NEW",IF(ISNA(VLOOKUP(E187,#REF!,1,FALSE())),"?TYPE_IDENTIFIABLE","?REFERENTIAL"),"_")))))</f>
        <v/>
      </c>
      <c r="H187" s="12" t="str">
        <f aca="false">IF(J187&lt;&gt;1,"",IF(I187="SBJ","CB","?"))</f>
        <v/>
      </c>
      <c r="I187" s="13" t="str">
        <f aca="false">IF(OR(E187="",E187="!!!",F187="NEW"),"",INDEX(B$2:B186,-1+SUMPRODUCT(MAX(ROW(E$2:E186)*(E187=E$2:E186)))))</f>
        <v/>
      </c>
      <c r="J187" s="14" t="str">
        <f aca="true">IF(OR(E187="",E187="!!!",F187="NEW"),"",COUNTBLANK(OFFSET(A$1,,,SUMPRODUCT(MAX(ROW(E$2:E187)*(E187=E$2:E187)))))-COUNTBLANK(OFFSET(A$1,,,SUMPRODUCT(MAX(ROW(E$1:E186)*(E187=E$1:E186))))))</f>
        <v/>
      </c>
      <c r="K187" s="14" t="str">
        <f aca="false">IF(OR(E187="",E187="!!!",F187="NEW"),"",INDEX(J$1:J186,SUMPRODUCT(MAX(ROW(E$1:E186)*(E187=E$1:E186)))))</f>
        <v/>
      </c>
      <c r="L187" s="15"/>
    </row>
    <row r="188" customFormat="false" ht="12.75" hidden="false" customHeight="false" outlineLevel="0" collapsed="false">
      <c r="A188" s="0" t="s">
        <v>66</v>
      </c>
      <c r="E188" s="9" t="str">
        <f aca="false">IF(D188="?OLD","!!!","")</f>
        <v/>
      </c>
      <c r="F188" s="10" t="str">
        <f aca="false">IF(OR(E188="",E188="!!!"),"",IF(NOT(ISNA(VLOOKUP(E188,E$1:E187,1,FALSE()))),"OLD",IF(AND(E188&lt;&gt;"",E188&lt;&gt;"!!!"),"NEW","")))</f>
        <v/>
      </c>
      <c r="G188" s="11" t="str">
        <f aca="false">IF(OR(E188="",E188="!!!"),"",IF(OR(J188=0,AND(J188=1,K188=1),AND(J188=1,I188="SBJ"),AND(J188=1,I188=0)),"?IN_FOCUS",IF(J188&lt;=2,"?ACTIVATED",IF(J188&lt;&gt;"","?FAMILIAR",IF(F188="NEW",IF(ISNA(VLOOKUP(E188,#REF!,1,FALSE())),"?TYPE_IDENTIFIABLE","?REFERENTIAL"),"_")))))</f>
        <v/>
      </c>
      <c r="H188" s="12" t="str">
        <f aca="false">IF(J188&lt;&gt;1,"",IF(I188="SBJ","CB","?"))</f>
        <v/>
      </c>
      <c r="I188" s="13" t="str">
        <f aca="false">IF(OR(E188="",E188="!!!",F188="NEW"),"",INDEX(B$2:B187,-1+SUMPRODUCT(MAX(ROW(E$2:E187)*(E188=E$2:E187)))))</f>
        <v/>
      </c>
      <c r="J188" s="14" t="str">
        <f aca="true">IF(OR(E188="",E188="!!!",F188="NEW"),"",COUNTBLANK(OFFSET(A$1,,,SUMPRODUCT(MAX(ROW(E$2:E188)*(E188=E$2:E188)))))-COUNTBLANK(OFFSET(A$1,,,SUMPRODUCT(MAX(ROW(E$1:E187)*(E188=E$1:E187))))))</f>
        <v/>
      </c>
      <c r="K188" s="14" t="str">
        <f aca="false">IF(OR(E188="",E188="!!!",F188="NEW"),"",INDEX(J$1:J187,SUMPRODUCT(MAX(ROW(E$1:E187)*(E188=E$1:E187)))))</f>
        <v/>
      </c>
      <c r="L188" s="15"/>
    </row>
    <row r="189" customFormat="false" ht="12.75" hidden="false" customHeight="false" outlineLevel="0" collapsed="false">
      <c r="A189" s="0" t="s">
        <v>180</v>
      </c>
      <c r="E189" s="9" t="str">
        <f aca="false">IF(D189="?OLD","!!!","")</f>
        <v/>
      </c>
      <c r="F189" s="10" t="str">
        <f aca="false">IF(OR(E189="",E189="!!!"),"",IF(NOT(ISNA(VLOOKUP(E189,E$1:E188,1,FALSE()))),"OLD",IF(AND(E189&lt;&gt;"",E189&lt;&gt;"!!!"),"NEW","")))</f>
        <v/>
      </c>
      <c r="G189" s="11" t="str">
        <f aca="false">IF(OR(E189="",E189="!!!"),"",IF(OR(J189=0,AND(J189=1,K189=1),AND(J189=1,I189="SBJ"),AND(J189=1,I189=0)),"?IN_FOCUS",IF(J189&lt;=2,"?ACTIVATED",IF(J189&lt;&gt;"","?FAMILIAR",IF(F189="NEW",IF(ISNA(VLOOKUP(E189,#REF!,1,FALSE())),"?TYPE_IDENTIFIABLE","?REFERENTIAL"),"_")))))</f>
        <v/>
      </c>
      <c r="H189" s="12" t="str">
        <f aca="false">IF(J189&lt;&gt;1,"",IF(I189="SBJ","CB","?"))</f>
        <v/>
      </c>
      <c r="I189" s="13" t="str">
        <f aca="false">IF(OR(E189="",E189="!!!",F189="NEW"),"",INDEX(B$2:B188,-1+SUMPRODUCT(MAX(ROW(E$2:E188)*(E189=E$2:E188)))))</f>
        <v/>
      </c>
      <c r="J189" s="14" t="str">
        <f aca="true">IF(OR(E189="",E189="!!!",F189="NEW"),"",COUNTBLANK(OFFSET(A$1,,,SUMPRODUCT(MAX(ROW(E$2:E189)*(E189=E$2:E189)))))-COUNTBLANK(OFFSET(A$1,,,SUMPRODUCT(MAX(ROW(E$1:E188)*(E189=E$1:E188))))))</f>
        <v/>
      </c>
      <c r="K189" s="14" t="str">
        <f aca="false">IF(OR(E189="",E189="!!!",F189="NEW"),"",INDEX(J$1:J188,SUMPRODUCT(MAX(ROW(E$1:E188)*(E189=E$1:E188)))))</f>
        <v/>
      </c>
      <c r="L189" s="15"/>
    </row>
    <row r="190" customFormat="false" ht="12.75" hidden="false" customHeight="false" outlineLevel="0" collapsed="false">
      <c r="A190" s="0" t="s">
        <v>31</v>
      </c>
      <c r="E190" s="9" t="str">
        <f aca="false">IF(D190="?OLD","!!!","")</f>
        <v/>
      </c>
      <c r="F190" s="10" t="str">
        <f aca="false">IF(OR(E190="",E190="!!!"),"",IF(NOT(ISNA(VLOOKUP(E190,E$1:E189,1,FALSE()))),"OLD",IF(AND(E190&lt;&gt;"",E190&lt;&gt;"!!!"),"NEW","")))</f>
        <v/>
      </c>
      <c r="G190" s="11" t="str">
        <f aca="false">IF(OR(E190="",E190="!!!"),"",IF(OR(J190=0,AND(J190=1,K190=1),AND(J190=1,I190="SBJ"),AND(J190=1,I190=0)),"?IN_FOCUS",IF(J190&lt;=2,"?ACTIVATED",IF(J190&lt;&gt;"","?FAMILIAR",IF(F190="NEW",IF(ISNA(VLOOKUP(E190,#REF!,1,FALSE())),"?TYPE_IDENTIFIABLE","?REFERENTIAL"),"_")))))</f>
        <v/>
      </c>
      <c r="H190" s="12" t="str">
        <f aca="false">IF(J190&lt;&gt;1,"",IF(I190="SBJ","CB","?"))</f>
        <v/>
      </c>
      <c r="I190" s="13" t="str">
        <f aca="false">IF(OR(E190="",E190="!!!",F190="NEW"),"",INDEX(B$2:B189,-1+SUMPRODUCT(MAX(ROW(E$2:E189)*(E190=E$2:E189)))))</f>
        <v/>
      </c>
      <c r="J190" s="14" t="str">
        <f aca="true">IF(OR(E190="",E190="!!!",F190="NEW"),"",COUNTBLANK(OFFSET(A$1,,,SUMPRODUCT(MAX(ROW(E$2:E190)*(E190=E$2:E190)))))-COUNTBLANK(OFFSET(A$1,,,SUMPRODUCT(MAX(ROW(E$1:E189)*(E190=E$1:E189))))))</f>
        <v/>
      </c>
      <c r="K190" s="14" t="str">
        <f aca="false">IF(OR(E190="",E190="!!!",F190="NEW"),"",INDEX(J$1:J189,SUMPRODUCT(MAX(ROW(E$1:E189)*(E190=E$1:E189)))))</f>
        <v/>
      </c>
      <c r="L190" s="15"/>
    </row>
    <row r="191" customFormat="false" ht="12.75" hidden="false" customHeight="false" outlineLevel="0" collapsed="false">
      <c r="A191" s="0" t="s">
        <v>181</v>
      </c>
      <c r="E191" s="9" t="str">
        <f aca="false">IF(D191="?OLD","!!!","")</f>
        <v/>
      </c>
      <c r="F191" s="10" t="str">
        <f aca="false">IF(OR(E191="",E191="!!!"),"",IF(NOT(ISNA(VLOOKUP(E191,E$1:E190,1,FALSE()))),"OLD",IF(AND(E191&lt;&gt;"",E191&lt;&gt;"!!!"),"NEW","")))</f>
        <v/>
      </c>
      <c r="G191" s="11" t="str">
        <f aca="false">IF(OR(E191="",E191="!!!"),"",IF(OR(J191=0,AND(J191=1,K191=1),AND(J191=1,I191="SBJ"),AND(J191=1,I191=0)),"?IN_FOCUS",IF(J191&lt;=2,"?ACTIVATED",IF(J191&lt;&gt;"","?FAMILIAR",IF(F191="NEW",IF(ISNA(VLOOKUP(E191,#REF!,1,FALSE())),"?TYPE_IDENTIFIABLE","?REFERENTIAL"),"_")))))</f>
        <v/>
      </c>
      <c r="H191" s="12" t="str">
        <f aca="false">IF(J191&lt;&gt;1,"",IF(I191="SBJ","CB","?"))</f>
        <v/>
      </c>
      <c r="I191" s="13" t="str">
        <f aca="false">IF(OR(E191="",E191="!!!",F191="NEW"),"",INDEX(B$2:B190,-1+SUMPRODUCT(MAX(ROW(E$2:E190)*(E191=E$2:E190)))))</f>
        <v/>
      </c>
      <c r="J191" s="14" t="str">
        <f aca="true">IF(OR(E191="",E191="!!!",F191="NEW"),"",COUNTBLANK(OFFSET(A$1,,,SUMPRODUCT(MAX(ROW(E$2:E191)*(E191=E$2:E191)))))-COUNTBLANK(OFFSET(A$1,,,SUMPRODUCT(MAX(ROW(E$1:E190)*(E191=E$1:E190))))))</f>
        <v/>
      </c>
      <c r="K191" s="14" t="str">
        <f aca="false">IF(OR(E191="",E191="!!!",F191="NEW"),"",INDEX(J$1:J190,SUMPRODUCT(MAX(ROW(E$1:E190)*(E191=E$1:E190)))))</f>
        <v/>
      </c>
      <c r="L191" s="15"/>
    </row>
    <row r="192" customFormat="false" ht="12.75" hidden="false" customHeight="false" outlineLevel="0" collapsed="false">
      <c r="A192" s="0" t="s">
        <v>182</v>
      </c>
      <c r="B192" s="0" t="s">
        <v>64</v>
      </c>
      <c r="C192" s="0" t="s">
        <v>111</v>
      </c>
      <c r="D192" s="0" t="s">
        <v>29</v>
      </c>
      <c r="E192" s="9" t="s">
        <v>68</v>
      </c>
      <c r="F192" s="10" t="s">
        <v>69</v>
      </c>
      <c r="G192" s="11"/>
      <c r="H192" s="12" t="str">
        <f aca="false">IF(J192&lt;&gt;1,"",IF(I192="SBJ","CB","?"))</f>
        <v/>
      </c>
      <c r="I192" s="13" t="str">
        <f aca="false">IF(OR(E192="",E192="!!!",F192="NEW"),"",INDEX(B$2:B191,-1+SUMPRODUCT(MAX(ROW(E$2:E191)*(E192=E$2:E191)))))</f>
        <v>other_3</v>
      </c>
      <c r="J192" s="14" t="n">
        <f aca="true">IF(OR(E192="",E192="!!!",F192="NEW"),"",COUNTBLANK(OFFSET(A$1,,,SUMPRODUCT(MAX(ROW(E$2:E192)*(E192=E$2:E192)))))-COUNTBLANK(OFFSET(A$1,,,SUMPRODUCT(MAX(ROW(E$1:E191)*(E192=E$1:E191))))))</f>
        <v>0</v>
      </c>
      <c r="K192" s="14" t="n">
        <f aca="false">IF(OR(E192="",E192="!!!",F192="NEW"),"",INDEX(J$1:J191,SUMPRODUCT(MAX(ROW(E$1:E191)*(E192=E$1:E191)))))</f>
        <v>0</v>
      </c>
      <c r="L192" s="15"/>
    </row>
    <row r="193" customFormat="false" ht="12.75" hidden="false" customHeight="false" outlineLevel="0" collapsed="false">
      <c r="A193" s="0" t="s">
        <v>183</v>
      </c>
      <c r="E193" s="9" t="str">
        <f aca="false">IF(D193="?OLD","!!!","")</f>
        <v/>
      </c>
      <c r="F193" s="10" t="str">
        <f aca="false">IF(OR(E193="",E193="!!!"),"",IF(NOT(ISNA(VLOOKUP(E193,E$1:E192,1,FALSE()))),"OLD",IF(AND(E193&lt;&gt;"",E193&lt;&gt;"!!!"),"NEW","")))</f>
        <v/>
      </c>
      <c r="G193" s="11" t="str">
        <f aca="false">IF(OR(E193="",E193="!!!"),"",IF(OR(J193=0,AND(J193=1,K193=1),AND(J193=1,I193="SBJ"),AND(J193=1,I193=0)),"?IN_FOCUS",IF(J193&lt;=2,"?ACTIVATED",IF(J193&lt;&gt;"","?FAMILIAR",IF(F193="NEW",IF(ISNA(VLOOKUP(E193,#REF!,1,FALSE())),"?TYPE_IDENTIFIABLE","?REFERENTIAL"),"_")))))</f>
        <v/>
      </c>
      <c r="H193" s="12" t="str">
        <f aca="false">IF(J193&lt;&gt;1,"",IF(I193="SBJ","CB","?"))</f>
        <v/>
      </c>
      <c r="I193" s="13" t="str">
        <f aca="false">IF(OR(E193="",E193="!!!",F193="NEW"),"",INDEX(B$2:B192,-1+SUMPRODUCT(MAX(ROW(E$2:E192)*(E193=E$2:E192)))))</f>
        <v/>
      </c>
      <c r="J193" s="14" t="str">
        <f aca="true">IF(OR(E193="",E193="!!!",F193="NEW"),"",COUNTBLANK(OFFSET(A$1,,,SUMPRODUCT(MAX(ROW(E$2:E193)*(E193=E$2:E193)))))-COUNTBLANK(OFFSET(A$1,,,SUMPRODUCT(MAX(ROW(E$1:E192)*(E193=E$1:E192))))))</f>
        <v/>
      </c>
      <c r="K193" s="14" t="str">
        <f aca="false">IF(OR(E193="",E193="!!!",F193="NEW"),"",INDEX(J$1:J192,SUMPRODUCT(MAX(ROW(E$1:E192)*(E193=E$1:E192)))))</f>
        <v/>
      </c>
      <c r="L193" s="15"/>
    </row>
    <row r="194" customFormat="false" ht="12.75" hidden="false" customHeight="false" outlineLevel="0" collapsed="false">
      <c r="A194" s="0" t="s">
        <v>184</v>
      </c>
      <c r="E194" s="9" t="str">
        <f aca="false">IF(D194="?OLD","!!!","")</f>
        <v/>
      </c>
      <c r="F194" s="10" t="str">
        <f aca="false">IF(OR(E194="",E194="!!!"),"",IF(NOT(ISNA(VLOOKUP(E194,E$1:E193,1,FALSE()))),"OLD",IF(AND(E194&lt;&gt;"",E194&lt;&gt;"!!!"),"NEW","")))</f>
        <v/>
      </c>
      <c r="G194" s="11" t="str">
        <f aca="false">IF(OR(E194="",E194="!!!"),"",IF(OR(J194=0,AND(J194=1,K194=1),AND(J194=1,I194="SBJ"),AND(J194=1,I194=0)),"?IN_FOCUS",IF(J194&lt;=2,"?ACTIVATED",IF(J194&lt;&gt;"","?FAMILIAR",IF(F194="NEW",IF(ISNA(VLOOKUP(E194,#REF!,1,FALSE())),"?TYPE_IDENTIFIABLE","?REFERENTIAL"),"_")))))</f>
        <v/>
      </c>
      <c r="H194" s="12" t="str">
        <f aca="false">IF(J194&lt;&gt;1,"",IF(I194="SBJ","CB","?"))</f>
        <v/>
      </c>
      <c r="I194" s="13" t="str">
        <f aca="false">IF(OR(E194="",E194="!!!",F194="NEW"),"",INDEX(B$2:B193,-1+SUMPRODUCT(MAX(ROW(E$2:E193)*(E194=E$2:E193)))))</f>
        <v/>
      </c>
      <c r="J194" s="14" t="str">
        <f aca="true">IF(OR(E194="",E194="!!!",F194="NEW"),"",COUNTBLANK(OFFSET(A$1,,,SUMPRODUCT(MAX(ROW(E$2:E194)*(E194=E$2:E194)))))-COUNTBLANK(OFFSET(A$1,,,SUMPRODUCT(MAX(ROW(E$1:E193)*(E194=E$1:E193))))))</f>
        <v/>
      </c>
      <c r="K194" s="14" t="str">
        <f aca="false">IF(OR(E194="",E194="!!!",F194="NEW"),"",INDEX(J$1:J193,SUMPRODUCT(MAX(ROW(E$1:E193)*(E194=E$1:E193)))))</f>
        <v/>
      </c>
      <c r="L194" s="15"/>
    </row>
    <row r="195" customFormat="false" ht="12.75" hidden="false" customHeight="false" outlineLevel="0" collapsed="false">
      <c r="A195" s="0" t="s">
        <v>185</v>
      </c>
      <c r="B195" s="0" t="s">
        <v>54</v>
      </c>
      <c r="C195" s="0" t="s">
        <v>186</v>
      </c>
      <c r="E195" s="9" t="str">
        <f aca="false">IF(D195="?OLD","!!!","")</f>
        <v/>
      </c>
      <c r="F195" s="10" t="str">
        <f aca="false">IF(OR(E195="",E195="!!!"),"",IF(NOT(ISNA(VLOOKUP(E195,E$1:E194,1,FALSE()))),"OLD",IF(AND(E195&lt;&gt;"",E195&lt;&gt;"!!!"),"NEW","")))</f>
        <v/>
      </c>
      <c r="G195" s="11" t="str">
        <f aca="false">IF(OR(E195="",E195="!!!"),"",IF(OR(J195=0,AND(J195=1,K195=1),AND(J195=1,I195="SBJ"),AND(J195=1,I195=0)),"?IN_FOCUS",IF(J195&lt;=2,"?ACTIVATED",IF(J195&lt;&gt;"","?FAMILIAR",IF(F195="NEW",IF(ISNA(VLOOKUP(E195,#REF!,1,FALSE())),"?TYPE_IDENTIFIABLE","?REFERENTIAL"),"_")))))</f>
        <v/>
      </c>
      <c r="H195" s="12" t="str">
        <f aca="false">IF(J195&lt;&gt;1,"",IF(I195="SBJ","CB","?"))</f>
        <v/>
      </c>
      <c r="I195" s="13" t="str">
        <f aca="false">IF(OR(E195="",E195="!!!",F195="NEW"),"",INDEX(B$2:B194,-1+SUMPRODUCT(MAX(ROW(E$2:E194)*(E195=E$2:E194)))))</f>
        <v/>
      </c>
      <c r="J195" s="14" t="str">
        <f aca="true">IF(OR(E195="",E195="!!!",F195="NEW"),"",COUNTBLANK(OFFSET(A$1,,,SUMPRODUCT(MAX(ROW(E$2:E195)*(E195=E$2:E195)))))-COUNTBLANK(OFFSET(A$1,,,SUMPRODUCT(MAX(ROW(E$1:E194)*(E195=E$1:E194))))))</f>
        <v/>
      </c>
      <c r="K195" s="14" t="str">
        <f aca="false">IF(OR(E195="",E195="!!!",F195="NEW"),"",INDEX(J$1:J194,SUMPRODUCT(MAX(ROW(E$1:E194)*(E195=E$1:E194)))))</f>
        <v/>
      </c>
      <c r="L195" s="15"/>
    </row>
    <row r="196" customFormat="false" ht="12.75" hidden="false" customHeight="false" outlineLevel="0" collapsed="false">
      <c r="A196" s="0" t="s">
        <v>19</v>
      </c>
      <c r="E196" s="9" t="str">
        <f aca="false">IF(D196="?OLD","!!!","")</f>
        <v/>
      </c>
      <c r="F196" s="10" t="str">
        <f aca="false">IF(OR(E196="",E196="!!!"),"",IF(NOT(ISNA(VLOOKUP(E196,E$1:E195,1,FALSE()))),"OLD",IF(AND(E196&lt;&gt;"",E196&lt;&gt;"!!!"),"NEW","")))</f>
        <v/>
      </c>
      <c r="G196" s="11" t="str">
        <f aca="false">IF(OR(E196="",E196="!!!"),"",IF(OR(J196=0,AND(J196=1,K196=1),AND(J196=1,I196="SBJ"),AND(J196=1,I196=0)),"?IN_FOCUS",IF(J196&lt;=2,"?ACTIVATED",IF(J196&lt;&gt;"","?FAMILIAR",IF(F196="NEW",IF(ISNA(VLOOKUP(E196,#REF!,1,FALSE())),"?TYPE_IDENTIFIABLE","?REFERENTIAL"),"_")))))</f>
        <v/>
      </c>
      <c r="H196" s="12" t="str">
        <f aca="false">IF(J196&lt;&gt;1,"",IF(I196="SBJ","CB","?"))</f>
        <v/>
      </c>
      <c r="I196" s="13" t="str">
        <f aca="false">IF(OR(E196="",E196="!!!",F196="NEW"),"",INDEX(B$2:B195,-1+SUMPRODUCT(MAX(ROW(E$2:E195)*(E196=E$2:E195)))))</f>
        <v/>
      </c>
      <c r="J196" s="14" t="str">
        <f aca="true">IF(OR(E196="",E196="!!!",F196="NEW"),"",COUNTBLANK(OFFSET(A$1,,,SUMPRODUCT(MAX(ROW(E$2:E196)*(E196=E$2:E196)))))-COUNTBLANK(OFFSET(A$1,,,SUMPRODUCT(MAX(ROW(E$1:E195)*(E196=E$1:E195))))))</f>
        <v/>
      </c>
      <c r="K196" s="14" t="str">
        <f aca="false">IF(OR(E196="",E196="!!!",F196="NEW"),"",INDEX(J$1:J195,SUMPRODUCT(MAX(ROW(E$1:E195)*(E196=E$1:E195)))))</f>
        <v/>
      </c>
      <c r="L196" s="15"/>
    </row>
    <row r="197" customFormat="false" ht="12.75" hidden="false" customHeight="false" outlineLevel="0" collapsed="false">
      <c r="A197" s="0" t="s">
        <v>66</v>
      </c>
      <c r="E197" s="9" t="str">
        <f aca="false">IF(D197="?OLD","!!!","")</f>
        <v/>
      </c>
      <c r="F197" s="10" t="str">
        <f aca="false">IF(OR(E197="",E197="!!!"),"",IF(NOT(ISNA(VLOOKUP(E197,E$1:E196,1,FALSE()))),"OLD",IF(AND(E197&lt;&gt;"",E197&lt;&gt;"!!!"),"NEW","")))</f>
        <v/>
      </c>
      <c r="G197" s="11" t="str">
        <f aca="false">IF(OR(E197="",E197="!!!"),"",IF(OR(J197=0,AND(J197=1,K197=1),AND(J197=1,I197="SBJ"),AND(J197=1,I197=0)),"?IN_FOCUS",IF(J197&lt;=2,"?ACTIVATED",IF(J197&lt;&gt;"","?FAMILIAR",IF(F197="NEW",IF(ISNA(VLOOKUP(E197,#REF!,1,FALSE())),"?TYPE_IDENTIFIABLE","?REFERENTIAL"),"_")))))</f>
        <v/>
      </c>
      <c r="H197" s="12" t="str">
        <f aca="false">IF(J197&lt;&gt;1,"",IF(I197="SBJ","CB","?"))</f>
        <v/>
      </c>
      <c r="I197" s="13" t="str">
        <f aca="false">IF(OR(E197="",E197="!!!",F197="NEW"),"",INDEX(B$2:B196,-1+SUMPRODUCT(MAX(ROW(E$2:E196)*(E197=E$2:E196)))))</f>
        <v/>
      </c>
      <c r="J197" s="14" t="str">
        <f aca="true">IF(OR(E197="",E197="!!!",F197="NEW"),"",COUNTBLANK(OFFSET(A$1,,,SUMPRODUCT(MAX(ROW(E$2:E197)*(E197=E$2:E197)))))-COUNTBLANK(OFFSET(A$1,,,SUMPRODUCT(MAX(ROW(E$1:E196)*(E197=E$1:E196))))))</f>
        <v/>
      </c>
      <c r="K197" s="14" t="str">
        <f aca="false">IF(OR(E197="",E197="!!!",F197="NEW"),"",INDEX(J$1:J196,SUMPRODUCT(MAX(ROW(E$1:E196)*(E197=E$1:E196)))))</f>
        <v/>
      </c>
      <c r="L197" s="15"/>
    </row>
    <row r="198" customFormat="false" ht="12.75" hidden="false" customHeight="false" outlineLevel="0" collapsed="false">
      <c r="A198" s="0" t="s">
        <v>187</v>
      </c>
      <c r="E198" s="9" t="str">
        <f aca="false">IF(D198="?OLD","!!!","")</f>
        <v/>
      </c>
      <c r="F198" s="10" t="str">
        <f aca="false">IF(OR(E198="",E198="!!!"),"",IF(NOT(ISNA(VLOOKUP(E198,E$1:E197,1,FALSE()))),"OLD",IF(AND(E198&lt;&gt;"",E198&lt;&gt;"!!!"),"NEW","")))</f>
        <v/>
      </c>
      <c r="G198" s="11" t="str">
        <f aca="false">IF(OR(E198="",E198="!!!"),"",IF(OR(J198=0,AND(J198=1,K198=1),AND(J198=1,I198="SBJ"),AND(J198=1,I198=0)),"?IN_FOCUS",IF(J198&lt;=2,"?ACTIVATED",IF(J198&lt;&gt;"","?FAMILIAR",IF(F198="NEW",IF(ISNA(VLOOKUP(E198,#REF!,1,FALSE())),"?TYPE_IDENTIFIABLE","?REFERENTIAL"),"_")))))</f>
        <v/>
      </c>
      <c r="H198" s="12" t="str">
        <f aca="false">IF(J198&lt;&gt;1,"",IF(I198="SBJ","CB","?"))</f>
        <v/>
      </c>
      <c r="I198" s="13" t="str">
        <f aca="false">IF(OR(E198="",E198="!!!",F198="NEW"),"",INDEX(B$2:B197,-1+SUMPRODUCT(MAX(ROW(E$2:E197)*(E198=E$2:E197)))))</f>
        <v/>
      </c>
      <c r="J198" s="14" t="str">
        <f aca="true">IF(OR(E198="",E198="!!!",F198="NEW"),"",COUNTBLANK(OFFSET(A$1,,,SUMPRODUCT(MAX(ROW(E$2:E198)*(E198=E$2:E198)))))-COUNTBLANK(OFFSET(A$1,,,SUMPRODUCT(MAX(ROW(E$1:E197)*(E198=E$1:E197))))))</f>
        <v/>
      </c>
      <c r="K198" s="14" t="str">
        <f aca="false">IF(OR(E198="",E198="!!!",F198="NEW"),"",INDEX(J$1:J197,SUMPRODUCT(MAX(ROW(E$1:E197)*(E198=E$1:E197)))))</f>
        <v/>
      </c>
      <c r="L198" s="15"/>
    </row>
    <row r="199" customFormat="false" ht="12.75" hidden="false" customHeight="false" outlineLevel="0" collapsed="false">
      <c r="A199" s="0" t="s">
        <v>188</v>
      </c>
      <c r="B199" s="0" t="s">
        <v>71</v>
      </c>
      <c r="C199" s="0" t="s">
        <v>111</v>
      </c>
      <c r="D199" s="0" t="s">
        <v>29</v>
      </c>
      <c r="E199" s="9" t="s">
        <v>68</v>
      </c>
      <c r="F199" s="10" t="s">
        <v>69</v>
      </c>
      <c r="G199" s="11"/>
      <c r="H199" s="12" t="str">
        <f aca="false">IF(J199&lt;&gt;1,"",IF(I199="SBJ","CB","?"))</f>
        <v/>
      </c>
      <c r="I199" s="13" t="str">
        <f aca="false">IF(OR(E199="",E199="!!!",F199="NEW"),"",INDEX(B$2:B198,-1+SUMPRODUCT(MAX(ROW(E$2:E198)*(E199=E$2:E198)))))</f>
        <v>other_4</v>
      </c>
      <c r="J199" s="14" t="n">
        <f aca="true">IF(OR(E199="",E199="!!!",F199="NEW"),"",COUNTBLANK(OFFSET(A$1,,,SUMPRODUCT(MAX(ROW(E$2:E199)*(E199=E$2:E199)))))-COUNTBLANK(OFFSET(A$1,,,SUMPRODUCT(MAX(ROW(E$1:E198)*(E199=E$1:E198))))))</f>
        <v>0</v>
      </c>
      <c r="K199" s="14" t="n">
        <f aca="false">IF(OR(E199="",E199="!!!",F199="NEW"),"",INDEX(J$1:J198,SUMPRODUCT(MAX(ROW(E$1:E198)*(E199=E$1:E198)))))</f>
        <v>0</v>
      </c>
      <c r="L199" s="15"/>
    </row>
    <row r="200" customFormat="false" ht="12.75" hidden="false" customHeight="false" outlineLevel="0" collapsed="false">
      <c r="A200" s="0" t="s">
        <v>189</v>
      </c>
      <c r="E200" s="9" t="str">
        <f aca="false">IF(D200="?OLD","!!!","")</f>
        <v/>
      </c>
      <c r="F200" s="10" t="str">
        <f aca="false">IF(OR(E200="",E200="!!!"),"",IF(NOT(ISNA(VLOOKUP(E200,E$1:E199,1,FALSE()))),"OLD",IF(AND(E200&lt;&gt;"",E200&lt;&gt;"!!!"),"NEW","")))</f>
        <v/>
      </c>
      <c r="G200" s="11" t="str">
        <f aca="false">IF(OR(E200="",E200="!!!"),"",IF(OR(J200=0,AND(J200=1,K200=1),AND(J200=1,I200="SBJ"),AND(J200=1,I200=0)),"?IN_FOCUS",IF(J200&lt;=2,"?ACTIVATED",IF(J200&lt;&gt;"","?FAMILIAR",IF(F200="NEW",IF(ISNA(VLOOKUP(E200,#REF!,1,FALSE())),"?TYPE_IDENTIFIABLE","?REFERENTIAL"),"_")))))</f>
        <v/>
      </c>
      <c r="H200" s="12" t="str">
        <f aca="false">IF(J200&lt;&gt;1,"",IF(I200="SBJ","CB","?"))</f>
        <v/>
      </c>
      <c r="I200" s="13" t="str">
        <f aca="false">IF(OR(E200="",E200="!!!",F200="NEW"),"",INDEX(B$2:B199,-1+SUMPRODUCT(MAX(ROW(E$2:E199)*(E200=E$2:E199)))))</f>
        <v/>
      </c>
      <c r="J200" s="14" t="str">
        <f aca="true">IF(OR(E200="",E200="!!!",F200="NEW"),"",COUNTBLANK(OFFSET(A$1,,,SUMPRODUCT(MAX(ROW(E$2:E200)*(E200=E$2:E200)))))-COUNTBLANK(OFFSET(A$1,,,SUMPRODUCT(MAX(ROW(E$1:E199)*(E200=E$1:E199))))))</f>
        <v/>
      </c>
      <c r="K200" s="14" t="str">
        <f aca="false">IF(OR(E200="",E200="!!!",F200="NEW"),"",INDEX(J$1:J199,SUMPRODUCT(MAX(ROW(E$1:E199)*(E200=E$1:E199)))))</f>
        <v/>
      </c>
      <c r="L200" s="15"/>
    </row>
    <row r="201" customFormat="false" ht="12.75" hidden="false" customHeight="false" outlineLevel="0" collapsed="false">
      <c r="A201" s="0" t="s">
        <v>190</v>
      </c>
      <c r="B201" s="0" t="s">
        <v>103</v>
      </c>
      <c r="C201" s="0" t="s">
        <v>38</v>
      </c>
      <c r="D201" s="0" t="s">
        <v>29</v>
      </c>
      <c r="E201" s="9" t="s">
        <v>123</v>
      </c>
      <c r="F201" s="10" t="str">
        <f aca="false">IF(OR(E201="",E201="!!!"),"",IF(NOT(ISNA(VLOOKUP(E201,E$1:E200,1,FALSE()))),"OLD",IF(AND(E201&lt;&gt;"",E201&lt;&gt;"!!!"),"NEW","")))</f>
        <v>OLD</v>
      </c>
      <c r="G201" s="11" t="s">
        <v>39</v>
      </c>
      <c r="H201" s="12" t="str">
        <f aca="false">IF(J201&lt;&gt;1,"",IF(I201="SBJ","CB","?"))</f>
        <v/>
      </c>
      <c r="I201" s="13" t="str">
        <f aca="false">IF(OR(E201="",E201="!!!",F201="NEW"),"",INDEX(B$2:B200,-1+SUMPRODUCT(MAX(ROW(E$2:E200)*(E201=E$2:E200)))))</f>
        <v>other_2</v>
      </c>
      <c r="J201" s="14" t="n">
        <f aca="true">IF(OR(E201="",E201="!!!",F201="NEW"),"",COUNTBLANK(OFFSET(A$1,,,SUMPRODUCT(MAX(ROW(E$2:E201)*(E201=E$2:E201)))))-COUNTBLANK(OFFSET(A$1,,,SUMPRODUCT(MAX(ROW(E$1:E200)*(E201=E$1:E200))))))</f>
        <v>0</v>
      </c>
      <c r="K201" s="14" t="n">
        <f aca="false">IF(OR(E201="",E201="!!!",F201="NEW"),"",INDEX(J$1:J200,SUMPRODUCT(MAX(ROW(E$1:E200)*(E201=E$1:E200)))))</f>
        <v>1</v>
      </c>
      <c r="L201" s="15"/>
    </row>
    <row r="202" customFormat="false" ht="12.75" hidden="false" customHeight="false" outlineLevel="0" collapsed="false">
      <c r="A202" s="0" t="s">
        <v>45</v>
      </c>
      <c r="E202" s="9" t="str">
        <f aca="false">IF(D202="?OLD","!!!","")</f>
        <v/>
      </c>
      <c r="F202" s="10" t="str">
        <f aca="false">IF(OR(E202="",E202="!!!"),"",IF(NOT(ISNA(VLOOKUP(E202,E$1:E201,1,FALSE()))),"OLD",IF(AND(E202&lt;&gt;"",E202&lt;&gt;"!!!"),"NEW","")))</f>
        <v/>
      </c>
      <c r="G202" s="11" t="str">
        <f aca="false">IF(OR(E202="",E202="!!!"),"",IF(OR(J202=0,AND(J202=1,K202=1),AND(J202=1,I202="SBJ"),AND(J202=1,I202=0)),"?IN_FOCUS",IF(J202&lt;=2,"?ACTIVATED",IF(J202&lt;&gt;"","?FAMILIAR",IF(F202="NEW",IF(ISNA(VLOOKUP(E202,#REF!,1,FALSE())),"?TYPE_IDENTIFIABLE","?REFERENTIAL"),"_")))))</f>
        <v/>
      </c>
      <c r="H202" s="12" t="str">
        <f aca="false">IF(J202&lt;&gt;1,"",IF(I202="SBJ","CB","?"))</f>
        <v/>
      </c>
      <c r="I202" s="13" t="str">
        <f aca="false">IF(OR(E202="",E202="!!!",F202="NEW"),"",INDEX(B$2:B201,-1+SUMPRODUCT(MAX(ROW(E$2:E201)*(E202=E$2:E201)))))</f>
        <v/>
      </c>
      <c r="J202" s="14" t="str">
        <f aca="true">IF(OR(E202="",E202="!!!",F202="NEW"),"",COUNTBLANK(OFFSET(A$1,,,SUMPRODUCT(MAX(ROW(E$2:E202)*(E202=E$2:E202)))))-COUNTBLANK(OFFSET(A$1,,,SUMPRODUCT(MAX(ROW(E$1:E201)*(E202=E$1:E201))))))</f>
        <v/>
      </c>
      <c r="K202" s="14" t="str">
        <f aca="false">IF(OR(E202="",E202="!!!",F202="NEW"),"",INDEX(J$1:J201,SUMPRODUCT(MAX(ROW(E$1:E201)*(E202=E$1:E201)))))</f>
        <v/>
      </c>
      <c r="L202" s="15"/>
    </row>
    <row r="203" customFormat="false" ht="12.75" hidden="false" customHeight="false" outlineLevel="0" collapsed="false">
      <c r="A203" s="0" t="s">
        <v>147</v>
      </c>
      <c r="B203" s="0" t="s">
        <v>47</v>
      </c>
      <c r="C203" s="0" t="s">
        <v>38</v>
      </c>
      <c r="D203" s="0" t="s">
        <v>29</v>
      </c>
      <c r="E203" s="9" t="s">
        <v>143</v>
      </c>
      <c r="F203" s="10" t="str">
        <f aca="false">IF(OR(E203="",E203="!!!"),"",IF(NOT(ISNA(VLOOKUP(E203,E$1:E202,1,FALSE()))),"OLD",IF(AND(E203&lt;&gt;"",E203&lt;&gt;"!!!"),"NEW","")))</f>
        <v>OLD</v>
      </c>
      <c r="G203" s="11" t="s">
        <v>39</v>
      </c>
      <c r="H203" s="12" t="str">
        <f aca="false">IF(J203&lt;&gt;1,"",IF(I203="SBJ","CB","?"))</f>
        <v/>
      </c>
      <c r="I203" s="13" t="str">
        <f aca="false">IF(OR(E203="",E203="!!!",F203="NEW"),"",INDEX(B$2:B202,-1+SUMPRODUCT(MAX(ROW(E$2:E202)*(E203=E$2:E202)))))</f>
        <v>other_4</v>
      </c>
      <c r="J203" s="14" t="n">
        <f aca="true">IF(OR(E203="",E203="!!!",F203="NEW"),"",COUNTBLANK(OFFSET(A$1,,,SUMPRODUCT(MAX(ROW(E$2:E203)*(E203=E$2:E203)))))-COUNTBLANK(OFFSET(A$1,,,SUMPRODUCT(MAX(ROW(E$1:E202)*(E203=E$1:E202))))))</f>
        <v>0</v>
      </c>
      <c r="K203" s="14" t="n">
        <f aca="false">IF(OR(E203="",E203="!!!",F203="NEW"),"",INDEX(J$1:J202,SUMPRODUCT(MAX(ROW(E$1:E202)*(E203=E$1:E202)))))</f>
        <v>1</v>
      </c>
      <c r="L203" s="15"/>
    </row>
    <row r="204" customFormat="false" ht="12.75" hidden="false" customHeight="false" outlineLevel="0" collapsed="false">
      <c r="A204" s="0" t="s">
        <v>95</v>
      </c>
      <c r="E204" s="9" t="str">
        <f aca="false">IF(D204="?OLD","!!!","")</f>
        <v/>
      </c>
      <c r="F204" s="10" t="str">
        <f aca="false">IF(OR(E204="",E204="!!!"),"",IF(NOT(ISNA(VLOOKUP(E204,E$1:E203,1,FALSE()))),"OLD",IF(AND(E204&lt;&gt;"",E204&lt;&gt;"!!!"),"NEW","")))</f>
        <v/>
      </c>
      <c r="G204" s="11" t="str">
        <f aca="false">IF(OR(E204="",E204="!!!"),"",IF(OR(J204=0,AND(J204=1,K204=1),AND(J204=1,I204="SBJ"),AND(J204=1,I204=0)),"?IN_FOCUS",IF(J204&lt;=2,"?ACTIVATED",IF(J204&lt;&gt;"","?FAMILIAR",IF(F204="NEW",IF(ISNA(VLOOKUP(E204,#REF!,1,FALSE())),"?TYPE_IDENTIFIABLE","?REFERENTIAL"),"_")))))</f>
        <v/>
      </c>
      <c r="H204" s="12" t="str">
        <f aca="false">IF(J204&lt;&gt;1,"",IF(I204="SBJ","CB","?"))</f>
        <v/>
      </c>
      <c r="I204" s="13" t="str">
        <f aca="false">IF(OR(E204="",E204="!!!",F204="NEW"),"",INDEX(B$2:B203,-1+SUMPRODUCT(MAX(ROW(E$2:E203)*(E204=E$2:E203)))))</f>
        <v/>
      </c>
      <c r="J204" s="14" t="str">
        <f aca="true">IF(OR(E204="",E204="!!!",F204="NEW"),"",COUNTBLANK(OFFSET(A$1,,,SUMPRODUCT(MAX(ROW(E$2:E204)*(E204=E$2:E204)))))-COUNTBLANK(OFFSET(A$1,,,SUMPRODUCT(MAX(ROW(E$1:E203)*(E204=E$1:E203))))))</f>
        <v/>
      </c>
      <c r="K204" s="14" t="str">
        <f aca="false">IF(OR(E204="",E204="!!!",F204="NEW"),"",INDEX(J$1:J203,SUMPRODUCT(MAX(ROW(E$1:E203)*(E204=E$1:E203)))))</f>
        <v/>
      </c>
      <c r="L204" s="15"/>
    </row>
    <row r="205" customFormat="false" ht="12.75" hidden="false" customHeight="false" outlineLevel="0" collapsed="false">
      <c r="A205" s="0" t="s">
        <v>191</v>
      </c>
      <c r="E205" s="9" t="str">
        <f aca="false">IF(D205="?OLD","!!!","")</f>
        <v/>
      </c>
      <c r="F205" s="10" t="str">
        <f aca="false">IF(OR(E205="",E205="!!!"),"",IF(NOT(ISNA(VLOOKUP(E205,E$1:E204,1,FALSE()))),"OLD",IF(AND(E205&lt;&gt;"",E205&lt;&gt;"!!!"),"NEW","")))</f>
        <v/>
      </c>
      <c r="G205" s="11" t="str">
        <f aca="false">IF(OR(E205="",E205="!!!"),"",IF(OR(J205=0,AND(J205=1,K205=1),AND(J205=1,I205="SBJ"),AND(J205=1,I205=0)),"?IN_FOCUS",IF(J205&lt;=2,"?ACTIVATED",IF(J205&lt;&gt;"","?FAMILIAR",IF(F205="NEW",IF(ISNA(VLOOKUP(E205,#REF!,1,FALSE())),"?TYPE_IDENTIFIABLE","?REFERENTIAL"),"_")))))</f>
        <v/>
      </c>
      <c r="H205" s="12" t="str">
        <f aca="false">IF(J205&lt;&gt;1,"",IF(I205="SBJ","CB","?"))</f>
        <v/>
      </c>
      <c r="I205" s="13" t="str">
        <f aca="false">IF(OR(E205="",E205="!!!",F205="NEW"),"",INDEX(B$2:B204,-1+SUMPRODUCT(MAX(ROW(E$2:E204)*(E205=E$2:E204)))))</f>
        <v/>
      </c>
      <c r="J205" s="14" t="str">
        <f aca="true">IF(OR(E205="",E205="!!!",F205="NEW"),"",COUNTBLANK(OFFSET(A$1,,,SUMPRODUCT(MAX(ROW(E$2:E205)*(E205=E$2:E205)))))-COUNTBLANK(OFFSET(A$1,,,SUMPRODUCT(MAX(ROW(E$1:E204)*(E205=E$1:E204))))))</f>
        <v/>
      </c>
      <c r="K205" s="14" t="str">
        <f aca="false">IF(OR(E205="",E205="!!!",F205="NEW"),"",INDEX(J$1:J204,SUMPRODUCT(MAX(ROW(E$1:E204)*(E205=E$1:E204)))))</f>
        <v/>
      </c>
      <c r="L205" s="15"/>
    </row>
    <row r="206" customFormat="false" ht="12.75" hidden="false" customHeight="false" outlineLevel="0" collapsed="false">
      <c r="A206" s="0" t="s">
        <v>178</v>
      </c>
      <c r="E206" s="9" t="str">
        <f aca="false">IF(D206="?OLD","!!!","")</f>
        <v/>
      </c>
      <c r="F206" s="10" t="str">
        <f aca="false">IF(OR(E206="",E206="!!!"),"",IF(NOT(ISNA(VLOOKUP(E206,E$1:E205,1,FALSE()))),"OLD",IF(AND(E206&lt;&gt;"",E206&lt;&gt;"!!!"),"NEW","")))</f>
        <v/>
      </c>
      <c r="G206" s="11" t="str">
        <f aca="false">IF(OR(E206="",E206="!!!"),"",IF(OR(J206=0,AND(J206=1,K206=1),AND(J206=1,I206="SBJ"),AND(J206=1,I206=0)),"?IN_FOCUS",IF(J206&lt;=2,"?ACTIVATED",IF(J206&lt;&gt;"","?FAMILIAR",IF(F206="NEW",IF(ISNA(VLOOKUP(E206,#REF!,1,FALSE())),"?TYPE_IDENTIFIABLE","?REFERENTIAL"),"_")))))</f>
        <v/>
      </c>
      <c r="H206" s="12" t="str">
        <f aca="false">IF(J206&lt;&gt;1,"",IF(I206="SBJ","CB","?"))</f>
        <v/>
      </c>
      <c r="I206" s="13" t="str">
        <f aca="false">IF(OR(E206="",E206="!!!",F206="NEW"),"",INDEX(B$2:B205,-1+SUMPRODUCT(MAX(ROW(E$2:E205)*(E206=E$2:E205)))))</f>
        <v/>
      </c>
      <c r="J206" s="14" t="str">
        <f aca="true">IF(OR(E206="",E206="!!!",F206="NEW"),"",COUNTBLANK(OFFSET(A$1,,,SUMPRODUCT(MAX(ROW(E$2:E206)*(E206=E$2:E206)))))-COUNTBLANK(OFFSET(A$1,,,SUMPRODUCT(MAX(ROW(E$1:E205)*(E206=E$1:E205))))))</f>
        <v/>
      </c>
      <c r="K206" s="14" t="str">
        <f aca="false">IF(OR(E206="",E206="!!!",F206="NEW"),"",INDEX(J$1:J205,SUMPRODUCT(MAX(ROW(E$1:E205)*(E206=E$1:E205)))))</f>
        <v/>
      </c>
      <c r="L206" s="15"/>
    </row>
    <row r="207" customFormat="false" ht="12.75" hidden="false" customHeight="false" outlineLevel="0" collapsed="false">
      <c r="A207" s="0" t="s">
        <v>66</v>
      </c>
      <c r="E207" s="9" t="str">
        <f aca="false">IF(D207="?OLD","!!!","")</f>
        <v/>
      </c>
      <c r="F207" s="10" t="str">
        <f aca="false">IF(OR(E207="",E207="!!!"),"",IF(NOT(ISNA(VLOOKUP(E207,E$1:E206,1,FALSE()))),"OLD",IF(AND(E207&lt;&gt;"",E207&lt;&gt;"!!!"),"NEW","")))</f>
        <v/>
      </c>
      <c r="G207" s="11" t="str">
        <f aca="false">IF(OR(E207="",E207="!!!"),"",IF(OR(J207=0,AND(J207=1,K207=1),AND(J207=1,I207="SBJ"),AND(J207=1,I207=0)),"?IN_FOCUS",IF(J207&lt;=2,"?ACTIVATED",IF(J207&lt;&gt;"","?FAMILIAR",IF(F207="NEW",IF(ISNA(VLOOKUP(E207,#REF!,1,FALSE())),"?TYPE_IDENTIFIABLE","?REFERENTIAL"),"_")))))</f>
        <v/>
      </c>
      <c r="H207" s="12" t="str">
        <f aca="false">IF(J207&lt;&gt;1,"",IF(I207="SBJ","CB","?"))</f>
        <v/>
      </c>
      <c r="I207" s="13" t="str">
        <f aca="false">IF(OR(E207="",E207="!!!",F207="NEW"),"",INDEX(B$2:B206,-1+SUMPRODUCT(MAX(ROW(E$2:E206)*(E207=E$2:E206)))))</f>
        <v/>
      </c>
      <c r="J207" s="14" t="str">
        <f aca="true">IF(OR(E207="",E207="!!!",F207="NEW"),"",COUNTBLANK(OFFSET(A$1,,,SUMPRODUCT(MAX(ROW(E$2:E207)*(E207=E$2:E207)))))-COUNTBLANK(OFFSET(A$1,,,SUMPRODUCT(MAX(ROW(E$1:E206)*(E207=E$1:E206))))))</f>
        <v/>
      </c>
      <c r="K207" s="14" t="str">
        <f aca="false">IF(OR(E207="",E207="!!!",F207="NEW"),"",INDEX(J$1:J206,SUMPRODUCT(MAX(ROW(E$1:E206)*(E207=E$1:E206)))))</f>
        <v/>
      </c>
      <c r="L207" s="15"/>
    </row>
    <row r="208" customFormat="false" ht="12.75" hidden="false" customHeight="false" outlineLevel="0" collapsed="false">
      <c r="A208" s="0" t="s">
        <v>192</v>
      </c>
      <c r="B208" s="0" t="s">
        <v>28</v>
      </c>
      <c r="C208" s="0" t="s">
        <v>111</v>
      </c>
      <c r="D208" s="0" t="s">
        <v>29</v>
      </c>
      <c r="E208" s="9" t="s">
        <v>68</v>
      </c>
      <c r="F208" s="10" t="s">
        <v>16</v>
      </c>
      <c r="G208" s="11" t="str">
        <f aca="false">IF(OR(E208="",E208="!!!"),"",IF(OR(J208=0,AND(J208=1,K208=1),AND(J208=1,I208="SBJ"),AND(J208=1,I208=0)),"?IN_FOCUS",IF(J208&lt;=2,"?ACTIVATED",IF(J208&lt;&gt;"","?FAMILIAR",IF(F208="NEW",IF(ISNA(VLOOKUP(E208,#REF!,1,FALSE())),"?TYPE_IDENTIFIABLE","?REFERENTIAL"),"_")))))</f>
        <v>?REFERENTIAL</v>
      </c>
      <c r="H208" s="12" t="str">
        <f aca="false">IF(J208&lt;&gt;1,"",IF(I208="SBJ","CB","?"))</f>
        <v/>
      </c>
      <c r="I208" s="13" t="str">
        <f aca="false">IF(OR(E208="",E208="!!!",F208="NEW"),"",INDEX(B$2:B207,-1+SUMPRODUCT(MAX(ROW(E$2:E207)*(E208=E$2:E207)))))</f>
        <v/>
      </c>
      <c r="J208" s="14" t="str">
        <f aca="true">IF(OR(E208="",E208="!!!",F208="NEW"),"",COUNTBLANK(OFFSET(A$1,,,SUMPRODUCT(MAX(ROW(E$2:E208)*(E208=E$2:E208)))))-COUNTBLANK(OFFSET(A$1,,,SUMPRODUCT(MAX(ROW(E$1:E207)*(E208=E$1:E207))))))</f>
        <v/>
      </c>
      <c r="K208" s="14" t="str">
        <f aca="false">IF(OR(E208="",E208="!!!",F208="NEW"),"",INDEX(J$1:J207,SUMPRODUCT(MAX(ROW(E$1:E207)*(E208=E$1:E207)))))</f>
        <v/>
      </c>
      <c r="L208" s="15" t="s">
        <v>193</v>
      </c>
    </row>
    <row r="209" customFormat="false" ht="12.75" hidden="false" customHeight="false" outlineLevel="0" collapsed="false">
      <c r="A209" s="0" t="s">
        <v>194</v>
      </c>
      <c r="E209" s="9" t="str">
        <f aca="false">IF(D209="?OLD","!!!","")</f>
        <v/>
      </c>
      <c r="F209" s="10" t="str">
        <f aca="false">IF(OR(E209="",E209="!!!"),"",IF(NOT(ISNA(VLOOKUP(E209,E$1:E208,1,FALSE()))),"OLD",IF(AND(E209&lt;&gt;"",E209&lt;&gt;"!!!"),"NEW","")))</f>
        <v/>
      </c>
      <c r="G209" s="11" t="str">
        <f aca="false">IF(OR(E209="",E209="!!!"),"",IF(OR(J209=0,AND(J209=1,K209=1),AND(J209=1,I209="SBJ"),AND(J209=1,I209=0)),"?IN_FOCUS",IF(J209&lt;=2,"?ACTIVATED",IF(J209&lt;&gt;"","?FAMILIAR",IF(F209="NEW",IF(ISNA(VLOOKUP(E209,#REF!,1,FALSE())),"?TYPE_IDENTIFIABLE","?REFERENTIAL"),"_")))))</f>
        <v/>
      </c>
      <c r="H209" s="12" t="str">
        <f aca="false">IF(J209&lt;&gt;1,"",IF(I209="SBJ","CB","?"))</f>
        <v/>
      </c>
      <c r="I209" s="13" t="str">
        <f aca="false">IF(OR(E209="",E209="!!!",F209="NEW"),"",INDEX(B$2:B208,-1+SUMPRODUCT(MAX(ROW(E$2:E208)*(E209=E$2:E208)))))</f>
        <v/>
      </c>
      <c r="J209" s="14" t="str">
        <f aca="true">IF(OR(E209="",E209="!!!",F209="NEW"),"",COUNTBLANK(OFFSET(A$1,,,SUMPRODUCT(MAX(ROW(E$2:E209)*(E209=E$2:E209)))))-COUNTBLANK(OFFSET(A$1,,,SUMPRODUCT(MAX(ROW(E$1:E208)*(E209=E$1:E208))))))</f>
        <v/>
      </c>
      <c r="K209" s="14" t="str">
        <f aca="false">IF(OR(E209="",E209="!!!",F209="NEW"),"",INDEX(J$1:J208,SUMPRODUCT(MAX(ROW(E$1:E208)*(E209=E$1:E208)))))</f>
        <v/>
      </c>
      <c r="L209" s="15"/>
    </row>
    <row r="210" customFormat="false" ht="12.75" hidden="false" customHeight="false" outlineLevel="0" collapsed="false">
      <c r="A210" s="0" t="s">
        <v>195</v>
      </c>
      <c r="E210" s="9" t="str">
        <f aca="false">IF(D210="?OLD","!!!","")</f>
        <v/>
      </c>
      <c r="F210" s="10" t="str">
        <f aca="false">IF(OR(E210="",E210="!!!"),"",IF(NOT(ISNA(VLOOKUP(E210,E$1:E209,1,FALSE()))),"OLD",IF(AND(E210&lt;&gt;"",E210&lt;&gt;"!!!"),"NEW","")))</f>
        <v/>
      </c>
      <c r="G210" s="11" t="str">
        <f aca="false">IF(OR(E210="",E210="!!!"),"",IF(OR(J210=0,AND(J210=1,K210=1),AND(J210=1,I210="SBJ"),AND(J210=1,I210=0)),"?IN_FOCUS",IF(J210&lt;=2,"?ACTIVATED",IF(J210&lt;&gt;"","?FAMILIAR",IF(F210="NEW",IF(ISNA(VLOOKUP(E210,#REF!,1,FALSE())),"?TYPE_IDENTIFIABLE","?REFERENTIAL"),"_")))))</f>
        <v/>
      </c>
      <c r="H210" s="12" t="str">
        <f aca="false">IF(J210&lt;&gt;1,"",IF(I210="SBJ","CB","?"))</f>
        <v/>
      </c>
      <c r="I210" s="13" t="str">
        <f aca="false">IF(OR(E210="",E210="!!!",F210="NEW"),"",INDEX(B$2:B209,-1+SUMPRODUCT(MAX(ROW(E$2:E209)*(E210=E$2:E209)))))</f>
        <v/>
      </c>
      <c r="J210" s="14" t="str">
        <f aca="true">IF(OR(E210="",E210="!!!",F210="NEW"),"",COUNTBLANK(OFFSET(A$1,,,SUMPRODUCT(MAX(ROW(E$2:E210)*(E210=E$2:E210)))))-COUNTBLANK(OFFSET(A$1,,,SUMPRODUCT(MAX(ROW(E$1:E209)*(E210=E$1:E209))))))</f>
        <v/>
      </c>
      <c r="K210" s="14" t="str">
        <f aca="false">IF(OR(E210="",E210="!!!",F210="NEW"),"",INDEX(J$1:J209,SUMPRODUCT(MAX(ROW(E$1:E209)*(E210=E$1:E209)))))</f>
        <v/>
      </c>
      <c r="L210" s="15"/>
    </row>
    <row r="211" customFormat="false" ht="12.75" hidden="false" customHeight="false" outlineLevel="0" collapsed="false">
      <c r="A211" s="0" t="s">
        <v>73</v>
      </c>
      <c r="E211" s="9" t="str">
        <f aca="false">IF(D211="?OLD","!!!","")</f>
        <v/>
      </c>
      <c r="F211" s="10" t="str">
        <f aca="false">IF(OR(E211="",E211="!!!"),"",IF(NOT(ISNA(VLOOKUP(E211,E$1:E210,1,FALSE()))),"OLD",IF(AND(E211&lt;&gt;"",E211&lt;&gt;"!!!"),"NEW","")))</f>
        <v/>
      </c>
      <c r="G211" s="11" t="str">
        <f aca="false">IF(OR(E211="",E211="!!!"),"",IF(OR(J211=0,AND(J211=1,K211=1),AND(J211=1,I211="SBJ"),AND(J211=1,I211=0)),"?IN_FOCUS",IF(J211&lt;=2,"?ACTIVATED",IF(J211&lt;&gt;"","?FAMILIAR",IF(F211="NEW",IF(ISNA(VLOOKUP(E211,#REF!,1,FALSE())),"?TYPE_IDENTIFIABLE","?REFERENTIAL"),"_")))))</f>
        <v/>
      </c>
      <c r="H211" s="12" t="str">
        <f aca="false">IF(J211&lt;&gt;1,"",IF(I211="SBJ","CB","?"))</f>
        <v/>
      </c>
      <c r="I211" s="13" t="str">
        <f aca="false">IF(OR(E211="",E211="!!!",F211="NEW"),"",INDEX(B$2:B210,-1+SUMPRODUCT(MAX(ROW(E$2:E210)*(E211=E$2:E210)))))</f>
        <v/>
      </c>
      <c r="J211" s="14" t="str">
        <f aca="true">IF(OR(E211="",E211="!!!",F211="NEW"),"",COUNTBLANK(OFFSET(A$1,,,SUMPRODUCT(MAX(ROW(E$2:E211)*(E211=E$2:E211)))))-COUNTBLANK(OFFSET(A$1,,,SUMPRODUCT(MAX(ROW(E$1:E210)*(E211=E$1:E210))))))</f>
        <v/>
      </c>
      <c r="K211" s="14" t="str">
        <f aca="false">IF(OR(E211="",E211="!!!",F211="NEW"),"",INDEX(J$1:J210,SUMPRODUCT(MAX(ROW(E$1:E210)*(E211=E$1:E210)))))</f>
        <v/>
      </c>
      <c r="L211" s="15"/>
    </row>
    <row r="212" customFormat="false" ht="12.75" hidden="false" customHeight="false" outlineLevel="0" collapsed="false">
      <c r="E212" s="9" t="str">
        <f aca="false">IF(D212="?OLD","!!!","")</f>
        <v/>
      </c>
      <c r="F212" s="10" t="str">
        <f aca="false">IF(OR(E212="",E212="!!!"),"",IF(NOT(ISNA(VLOOKUP(E212,E$1:E211,1,FALSE()))),"OLD",IF(AND(E212&lt;&gt;"",E212&lt;&gt;"!!!"),"NEW","")))</f>
        <v/>
      </c>
      <c r="G212" s="11" t="str">
        <f aca="false">IF(OR(E212="",E212="!!!"),"",IF(OR(J212=0,AND(J212=1,K212=1),AND(J212=1,I212="SBJ"),AND(J212=1,I212=0)),"?IN_FOCUS",IF(J212&lt;=2,"?ACTIVATED",IF(J212&lt;&gt;"","?FAMILIAR",IF(F212="NEW",IF(ISNA(VLOOKUP(E212,#REF!,1,FALSE())),"?TYPE_IDENTIFIABLE","?REFERENTIAL"),"_")))))</f>
        <v/>
      </c>
      <c r="H212" s="12" t="str">
        <f aca="false">IF(J212&lt;&gt;1,"",IF(I212="SBJ","CB","?"))</f>
        <v/>
      </c>
      <c r="I212" s="13" t="str">
        <f aca="false">IF(OR(E212="",E212="!!!",F212="NEW"),"",INDEX(B$2:B211,-1+SUMPRODUCT(MAX(ROW(E$2:E211)*(E212=E$2:E211)))))</f>
        <v/>
      </c>
      <c r="J212" s="14" t="str">
        <f aca="true">IF(OR(E212="",E212="!!!",F212="NEW"),"",COUNTBLANK(OFFSET(A$1,,,SUMPRODUCT(MAX(ROW(E$2:E212)*(E212=E$2:E212)))))-COUNTBLANK(OFFSET(A$1,,,SUMPRODUCT(MAX(ROW(E$1:E211)*(E212=E$1:E211))))))</f>
        <v/>
      </c>
      <c r="K212" s="14" t="str">
        <f aca="false">IF(OR(E212="",E212="!!!",F212="NEW"),"",INDEX(J$1:J211,SUMPRODUCT(MAX(ROW(E$1:E211)*(E212=E$1:E211)))))</f>
        <v/>
      </c>
      <c r="L212" s="15"/>
    </row>
    <row r="213" customFormat="false" ht="12.75" hidden="false" customHeight="false" outlineLevel="0" collapsed="false">
      <c r="A213" s="0" t="s">
        <v>196</v>
      </c>
      <c r="E213" s="9" t="str">
        <f aca="false">IF(D213="?OLD","!!!","")</f>
        <v/>
      </c>
      <c r="F213" s="10" t="str">
        <f aca="false">IF(OR(E213="",E213="!!!"),"",IF(NOT(ISNA(VLOOKUP(E213,E$1:E212,1,FALSE()))),"OLD",IF(AND(E213&lt;&gt;"",E213&lt;&gt;"!!!"),"NEW","")))</f>
        <v/>
      </c>
      <c r="G213" s="11" t="str">
        <f aca="false">IF(OR(E213="",E213="!!!"),"",IF(OR(J213=0,AND(J213=1,K213=1),AND(J213=1,I213="SBJ"),AND(J213=1,I213=0)),"?IN_FOCUS",IF(J213&lt;=2,"?ACTIVATED",IF(J213&lt;&gt;"","?FAMILIAR",IF(F213="NEW",IF(ISNA(VLOOKUP(E213,#REF!,1,FALSE())),"?TYPE_IDENTIFIABLE","?REFERENTIAL"),"_")))))</f>
        <v/>
      </c>
      <c r="H213" s="12" t="str">
        <f aca="false">IF(J213&lt;&gt;1,"",IF(I213="SBJ","CB","?"))</f>
        <v/>
      </c>
      <c r="I213" s="13" t="str">
        <f aca="false">IF(OR(E213="",E213="!!!",F213="NEW"),"",INDEX(B$2:B212,-1+SUMPRODUCT(MAX(ROW(E$2:E212)*(E213=E$2:E212)))))</f>
        <v/>
      </c>
      <c r="J213" s="14" t="str">
        <f aca="true">IF(OR(E213="",E213="!!!",F213="NEW"),"",COUNTBLANK(OFFSET(A$1,,,SUMPRODUCT(MAX(ROW(E$2:E213)*(E213=E$2:E213)))))-COUNTBLANK(OFFSET(A$1,,,SUMPRODUCT(MAX(ROW(E$1:E212)*(E213=E$1:E212))))))</f>
        <v/>
      </c>
      <c r="K213" s="14" t="str">
        <f aca="false">IF(OR(E213="",E213="!!!",F213="NEW"),"",INDEX(J$1:J212,SUMPRODUCT(MAX(ROW(E$1:E212)*(E213=E$1:E212)))))</f>
        <v/>
      </c>
      <c r="L213" s="15"/>
    </row>
    <row r="214" customFormat="false" ht="12.75" hidden="false" customHeight="false" outlineLevel="0" collapsed="false">
      <c r="A214" s="0" t="s">
        <v>197</v>
      </c>
      <c r="E214" s="9" t="str">
        <f aca="false">IF(D214="?OLD","!!!","")</f>
        <v/>
      </c>
      <c r="F214" s="10" t="str">
        <f aca="false">IF(OR(E214="",E214="!!!"),"",IF(NOT(ISNA(VLOOKUP(E214,E$1:E213,1,FALSE()))),"OLD",IF(AND(E214&lt;&gt;"",E214&lt;&gt;"!!!"),"NEW","")))</f>
        <v/>
      </c>
      <c r="G214" s="11" t="str">
        <f aca="false">IF(OR(E214="",E214="!!!"),"",IF(OR(J214=0,AND(J214=1,K214=1),AND(J214=1,I214="SBJ"),AND(J214=1,I214=0)),"?IN_FOCUS",IF(J214&lt;=2,"?ACTIVATED",IF(J214&lt;&gt;"","?FAMILIAR",IF(F214="NEW",IF(ISNA(VLOOKUP(E214,#REF!,1,FALSE())),"?TYPE_IDENTIFIABLE","?REFERENTIAL"),"_")))))</f>
        <v/>
      </c>
      <c r="H214" s="12" t="str">
        <f aca="false">IF(J214&lt;&gt;1,"",IF(I214="SBJ","CB","?"))</f>
        <v/>
      </c>
      <c r="I214" s="13" t="str">
        <f aca="false">IF(OR(E214="",E214="!!!",F214="NEW"),"",INDEX(B$2:B213,-1+SUMPRODUCT(MAX(ROW(E$2:E213)*(E214=E$2:E213)))))</f>
        <v/>
      </c>
      <c r="J214" s="14" t="str">
        <f aca="true">IF(OR(E214="",E214="!!!",F214="NEW"),"",COUNTBLANK(OFFSET(A$1,,,SUMPRODUCT(MAX(ROW(E$2:E214)*(E214=E$2:E214)))))-COUNTBLANK(OFFSET(A$1,,,SUMPRODUCT(MAX(ROW(E$1:E213)*(E214=E$1:E213))))))</f>
        <v/>
      </c>
      <c r="K214" s="14" t="str">
        <f aca="false">IF(OR(E214="",E214="!!!",F214="NEW"),"",INDEX(J$1:J213,SUMPRODUCT(MAX(ROW(E$1:E213)*(E214=E$1:E213)))))</f>
        <v/>
      </c>
      <c r="L214" s="15"/>
    </row>
    <row r="215" customFormat="false" ht="12.75" hidden="false" customHeight="false" outlineLevel="0" collapsed="false">
      <c r="A215" s="0" t="s">
        <v>198</v>
      </c>
      <c r="B215" s="0" t="s">
        <v>62</v>
      </c>
      <c r="C215" s="0" t="s">
        <v>186</v>
      </c>
      <c r="E215" s="9" t="str">
        <f aca="false">IF(D215="?OLD","!!!","")</f>
        <v/>
      </c>
      <c r="F215" s="10" t="str">
        <f aca="false">IF(OR(E215="",E215="!!!"),"",IF(NOT(ISNA(VLOOKUP(E215,E$1:E214,1,FALSE()))),"OLD",IF(AND(E215&lt;&gt;"",E215&lt;&gt;"!!!"),"NEW","")))</f>
        <v/>
      </c>
      <c r="G215" s="11" t="str">
        <f aca="false">IF(OR(E215="",E215="!!!"),"",IF(OR(J215=0,AND(J215=1,K215=1),AND(J215=1,I215="SBJ"),AND(J215=1,I215=0)),"?IN_FOCUS",IF(J215&lt;=2,"?ACTIVATED",IF(J215&lt;&gt;"","?FAMILIAR",IF(F215="NEW",IF(ISNA(VLOOKUP(E215,#REF!,1,FALSE())),"?TYPE_IDENTIFIABLE","?REFERENTIAL"),"_")))))</f>
        <v/>
      </c>
      <c r="H215" s="12" t="str">
        <f aca="false">IF(J215&lt;&gt;1,"",IF(I215="SBJ","CB","?"))</f>
        <v/>
      </c>
      <c r="I215" s="13" t="str">
        <f aca="false">IF(OR(E215="",E215="!!!",F215="NEW"),"",INDEX(B$2:B214,-1+SUMPRODUCT(MAX(ROW(E$2:E214)*(E215=E$2:E214)))))</f>
        <v/>
      </c>
      <c r="J215" s="14" t="str">
        <f aca="true">IF(OR(E215="",E215="!!!",F215="NEW"),"",COUNTBLANK(OFFSET(A$1,,,SUMPRODUCT(MAX(ROW(E$2:E215)*(E215=E$2:E215)))))-COUNTBLANK(OFFSET(A$1,,,SUMPRODUCT(MAX(ROW(E$1:E214)*(E215=E$1:E214))))))</f>
        <v/>
      </c>
      <c r="K215" s="14" t="str">
        <f aca="false">IF(OR(E215="",E215="!!!",F215="NEW"),"",INDEX(J$1:J214,SUMPRODUCT(MAX(ROW(E$1:E214)*(E215=E$1:E214)))))</f>
        <v/>
      </c>
      <c r="L215" s="15"/>
    </row>
    <row r="216" customFormat="false" ht="12.75" hidden="false" customHeight="false" outlineLevel="0" collapsed="false">
      <c r="A216" s="0" t="s">
        <v>19</v>
      </c>
      <c r="E216" s="9" t="str">
        <f aca="false">IF(D216="?OLD","!!!","")</f>
        <v/>
      </c>
      <c r="F216" s="10" t="str">
        <f aca="false">IF(OR(E216="",E216="!!!"),"",IF(NOT(ISNA(VLOOKUP(E216,E$1:E215,1,FALSE()))),"OLD",IF(AND(E216&lt;&gt;"",E216&lt;&gt;"!!!"),"NEW","")))</f>
        <v/>
      </c>
      <c r="G216" s="11" t="str">
        <f aca="false">IF(OR(E216="",E216="!!!"),"",IF(OR(J216=0,AND(J216=1,K216=1),AND(J216=1,I216="SBJ"),AND(J216=1,I216=0)),"?IN_FOCUS",IF(J216&lt;=2,"?ACTIVATED",IF(J216&lt;&gt;"","?FAMILIAR",IF(F216="NEW",IF(ISNA(VLOOKUP(E216,#REF!,1,FALSE())),"?TYPE_IDENTIFIABLE","?REFERENTIAL"),"_")))))</f>
        <v/>
      </c>
      <c r="H216" s="12" t="str">
        <f aca="false">IF(J216&lt;&gt;1,"",IF(I216="SBJ","CB","?"))</f>
        <v/>
      </c>
      <c r="I216" s="13" t="str">
        <f aca="false">IF(OR(E216="",E216="!!!",F216="NEW"),"",INDEX(B$2:B215,-1+SUMPRODUCT(MAX(ROW(E$2:E215)*(E216=E$2:E215)))))</f>
        <v/>
      </c>
      <c r="J216" s="14" t="str">
        <f aca="true">IF(OR(E216="",E216="!!!",F216="NEW"),"",COUNTBLANK(OFFSET(A$1,,,SUMPRODUCT(MAX(ROW(E$2:E216)*(E216=E$2:E216)))))-COUNTBLANK(OFFSET(A$1,,,SUMPRODUCT(MAX(ROW(E$1:E215)*(E216=E$1:E215))))))</f>
        <v/>
      </c>
      <c r="K216" s="14" t="str">
        <f aca="false">IF(OR(E216="",E216="!!!",F216="NEW"),"",INDEX(J$1:J215,SUMPRODUCT(MAX(ROW(E$1:E215)*(E216=E$1:E215)))))</f>
        <v/>
      </c>
      <c r="L216" s="15"/>
    </row>
    <row r="217" customFormat="false" ht="12.75" hidden="false" customHeight="false" outlineLevel="0" collapsed="false">
      <c r="A217" s="0" t="s">
        <v>66</v>
      </c>
      <c r="E217" s="9" t="str">
        <f aca="false">IF(D217="?OLD","!!!","")</f>
        <v/>
      </c>
      <c r="F217" s="10" t="str">
        <f aca="false">IF(OR(E217="",E217="!!!"),"",IF(NOT(ISNA(VLOOKUP(E217,E$1:E216,1,FALSE()))),"OLD",IF(AND(E217&lt;&gt;"",E217&lt;&gt;"!!!"),"NEW","")))</f>
        <v/>
      </c>
      <c r="G217" s="11" t="str">
        <f aca="false">IF(OR(E217="",E217="!!!"),"",IF(OR(J217=0,AND(J217=1,K217=1),AND(J217=1,I217="SBJ"),AND(J217=1,I217=0)),"?IN_FOCUS",IF(J217&lt;=2,"?ACTIVATED",IF(J217&lt;&gt;"","?FAMILIAR",IF(F217="NEW",IF(ISNA(VLOOKUP(E217,#REF!,1,FALSE())),"?TYPE_IDENTIFIABLE","?REFERENTIAL"),"_")))))</f>
        <v/>
      </c>
      <c r="H217" s="12" t="str">
        <f aca="false">IF(J217&lt;&gt;1,"",IF(I217="SBJ","CB","?"))</f>
        <v/>
      </c>
      <c r="I217" s="13" t="str">
        <f aca="false">IF(OR(E217="",E217="!!!",F217="NEW"),"",INDEX(B$2:B216,-1+SUMPRODUCT(MAX(ROW(E$2:E216)*(E217=E$2:E216)))))</f>
        <v/>
      </c>
      <c r="J217" s="14" t="str">
        <f aca="true">IF(OR(E217="",E217="!!!",F217="NEW"),"",COUNTBLANK(OFFSET(A$1,,,SUMPRODUCT(MAX(ROW(E$2:E217)*(E217=E$2:E217)))))-COUNTBLANK(OFFSET(A$1,,,SUMPRODUCT(MAX(ROW(E$1:E216)*(E217=E$1:E216))))))</f>
        <v/>
      </c>
      <c r="K217" s="14" t="str">
        <f aca="false">IF(OR(E217="",E217="!!!",F217="NEW"),"",INDEX(J$1:J216,SUMPRODUCT(MAX(ROW(E$1:E216)*(E217=E$1:E216)))))</f>
        <v/>
      </c>
      <c r="L217" s="15"/>
    </row>
    <row r="218" customFormat="false" ht="12.75" hidden="false" customHeight="false" outlineLevel="0" collapsed="false">
      <c r="A218" s="0" t="s">
        <v>199</v>
      </c>
      <c r="B218" s="0" t="s">
        <v>62</v>
      </c>
      <c r="C218" s="0" t="s">
        <v>111</v>
      </c>
      <c r="D218" s="0" t="s">
        <v>29</v>
      </c>
      <c r="E218" s="9" t="s">
        <v>68</v>
      </c>
      <c r="F218" s="10" t="s">
        <v>69</v>
      </c>
      <c r="G218" s="11"/>
      <c r="H218" s="12"/>
      <c r="I218" s="13" t="str">
        <f aca="false">IF(OR(E218="",E218="!!!",F218="NEW"),"",INDEX(B$2:B217,-1+SUMPRODUCT(MAX(ROW(E$2:E217)*(E218=E$2:E217)))))</f>
        <v>other_2</v>
      </c>
      <c r="J218" s="14" t="n">
        <f aca="true">IF(OR(E218="",E218="!!!",F218="NEW"),"",COUNTBLANK(OFFSET(A$1,,,SUMPRODUCT(MAX(ROW(E$2:E218)*(E218=E$2:E218)))))-COUNTBLANK(OFFSET(A$1,,,SUMPRODUCT(MAX(ROW(E$1:E217)*(E218=E$1:E217))))))</f>
        <v>1</v>
      </c>
      <c r="K218" s="14" t="str">
        <f aca="false">IF(OR(E218="",E218="!!!",F218="NEW"),"",INDEX(J$1:J217,SUMPRODUCT(MAX(ROW(E$1:E217)*(E218=E$1:E217)))))</f>
        <v/>
      </c>
      <c r="L218" s="15"/>
    </row>
    <row r="219" customFormat="false" ht="12.75" hidden="false" customHeight="false" outlineLevel="0" collapsed="false">
      <c r="A219" s="0" t="s">
        <v>88</v>
      </c>
      <c r="E219" s="9" t="str">
        <f aca="false">IF(D219="?OLD","!!!","")</f>
        <v/>
      </c>
      <c r="F219" s="10" t="str">
        <f aca="false">IF(OR(E219="",E219="!!!"),"",IF(NOT(ISNA(VLOOKUP(E219,E$1:E218,1,FALSE()))),"OLD",IF(AND(E219&lt;&gt;"",E219&lt;&gt;"!!!"),"NEW","")))</f>
        <v/>
      </c>
      <c r="G219" s="11" t="str">
        <f aca="false">IF(OR(E219="",E219="!!!"),"",IF(OR(J219=0,AND(J219=1,K219=1),AND(J219=1,I219="SBJ"),AND(J219=1,I219=0)),"?IN_FOCUS",IF(J219&lt;=2,"?ACTIVATED",IF(J219&lt;&gt;"","?FAMILIAR",IF(F219="NEW",IF(ISNA(VLOOKUP(E219,#REF!,1,FALSE())),"?TYPE_IDENTIFIABLE","?REFERENTIAL"),"_")))))</f>
        <v/>
      </c>
      <c r="H219" s="12" t="str">
        <f aca="false">IF(J219&lt;&gt;1,"",IF(I219="SBJ","CB","?"))</f>
        <v/>
      </c>
      <c r="I219" s="13" t="str">
        <f aca="false">IF(OR(E219="",E219="!!!",F219="NEW"),"",INDEX(B$2:B218,-1+SUMPRODUCT(MAX(ROW(E$2:E218)*(E219=E$2:E218)))))</f>
        <v/>
      </c>
      <c r="J219" s="14" t="str">
        <f aca="true">IF(OR(E219="",E219="!!!",F219="NEW"),"",COUNTBLANK(OFFSET(A$1,,,SUMPRODUCT(MAX(ROW(E$2:E219)*(E219=E$2:E219)))))-COUNTBLANK(OFFSET(A$1,,,SUMPRODUCT(MAX(ROW(E$1:E218)*(E219=E$1:E218))))))</f>
        <v/>
      </c>
      <c r="K219" s="14" t="str">
        <f aca="false">IF(OR(E219="",E219="!!!",F219="NEW"),"",INDEX(J$1:J218,SUMPRODUCT(MAX(ROW(E$1:E218)*(E219=E$1:E218)))))</f>
        <v/>
      </c>
      <c r="L219" s="15"/>
    </row>
    <row r="220" customFormat="false" ht="12.75" hidden="false" customHeight="false" outlineLevel="0" collapsed="false">
      <c r="A220" s="0" t="s">
        <v>200</v>
      </c>
      <c r="E220" s="9" t="str">
        <f aca="false">IF(D220="?OLD","!!!","")</f>
        <v/>
      </c>
      <c r="F220" s="10" t="str">
        <f aca="false">IF(OR(E220="",E220="!!!"),"",IF(NOT(ISNA(VLOOKUP(E220,E$1:E219,1,FALSE()))),"OLD",IF(AND(E220&lt;&gt;"",E220&lt;&gt;"!!!"),"NEW","")))</f>
        <v/>
      </c>
      <c r="G220" s="11" t="str">
        <f aca="false">IF(OR(E220="",E220="!!!"),"",IF(OR(J220=0,AND(J220=1,K220=1),AND(J220=1,I220="SBJ"),AND(J220=1,I220=0)),"?IN_FOCUS",IF(J220&lt;=2,"?ACTIVATED",IF(J220&lt;&gt;"","?FAMILIAR",IF(F220="NEW",IF(ISNA(VLOOKUP(E220,#REF!,1,FALSE())),"?TYPE_IDENTIFIABLE","?REFERENTIAL"),"_")))))</f>
        <v/>
      </c>
      <c r="H220" s="12" t="str">
        <f aca="false">IF(J220&lt;&gt;1,"",IF(I220="SBJ","CB","?"))</f>
        <v/>
      </c>
      <c r="I220" s="13" t="str">
        <f aca="false">IF(OR(E220="",E220="!!!",F220="NEW"),"",INDEX(B$2:B219,-1+SUMPRODUCT(MAX(ROW(E$2:E219)*(E220=E$2:E219)))))</f>
        <v/>
      </c>
      <c r="J220" s="14" t="str">
        <f aca="true">IF(OR(E220="",E220="!!!",F220="NEW"),"",COUNTBLANK(OFFSET(A$1,,,SUMPRODUCT(MAX(ROW(E$2:E220)*(E220=E$2:E220)))))-COUNTBLANK(OFFSET(A$1,,,SUMPRODUCT(MAX(ROW(E$1:E219)*(E220=E$1:E219))))))</f>
        <v/>
      </c>
      <c r="K220" s="14" t="str">
        <f aca="false">IF(OR(E220="",E220="!!!",F220="NEW"),"",INDEX(J$1:J219,SUMPRODUCT(MAX(ROW(E$1:E219)*(E220=E$1:E219)))))</f>
        <v/>
      </c>
      <c r="L220" s="15"/>
    </row>
    <row r="221" customFormat="false" ht="12.75" hidden="false" customHeight="false" outlineLevel="0" collapsed="false">
      <c r="A221" s="0" t="s">
        <v>201</v>
      </c>
      <c r="B221" s="0" t="s">
        <v>42</v>
      </c>
      <c r="C221" s="0" t="s">
        <v>186</v>
      </c>
      <c r="E221" s="9" t="str">
        <f aca="false">IF(D221="?OLD","!!!","")</f>
        <v/>
      </c>
      <c r="F221" s="10" t="str">
        <f aca="false">IF(OR(E221="",E221="!!!"),"",IF(NOT(ISNA(VLOOKUP(E221,E$1:E220,1,FALSE()))),"OLD",IF(AND(E221&lt;&gt;"",E221&lt;&gt;"!!!"),"NEW","")))</f>
        <v/>
      </c>
      <c r="G221" s="11" t="str">
        <f aca="false">IF(OR(E221="",E221="!!!"),"",IF(OR(J221=0,AND(J221=1,K221=1),AND(J221=1,I221="SBJ"),AND(J221=1,I221=0)),"?IN_FOCUS",IF(J221&lt;=2,"?ACTIVATED",IF(J221&lt;&gt;"","?FAMILIAR",IF(F221="NEW",IF(ISNA(VLOOKUP(E221,#REF!,1,FALSE())),"?TYPE_IDENTIFIABLE","?REFERENTIAL"),"_")))))</f>
        <v/>
      </c>
      <c r="H221" s="12" t="str">
        <f aca="false">IF(J221&lt;&gt;1,"",IF(I221="SBJ","CB","?"))</f>
        <v/>
      </c>
      <c r="I221" s="13" t="str">
        <f aca="false">IF(OR(E221="",E221="!!!",F221="NEW"),"",INDEX(B$2:B220,-1+SUMPRODUCT(MAX(ROW(E$2:E220)*(E221=E$2:E220)))))</f>
        <v/>
      </c>
      <c r="J221" s="14" t="str">
        <f aca="true">IF(OR(E221="",E221="!!!",F221="NEW"),"",COUNTBLANK(OFFSET(A$1,,,SUMPRODUCT(MAX(ROW(E$2:E221)*(E221=E$2:E221)))))-COUNTBLANK(OFFSET(A$1,,,SUMPRODUCT(MAX(ROW(E$1:E220)*(E221=E$1:E220))))))</f>
        <v/>
      </c>
      <c r="K221" s="14" t="str">
        <f aca="false">IF(OR(E221="",E221="!!!",F221="NEW"),"",INDEX(J$1:J220,SUMPRODUCT(MAX(ROW(E$1:E220)*(E221=E$1:E220)))))</f>
        <v/>
      </c>
      <c r="L221" s="15"/>
    </row>
    <row r="222" customFormat="false" ht="12.75" hidden="false" customHeight="false" outlineLevel="0" collapsed="false">
      <c r="A222" s="0" t="s">
        <v>19</v>
      </c>
      <c r="E222" s="9" t="str">
        <f aca="false">IF(D222="?OLD","!!!","")</f>
        <v/>
      </c>
      <c r="F222" s="10" t="str">
        <f aca="false">IF(OR(E222="",E222="!!!"),"",IF(NOT(ISNA(VLOOKUP(E222,E$1:E221,1,FALSE()))),"OLD",IF(AND(E222&lt;&gt;"",E222&lt;&gt;"!!!"),"NEW","")))</f>
        <v/>
      </c>
      <c r="G222" s="11" t="str">
        <f aca="false">IF(OR(E222="",E222="!!!"),"",IF(OR(J222=0,AND(J222=1,K222=1),AND(J222=1,I222="SBJ"),AND(J222=1,I222=0)),"?IN_FOCUS",IF(J222&lt;=2,"?ACTIVATED",IF(J222&lt;&gt;"","?FAMILIAR",IF(F222="NEW",IF(ISNA(VLOOKUP(E222,#REF!,1,FALSE())),"?TYPE_IDENTIFIABLE","?REFERENTIAL"),"_")))))</f>
        <v/>
      </c>
      <c r="H222" s="12" t="str">
        <f aca="false">IF(J222&lt;&gt;1,"",IF(I222="SBJ","CB","?"))</f>
        <v/>
      </c>
      <c r="I222" s="13" t="str">
        <f aca="false">IF(OR(E222="",E222="!!!",F222="NEW"),"",INDEX(B$2:B221,-1+SUMPRODUCT(MAX(ROW(E$2:E221)*(E222=E$2:E221)))))</f>
        <v/>
      </c>
      <c r="J222" s="14" t="str">
        <f aca="true">IF(OR(E222="",E222="!!!",F222="NEW"),"",COUNTBLANK(OFFSET(A$1,,,SUMPRODUCT(MAX(ROW(E$2:E222)*(E222=E$2:E222)))))-COUNTBLANK(OFFSET(A$1,,,SUMPRODUCT(MAX(ROW(E$1:E221)*(E222=E$1:E221))))))</f>
        <v/>
      </c>
      <c r="K222" s="14" t="str">
        <f aca="false">IF(OR(E222="",E222="!!!",F222="NEW"),"",INDEX(J$1:J221,SUMPRODUCT(MAX(ROW(E$1:E221)*(E222=E$1:E221)))))</f>
        <v/>
      </c>
      <c r="L222" s="15"/>
    </row>
    <row r="223" customFormat="false" ht="12.75" hidden="false" customHeight="false" outlineLevel="0" collapsed="false">
      <c r="A223" s="0" t="s">
        <v>66</v>
      </c>
      <c r="E223" s="9" t="str">
        <f aca="false">IF(D223="?OLD","!!!","")</f>
        <v/>
      </c>
      <c r="F223" s="10" t="str">
        <f aca="false">IF(OR(E223="",E223="!!!"),"",IF(NOT(ISNA(VLOOKUP(E223,E$1:E222,1,FALSE()))),"OLD",IF(AND(E223&lt;&gt;"",E223&lt;&gt;"!!!"),"NEW","")))</f>
        <v/>
      </c>
      <c r="G223" s="11" t="str">
        <f aca="false">IF(OR(E223="",E223="!!!"),"",IF(OR(J223=0,AND(J223=1,K223=1),AND(J223=1,I223="SBJ"),AND(J223=1,I223=0)),"?IN_FOCUS",IF(J223&lt;=2,"?ACTIVATED",IF(J223&lt;&gt;"","?FAMILIAR",IF(F223="NEW",IF(ISNA(VLOOKUP(E223,#REF!,1,FALSE())),"?TYPE_IDENTIFIABLE","?REFERENTIAL"),"_")))))</f>
        <v/>
      </c>
      <c r="H223" s="12" t="str">
        <f aca="false">IF(J223&lt;&gt;1,"",IF(I223="SBJ","CB","?"))</f>
        <v/>
      </c>
      <c r="I223" s="13" t="str">
        <f aca="false">IF(OR(E223="",E223="!!!",F223="NEW"),"",INDEX(B$2:B222,-1+SUMPRODUCT(MAX(ROW(E$2:E222)*(E223=E$2:E222)))))</f>
        <v/>
      </c>
      <c r="J223" s="14" t="str">
        <f aca="true">IF(OR(E223="",E223="!!!",F223="NEW"),"",COUNTBLANK(OFFSET(A$1,,,SUMPRODUCT(MAX(ROW(E$2:E223)*(E223=E$2:E223)))))-COUNTBLANK(OFFSET(A$1,,,SUMPRODUCT(MAX(ROW(E$1:E222)*(E223=E$1:E222))))))</f>
        <v/>
      </c>
      <c r="K223" s="14" t="str">
        <f aca="false">IF(OR(E223="",E223="!!!",F223="NEW"),"",INDEX(J$1:J222,SUMPRODUCT(MAX(ROW(E$1:E222)*(E223=E$1:E222)))))</f>
        <v/>
      </c>
      <c r="L223" s="15"/>
    </row>
    <row r="224" customFormat="false" ht="12.75" hidden="false" customHeight="false" outlineLevel="0" collapsed="false">
      <c r="A224" s="0" t="s">
        <v>202</v>
      </c>
      <c r="B224" s="0" t="s">
        <v>22</v>
      </c>
      <c r="C224" s="0" t="s">
        <v>111</v>
      </c>
      <c r="D224" s="0" t="s">
        <v>29</v>
      </c>
      <c r="E224" s="9" t="s">
        <v>68</v>
      </c>
      <c r="F224" s="10" t="s">
        <v>69</v>
      </c>
      <c r="G224" s="11"/>
      <c r="H224" s="12" t="str">
        <f aca="false">IF(J224&lt;&gt;1,"",IF(I224="SBJ","CB","?"))</f>
        <v/>
      </c>
      <c r="I224" s="13" t="str">
        <f aca="false">IF(OR(E224="",E224="!!!",F224="NEW"),"",INDEX(B$2:B223,-1+SUMPRODUCT(MAX(ROW(E$2:E223)*(E224=E$2:E223)))))</f>
        <v>other</v>
      </c>
      <c r="J224" s="14" t="n">
        <f aca="true">IF(OR(E224="",E224="!!!",F224="NEW"),"",COUNTBLANK(OFFSET(A$1,,,SUMPRODUCT(MAX(ROW(E$2:E224)*(E224=E$2:E224)))))-COUNTBLANK(OFFSET(A$1,,,SUMPRODUCT(MAX(ROW(E$1:E223)*(E224=E$1:E223))))))</f>
        <v>0</v>
      </c>
      <c r="K224" s="14" t="n">
        <f aca="false">IF(OR(E224="",E224="!!!",F224="NEW"),"",INDEX(J$1:J223,SUMPRODUCT(MAX(ROW(E$1:E223)*(E224=E$1:E223)))))</f>
        <v>1</v>
      </c>
      <c r="L224" s="15"/>
    </row>
    <row r="225" customFormat="false" ht="12.75" hidden="false" customHeight="false" outlineLevel="0" collapsed="false">
      <c r="A225" s="0" t="s">
        <v>48</v>
      </c>
      <c r="E225" s="9" t="str">
        <f aca="false">IF(D225="?OLD","!!!","")</f>
        <v/>
      </c>
      <c r="F225" s="10" t="str">
        <f aca="false">IF(OR(E225="",E225="!!!"),"",IF(NOT(ISNA(VLOOKUP(E225,E$1:E224,1,FALSE()))),"OLD",IF(AND(E225&lt;&gt;"",E225&lt;&gt;"!!!"),"NEW","")))</f>
        <v/>
      </c>
      <c r="G225" s="11" t="str">
        <f aca="false">IF(OR(E225="",E225="!!!"),"",IF(OR(J225=0,AND(J225=1,K225=1),AND(J225=1,I225="SBJ"),AND(J225=1,I225=0)),"?IN_FOCUS",IF(J225&lt;=2,"?ACTIVATED",IF(J225&lt;&gt;"","?FAMILIAR",IF(F225="NEW",IF(ISNA(VLOOKUP(E225,#REF!,1,FALSE())),"?TYPE_IDENTIFIABLE","?REFERENTIAL"),"_")))))</f>
        <v/>
      </c>
      <c r="H225" s="12" t="str">
        <f aca="false">IF(J225&lt;&gt;1,"",IF(I225="SBJ","CB","?"))</f>
        <v/>
      </c>
      <c r="I225" s="13" t="str">
        <f aca="false">IF(OR(E225="",E225="!!!",F225="NEW"),"",INDEX(B$2:B224,-1+SUMPRODUCT(MAX(ROW(E$2:E224)*(E225=E$2:E224)))))</f>
        <v/>
      </c>
      <c r="J225" s="14" t="str">
        <f aca="true">IF(OR(E225="",E225="!!!",F225="NEW"),"",COUNTBLANK(OFFSET(A$1,,,SUMPRODUCT(MAX(ROW(E$2:E225)*(E225=E$2:E225)))))-COUNTBLANK(OFFSET(A$1,,,SUMPRODUCT(MAX(ROW(E$1:E224)*(E225=E$1:E224))))))</f>
        <v/>
      </c>
      <c r="K225" s="14" t="str">
        <f aca="false">IF(OR(E225="",E225="!!!",F225="NEW"),"",INDEX(J$1:J224,SUMPRODUCT(MAX(ROW(E$1:E224)*(E225=E$1:E224)))))</f>
        <v/>
      </c>
      <c r="L225" s="15"/>
    </row>
    <row r="226" customFormat="false" ht="12.75" hidden="false" customHeight="false" outlineLevel="0" collapsed="false">
      <c r="A226" s="0" t="s">
        <v>203</v>
      </c>
      <c r="E226" s="9" t="str">
        <f aca="false">IF(D226="?OLD","!!!","")</f>
        <v/>
      </c>
      <c r="F226" s="10" t="str">
        <f aca="false">IF(OR(E226="",E226="!!!"),"",IF(NOT(ISNA(VLOOKUP(E226,E$1:E225,1,FALSE()))),"OLD",IF(AND(E226&lt;&gt;"",E226&lt;&gt;"!!!"),"NEW","")))</f>
        <v/>
      </c>
      <c r="G226" s="11" t="str">
        <f aca="false">IF(OR(E226="",E226="!!!"),"",IF(OR(J226=0,AND(J226=1,K226=1),AND(J226=1,I226="SBJ"),AND(J226=1,I226=0)),"?IN_FOCUS",IF(J226&lt;=2,"?ACTIVATED",IF(J226&lt;&gt;"","?FAMILIAR",IF(F226="NEW",IF(ISNA(VLOOKUP(E226,#REF!,1,FALSE())),"?TYPE_IDENTIFIABLE","?REFERENTIAL"),"_")))))</f>
        <v/>
      </c>
      <c r="H226" s="12" t="str">
        <f aca="false">IF(J226&lt;&gt;1,"",IF(I226="SBJ","CB","?"))</f>
        <v/>
      </c>
      <c r="I226" s="13" t="str">
        <f aca="false">IF(OR(E226="",E226="!!!",F226="NEW"),"",INDEX(B$2:B225,-1+SUMPRODUCT(MAX(ROW(E$2:E225)*(E226=E$2:E225)))))</f>
        <v/>
      </c>
      <c r="J226" s="14" t="str">
        <f aca="true">IF(OR(E226="",E226="!!!",F226="NEW"),"",COUNTBLANK(OFFSET(A$1,,,SUMPRODUCT(MAX(ROW(E$2:E226)*(E226=E$2:E226)))))-COUNTBLANK(OFFSET(A$1,,,SUMPRODUCT(MAX(ROW(E$1:E225)*(E226=E$1:E225))))))</f>
        <v/>
      </c>
      <c r="K226" s="14" t="str">
        <f aca="false">IF(OR(E226="",E226="!!!",F226="NEW"),"",INDEX(J$1:J225,SUMPRODUCT(MAX(ROW(E$1:E225)*(E226=E$1:E225)))))</f>
        <v/>
      </c>
      <c r="L226" s="15"/>
    </row>
    <row r="227" customFormat="false" ht="12.75" hidden="false" customHeight="false" outlineLevel="0" collapsed="false">
      <c r="A227" s="0" t="s">
        <v>142</v>
      </c>
      <c r="B227" s="0" t="s">
        <v>103</v>
      </c>
      <c r="C227" s="0" t="s">
        <v>38</v>
      </c>
      <c r="D227" s="0" t="s">
        <v>29</v>
      </c>
      <c r="E227" s="9" t="s">
        <v>143</v>
      </c>
      <c r="F227" s="10" t="str">
        <f aca="false">IF(OR(E227="",E227="!!!"),"",IF(NOT(ISNA(VLOOKUP(E227,E$1:E226,1,FALSE()))),"OLD",IF(AND(E227&lt;&gt;"",E227&lt;&gt;"!!!"),"NEW","")))</f>
        <v>OLD</v>
      </c>
      <c r="G227" s="11" t="s">
        <v>80</v>
      </c>
      <c r="H227" s="12" t="s">
        <v>7</v>
      </c>
      <c r="I227" s="13" t="str">
        <f aca="false">IF(OR(E227="",E227="!!!",F227="NEW"),"",INDEX(B$2:B226,-1+SUMPRODUCT(MAX(ROW(E$2:E226)*(E227=E$2:E226)))))</f>
        <v>SBJ_3</v>
      </c>
      <c r="J227" s="14" t="n">
        <f aca="true">IF(OR(E227="",E227="!!!",F227="NEW"),"",COUNTBLANK(OFFSET(A$1,,,SUMPRODUCT(MAX(ROW(E$2:E227)*(E227=E$2:E227)))))-COUNTBLANK(OFFSET(A$1,,,SUMPRODUCT(MAX(ROW(E$1:E226)*(E227=E$1:E226))))))</f>
        <v>1</v>
      </c>
      <c r="K227" s="14" t="n">
        <f aca="false">IF(OR(E227="",E227="!!!",F227="NEW"),"",INDEX(J$1:J226,SUMPRODUCT(MAX(ROW(E$1:E226)*(E227=E$1:E226)))))</f>
        <v>0</v>
      </c>
      <c r="L227" s="15"/>
    </row>
    <row r="228" customFormat="false" ht="12.75" hidden="false" customHeight="false" outlineLevel="0" collapsed="false">
      <c r="A228" s="0" t="s">
        <v>204</v>
      </c>
      <c r="E228" s="9" t="str">
        <f aca="false">IF(D228="?OLD","!!!","")</f>
        <v/>
      </c>
      <c r="F228" s="10" t="str">
        <f aca="false">IF(OR(E228="",E228="!!!"),"",IF(NOT(ISNA(VLOOKUP(E228,E$1:E227,1,FALSE()))),"OLD",IF(AND(E228&lt;&gt;"",E228&lt;&gt;"!!!"),"NEW","")))</f>
        <v/>
      </c>
      <c r="G228" s="11" t="str">
        <f aca="false">IF(OR(E228="",E228="!!!"),"",IF(OR(J228=0,AND(J228=1,K228=1),AND(J228=1,I228="SBJ"),AND(J228=1,I228=0)),"?IN_FOCUS",IF(J228&lt;=2,"?ACTIVATED",IF(J228&lt;&gt;"","?FAMILIAR",IF(F228="NEW",IF(ISNA(VLOOKUP(E228,#REF!,1,FALSE())),"?TYPE_IDENTIFIABLE","?REFERENTIAL"),"_")))))</f>
        <v/>
      </c>
      <c r="H228" s="12" t="str">
        <f aca="false">IF(J228&lt;&gt;1,"",IF(I228="SBJ","CB","?"))</f>
        <v/>
      </c>
      <c r="I228" s="13" t="str">
        <f aca="false">IF(OR(E228="",E228="!!!",F228="NEW"),"",INDEX(B$2:B227,-1+SUMPRODUCT(MAX(ROW(E$2:E227)*(E228=E$2:E227)))))</f>
        <v/>
      </c>
      <c r="J228" s="14" t="str">
        <f aca="true">IF(OR(E228="",E228="!!!",F228="NEW"),"",COUNTBLANK(OFFSET(A$1,,,SUMPRODUCT(MAX(ROW(E$2:E228)*(E228=E$2:E228)))))-COUNTBLANK(OFFSET(A$1,,,SUMPRODUCT(MAX(ROW(E$1:E227)*(E228=E$1:E227))))))</f>
        <v/>
      </c>
      <c r="K228" s="14" t="str">
        <f aca="false">IF(OR(E228="",E228="!!!",F228="NEW"),"",INDEX(J$1:J227,SUMPRODUCT(MAX(ROW(E$1:E227)*(E228=E$1:E227)))))</f>
        <v/>
      </c>
      <c r="L228" s="15"/>
    </row>
    <row r="229" customFormat="false" ht="12.75" hidden="false" customHeight="false" outlineLevel="0" collapsed="false">
      <c r="A229" s="0" t="s">
        <v>51</v>
      </c>
      <c r="E229" s="9" t="str">
        <f aca="false">IF(D229="?OLD","!!!","")</f>
        <v/>
      </c>
      <c r="F229" s="10" t="str">
        <f aca="false">IF(OR(E229="",E229="!!!"),"",IF(NOT(ISNA(VLOOKUP(E229,E$1:E228,1,FALSE()))),"OLD",IF(AND(E229&lt;&gt;"",E229&lt;&gt;"!!!"),"NEW","")))</f>
        <v/>
      </c>
      <c r="G229" s="11" t="str">
        <f aca="false">IF(OR(E229="",E229="!!!"),"",IF(OR(J229=0,AND(J229=1,K229=1),AND(J229=1,I229="SBJ"),AND(J229=1,I229=0)),"?IN_FOCUS",IF(J229&lt;=2,"?ACTIVATED",IF(J229&lt;&gt;"","?FAMILIAR",IF(F229="NEW",IF(ISNA(VLOOKUP(E229,#REF!,1,FALSE())),"?TYPE_IDENTIFIABLE","?REFERENTIAL"),"_")))))</f>
        <v/>
      </c>
      <c r="H229" s="12" t="str">
        <f aca="false">IF(J229&lt;&gt;1,"",IF(I229="SBJ","CB","?"))</f>
        <v/>
      </c>
      <c r="I229" s="13" t="str">
        <f aca="false">IF(OR(E229="",E229="!!!",F229="NEW"),"",INDEX(B$2:B228,-1+SUMPRODUCT(MAX(ROW(E$2:E228)*(E229=E$2:E228)))))</f>
        <v/>
      </c>
      <c r="J229" s="14" t="str">
        <f aca="true">IF(OR(E229="",E229="!!!",F229="NEW"),"",COUNTBLANK(OFFSET(A$1,,,SUMPRODUCT(MAX(ROW(E$2:E229)*(E229=E$2:E229)))))-COUNTBLANK(OFFSET(A$1,,,SUMPRODUCT(MAX(ROW(E$1:E228)*(E229=E$1:E228))))))</f>
        <v/>
      </c>
      <c r="K229" s="14" t="str">
        <f aca="false">IF(OR(E229="",E229="!!!",F229="NEW"),"",INDEX(J$1:J228,SUMPRODUCT(MAX(ROW(E$1:E228)*(E229=E$1:E228)))))</f>
        <v/>
      </c>
      <c r="L229" s="15"/>
    </row>
    <row r="230" customFormat="false" ht="12.75" hidden="false" customHeight="false" outlineLevel="0" collapsed="false">
      <c r="A230" s="0" t="s">
        <v>150</v>
      </c>
      <c r="B230" s="0" t="s">
        <v>64</v>
      </c>
      <c r="C230" s="0" t="s">
        <v>55</v>
      </c>
      <c r="D230" s="0" t="s">
        <v>29</v>
      </c>
      <c r="E230" s="9" t="s">
        <v>143</v>
      </c>
      <c r="F230" s="10" t="str">
        <f aca="false">IF(OR(E230="",E230="!!!"),"",IF(NOT(ISNA(VLOOKUP(E230,E$1:E229,1,FALSE()))),"OLD",IF(AND(E230&lt;&gt;"",E230&lt;&gt;"!!!"),"NEW","")))</f>
        <v>OLD</v>
      </c>
      <c r="G230" s="11" t="s">
        <v>39</v>
      </c>
      <c r="H230" s="12" t="str">
        <f aca="false">IF(J230&lt;&gt;1,"",IF(I230="SBJ","CB","?"))</f>
        <v/>
      </c>
      <c r="I230" s="13" t="str">
        <f aca="false">IF(OR(E230="",E230="!!!",F230="NEW"),"",INDEX(B$2:B229,-1+SUMPRODUCT(MAX(ROW(E$2:E229)*(E230=E$2:E229)))))</f>
        <v>OBJ_2</v>
      </c>
      <c r="J230" s="14" t="n">
        <f aca="true">IF(OR(E230="",E230="!!!",F230="NEW"),"",COUNTBLANK(OFFSET(A$1,,,SUMPRODUCT(MAX(ROW(E$2:E230)*(E230=E$2:E230)))))-COUNTBLANK(OFFSET(A$1,,,SUMPRODUCT(MAX(ROW(E$1:E229)*(E230=E$1:E229))))))</f>
        <v>0</v>
      </c>
      <c r="K230" s="14" t="n">
        <f aca="false">IF(OR(E230="",E230="!!!",F230="NEW"),"",INDEX(J$1:J229,SUMPRODUCT(MAX(ROW(E$1:E229)*(E230=E$1:E229)))))</f>
        <v>1</v>
      </c>
      <c r="L230" s="15"/>
    </row>
    <row r="231" customFormat="false" ht="12.75" hidden="false" customHeight="false" outlineLevel="0" collapsed="false">
      <c r="A231" s="0" t="s">
        <v>205</v>
      </c>
      <c r="E231" s="9" t="str">
        <f aca="false">IF(D231="?OLD","!!!","")</f>
        <v/>
      </c>
      <c r="F231" s="10" t="str">
        <f aca="false">IF(OR(E231="",E231="!!!"),"",IF(NOT(ISNA(VLOOKUP(E231,E$1:E230,1,FALSE()))),"OLD",IF(AND(E231&lt;&gt;"",E231&lt;&gt;"!!!"),"NEW","")))</f>
        <v/>
      </c>
      <c r="G231" s="11" t="str">
        <f aca="false">IF(OR(E231="",E231="!!!"),"",IF(OR(J231=0,AND(J231=1,K231=1),AND(J231=1,I231="SBJ"),AND(J231=1,I231=0)),"?IN_FOCUS",IF(J231&lt;=2,"?ACTIVATED",IF(J231&lt;&gt;"","?FAMILIAR",IF(F231="NEW",IF(ISNA(VLOOKUP(E231,#REF!,1,FALSE())),"?TYPE_IDENTIFIABLE","?REFERENTIAL"),"_")))))</f>
        <v/>
      </c>
      <c r="H231" s="12" t="str">
        <f aca="false">IF(J231&lt;&gt;1,"",IF(I231="SBJ","CB","?"))</f>
        <v/>
      </c>
      <c r="I231" s="13" t="str">
        <f aca="false">IF(OR(E231="",E231="!!!",F231="NEW"),"",INDEX(B$2:B230,-1+SUMPRODUCT(MAX(ROW(E$2:E230)*(E231=E$2:E230)))))</f>
        <v/>
      </c>
      <c r="J231" s="14" t="str">
        <f aca="true">IF(OR(E231="",E231="!!!",F231="NEW"),"",COUNTBLANK(OFFSET(A$1,,,SUMPRODUCT(MAX(ROW(E$2:E231)*(E231=E$2:E231)))))-COUNTBLANK(OFFSET(A$1,,,SUMPRODUCT(MAX(ROW(E$1:E230)*(E231=E$1:E230))))))</f>
        <v/>
      </c>
      <c r="K231" s="14" t="str">
        <f aca="false">IF(OR(E231="",E231="!!!",F231="NEW"),"",INDEX(J$1:J230,SUMPRODUCT(MAX(ROW(E$1:E230)*(E231=E$1:E230)))))</f>
        <v/>
      </c>
      <c r="L231" s="15"/>
    </row>
    <row r="232" customFormat="false" ht="12.75" hidden="false" customHeight="false" outlineLevel="0" collapsed="false">
      <c r="A232" s="0" t="s">
        <v>206</v>
      </c>
      <c r="B232" s="0" t="s">
        <v>22</v>
      </c>
      <c r="C232" s="0" t="s">
        <v>15</v>
      </c>
      <c r="D232" s="0" t="s">
        <v>29</v>
      </c>
      <c r="E232" s="9" t="s">
        <v>68</v>
      </c>
      <c r="F232" s="10" t="s">
        <v>69</v>
      </c>
      <c r="G232" s="11"/>
      <c r="H232" s="12" t="str">
        <f aca="false">IF(J232&lt;&gt;1,"",IF(I232="SBJ","CB","?"))</f>
        <v/>
      </c>
      <c r="I232" s="13" t="str">
        <f aca="false">IF(OR(E232="",E232="!!!",F232="NEW"),"",INDEX(B$2:B231,-1+SUMPRODUCT(MAX(ROW(E$2:E231)*(E232=E$2:E231)))))</f>
        <v>other_3</v>
      </c>
      <c r="J232" s="14" t="n">
        <f aca="true">IF(OR(E232="",E232="!!!",F232="NEW"),"",COUNTBLANK(OFFSET(A$1,,,SUMPRODUCT(MAX(ROW(E$2:E232)*(E232=E$2:E232)))))-COUNTBLANK(OFFSET(A$1,,,SUMPRODUCT(MAX(ROW(E$1:E231)*(E232=E$1:E231))))))</f>
        <v>0</v>
      </c>
      <c r="K232" s="14" t="n">
        <f aca="false">IF(OR(E232="",E232="!!!",F232="NEW"),"",INDEX(J$1:J231,SUMPRODUCT(MAX(ROW(E$1:E231)*(E232=E$1:E231)))))</f>
        <v>0</v>
      </c>
      <c r="L232" s="15"/>
    </row>
    <row r="233" customFormat="false" ht="12.75" hidden="false" customHeight="false" outlineLevel="0" collapsed="false">
      <c r="A233" s="0" t="s">
        <v>73</v>
      </c>
      <c r="E233" s="9" t="str">
        <f aca="false">IF(D233="?OLD","!!!","")</f>
        <v/>
      </c>
      <c r="F233" s="10" t="str">
        <f aca="false">IF(OR(E233="",E233="!!!"),"",IF(NOT(ISNA(VLOOKUP(E233,E$1:E232,1,FALSE()))),"OLD",IF(AND(E233&lt;&gt;"",E233&lt;&gt;"!!!"),"NEW","")))</f>
        <v/>
      </c>
      <c r="G233" s="11" t="str">
        <f aca="false">IF(OR(E233="",E233="!!!"),"",IF(OR(J233=0,AND(J233=1,K233=1),AND(J233=1,I233="SBJ"),AND(J233=1,I233=0)),"?IN_FOCUS",IF(J233&lt;=2,"?ACTIVATED",IF(J233&lt;&gt;"","?FAMILIAR",IF(F233="NEW",IF(ISNA(VLOOKUP(E233,#REF!,1,FALSE())),"?TYPE_IDENTIFIABLE","?REFERENTIAL"),"_")))))</f>
        <v/>
      </c>
      <c r="H233" s="12" t="str">
        <f aca="false">IF(J233&lt;&gt;1,"",IF(I233="SBJ","CB","?"))</f>
        <v/>
      </c>
      <c r="I233" s="13" t="str">
        <f aca="false">IF(OR(E233="",E233="!!!",F233="NEW"),"",INDEX(B$2:B232,-1+SUMPRODUCT(MAX(ROW(E$2:E232)*(E233=E$2:E232)))))</f>
        <v/>
      </c>
      <c r="J233" s="14" t="str">
        <f aca="true">IF(OR(E233="",E233="!!!",F233="NEW"),"",COUNTBLANK(OFFSET(A$1,,,SUMPRODUCT(MAX(ROW(E$2:E233)*(E233=E$2:E233)))))-COUNTBLANK(OFFSET(A$1,,,SUMPRODUCT(MAX(ROW(E$1:E232)*(E233=E$1:E232))))))</f>
        <v/>
      </c>
      <c r="K233" s="14" t="str">
        <f aca="false">IF(OR(E233="",E233="!!!",F233="NEW"),"",INDEX(J$1:J232,SUMPRODUCT(MAX(ROW(E$1:E232)*(E233=E$1:E232)))))</f>
        <v/>
      </c>
      <c r="L233" s="15"/>
    </row>
    <row r="234" customFormat="false" ht="12.75" hidden="false" customHeight="false" outlineLevel="0" collapsed="false">
      <c r="E234" s="9" t="str">
        <f aca="false">IF(D234="?OLD","!!!","")</f>
        <v/>
      </c>
      <c r="F234" s="10" t="str">
        <f aca="false">IF(OR(E234="",E234="!!!"),"",IF(NOT(ISNA(VLOOKUP(E234,E$1:E233,1,FALSE()))),"OLD",IF(AND(E234&lt;&gt;"",E234&lt;&gt;"!!!"),"NEW","")))</f>
        <v/>
      </c>
      <c r="G234" s="11" t="str">
        <f aca="false">IF(OR(E234="",E234="!!!"),"",IF(OR(J234=0,AND(J234=1,K234=1),AND(J234=1,I234="SBJ"),AND(J234=1,I234=0)),"?IN_FOCUS",IF(J234&lt;=2,"?ACTIVATED",IF(J234&lt;&gt;"","?FAMILIAR",IF(F234="NEW",IF(ISNA(VLOOKUP(E234,#REF!,1,FALSE())),"?TYPE_IDENTIFIABLE","?REFERENTIAL"),"_")))))</f>
        <v/>
      </c>
      <c r="H234" s="12" t="str">
        <f aca="false">IF(J234&lt;&gt;1,"",IF(I234="SBJ","CB","?"))</f>
        <v/>
      </c>
      <c r="I234" s="13" t="str">
        <f aca="false">IF(OR(E234="",E234="!!!",F234="NEW"),"",INDEX(B$2:B233,-1+SUMPRODUCT(MAX(ROW(E$2:E233)*(E234=E$2:E233)))))</f>
        <v/>
      </c>
      <c r="J234" s="14" t="str">
        <f aca="true">IF(OR(E234="",E234="!!!",F234="NEW"),"",COUNTBLANK(OFFSET(A$1,,,SUMPRODUCT(MAX(ROW(E$2:E234)*(E234=E$2:E234)))))-COUNTBLANK(OFFSET(A$1,,,SUMPRODUCT(MAX(ROW(E$1:E233)*(E234=E$1:E233))))))</f>
        <v/>
      </c>
      <c r="K234" s="14" t="str">
        <f aca="false">IF(OR(E234="",E234="!!!",F234="NEW"),"",INDEX(J$1:J233,SUMPRODUCT(MAX(ROW(E$1:E233)*(E234=E$1:E233)))))</f>
        <v/>
      </c>
      <c r="L234" s="15"/>
    </row>
    <row r="235" customFormat="false" ht="12.75" hidden="false" customHeight="false" outlineLevel="0" collapsed="false">
      <c r="A235" s="0" t="s">
        <v>207</v>
      </c>
      <c r="E235" s="9" t="str">
        <f aca="false">IF(D235="?OLD","!!!","")</f>
        <v/>
      </c>
      <c r="F235" s="10" t="str">
        <f aca="false">IF(OR(E235="",E235="!!!"),"",IF(NOT(ISNA(VLOOKUP(E235,E$1:E234,1,FALSE()))),"OLD",IF(AND(E235&lt;&gt;"",E235&lt;&gt;"!!!"),"NEW","")))</f>
        <v/>
      </c>
      <c r="G235" s="11" t="str">
        <f aca="false">IF(OR(E235="",E235="!!!"),"",IF(OR(J235=0,AND(J235=1,K235=1),AND(J235=1,I235="SBJ"),AND(J235=1,I235=0)),"?IN_FOCUS",IF(J235&lt;=2,"?ACTIVATED",IF(J235&lt;&gt;"","?FAMILIAR",IF(F235="NEW",IF(ISNA(VLOOKUP(E235,#REF!,1,FALSE())),"?TYPE_IDENTIFIABLE","?REFERENTIAL"),"_")))))</f>
        <v/>
      </c>
      <c r="H235" s="12" t="str">
        <f aca="false">IF(J235&lt;&gt;1,"",IF(I235="SBJ","CB","?"))</f>
        <v/>
      </c>
      <c r="I235" s="13" t="str">
        <f aca="false">IF(OR(E235="",E235="!!!",F235="NEW"),"",INDEX(B$2:B234,-1+SUMPRODUCT(MAX(ROW(E$2:E234)*(E235=E$2:E234)))))</f>
        <v/>
      </c>
      <c r="J235" s="14" t="str">
        <f aca="true">IF(OR(E235="",E235="!!!",F235="NEW"),"",COUNTBLANK(OFFSET(A$1,,,SUMPRODUCT(MAX(ROW(E$2:E235)*(E235=E$2:E235)))))-COUNTBLANK(OFFSET(A$1,,,SUMPRODUCT(MAX(ROW(E$1:E234)*(E235=E$1:E234))))))</f>
        <v/>
      </c>
      <c r="K235" s="14" t="str">
        <f aca="false">IF(OR(E235="",E235="!!!",F235="NEW"),"",INDEX(J$1:J234,SUMPRODUCT(MAX(ROW(E$1:E234)*(E235=E$1:E234)))))</f>
        <v/>
      </c>
      <c r="L235" s="15"/>
    </row>
    <row r="236" customFormat="false" ht="12.75" hidden="false" customHeight="false" outlineLevel="0" collapsed="false">
      <c r="A236" s="0" t="s">
        <v>208</v>
      </c>
      <c r="B236" s="0" t="s">
        <v>28</v>
      </c>
      <c r="C236" s="0" t="s">
        <v>55</v>
      </c>
      <c r="D236" s="0" t="s">
        <v>29</v>
      </c>
      <c r="E236" s="9" t="s">
        <v>143</v>
      </c>
      <c r="F236" s="10" t="str">
        <f aca="false">IF(OR(E236="",E236="!!!"),"",IF(NOT(ISNA(VLOOKUP(E236,E$1:E235,1,FALSE()))),"OLD",IF(AND(E236&lt;&gt;"",E236&lt;&gt;"!!!"),"NEW","")))</f>
        <v>OLD</v>
      </c>
      <c r="G236" s="11" t="s">
        <v>80</v>
      </c>
      <c r="H236" s="12" t="s">
        <v>7</v>
      </c>
      <c r="I236" s="13" t="str">
        <f aca="false">IF(OR(E236="",E236="!!!",F236="NEW"),"",INDEX(B$2:B235,-1+SUMPRODUCT(MAX(ROW(E$2:E235)*(E236=E$2:E235)))))</f>
        <v>other_4</v>
      </c>
      <c r="J236" s="14" t="n">
        <f aca="true">IF(OR(E236="",E236="!!!",F236="NEW"),"",COUNTBLANK(OFFSET(A$1,,,SUMPRODUCT(MAX(ROW(E$2:E236)*(E236=E$2:E236)))))-COUNTBLANK(OFFSET(A$1,,,SUMPRODUCT(MAX(ROW(E$1:E235)*(E236=E$1:E235))))))</f>
        <v>1</v>
      </c>
      <c r="K236" s="14" t="n">
        <f aca="false">IF(OR(E236="",E236="!!!",F236="NEW"),"",INDEX(J$1:J235,SUMPRODUCT(MAX(ROW(E$1:E235)*(E236=E$1:E235)))))</f>
        <v>0</v>
      </c>
      <c r="L236" s="15"/>
    </row>
    <row r="237" customFormat="false" ht="12.75" hidden="false" customHeight="false" outlineLevel="0" collapsed="false">
      <c r="A237" s="0" t="s">
        <v>209</v>
      </c>
      <c r="B237" s="0" t="s">
        <v>14</v>
      </c>
      <c r="C237" s="0" t="s">
        <v>15</v>
      </c>
      <c r="D237" s="0" t="s">
        <v>29</v>
      </c>
      <c r="E237" s="9" t="s">
        <v>68</v>
      </c>
      <c r="F237" s="10" t="s">
        <v>69</v>
      </c>
      <c r="G237" s="11"/>
      <c r="H237" s="12" t="s">
        <v>210</v>
      </c>
      <c r="I237" s="13" t="str">
        <f aca="false">IF(OR(E237="",E237="!!!",F237="NEW"),"",INDEX(B$2:B236,-1+SUMPRODUCT(MAX(ROW(E$2:E236)*(E237=E$2:E236)))))</f>
        <v>other_3</v>
      </c>
      <c r="J237" s="14" t="n">
        <f aca="true">IF(OR(E237="",E237="!!!",F237="NEW"),"",COUNTBLANK(OFFSET(A$1,,,SUMPRODUCT(MAX(ROW(E$2:E237)*(E237=E$2:E237)))))-COUNTBLANK(OFFSET(A$1,,,SUMPRODUCT(MAX(ROW(E$1:E236)*(E237=E$1:E236))))))</f>
        <v>1</v>
      </c>
      <c r="K237" s="14" t="n">
        <f aca="false">IF(OR(E237="",E237="!!!",F237="NEW"),"",INDEX(J$1:J236,SUMPRODUCT(MAX(ROW(E$1:E236)*(E237=E$1:E236)))))</f>
        <v>0</v>
      </c>
      <c r="L237" s="15"/>
    </row>
    <row r="238" customFormat="false" ht="12.75" hidden="false" customHeight="false" outlineLevel="0" collapsed="false">
      <c r="A238" s="0" t="s">
        <v>48</v>
      </c>
      <c r="E238" s="9" t="str">
        <f aca="false">IF(D238="?OLD","!!!","")</f>
        <v/>
      </c>
      <c r="F238" s="10" t="str">
        <f aca="false">IF(OR(E238="",E238="!!!"),"",IF(NOT(ISNA(VLOOKUP(E238,E$1:E237,1,FALSE()))),"OLD",IF(AND(E238&lt;&gt;"",E238&lt;&gt;"!!!"),"NEW","")))</f>
        <v/>
      </c>
      <c r="G238" s="11" t="str">
        <f aca="false">IF(OR(E238="",E238="!!!"),"",IF(OR(J238=0,AND(J238=1,K238=1),AND(J238=1,I238="SBJ"),AND(J238=1,I238=0)),"?IN_FOCUS",IF(J238&lt;=2,"?ACTIVATED",IF(J238&lt;&gt;"","?FAMILIAR",IF(F238="NEW",IF(ISNA(VLOOKUP(E238,#REF!,1,FALSE())),"?TYPE_IDENTIFIABLE","?REFERENTIAL"),"_")))))</f>
        <v/>
      </c>
      <c r="H238" s="12" t="str">
        <f aca="false">IF(J238&lt;&gt;1,"",IF(I238="SBJ","CB","?"))</f>
        <v/>
      </c>
      <c r="I238" s="13" t="str">
        <f aca="false">IF(OR(E238="",E238="!!!",F238="NEW"),"",INDEX(B$2:B237,-1+SUMPRODUCT(MAX(ROW(E$2:E237)*(E238=E$2:E237)))))</f>
        <v/>
      </c>
      <c r="J238" s="14" t="str">
        <f aca="true">IF(OR(E238="",E238="!!!",F238="NEW"),"",COUNTBLANK(OFFSET(A$1,,,SUMPRODUCT(MAX(ROW(E$2:E238)*(E238=E$2:E238)))))-COUNTBLANK(OFFSET(A$1,,,SUMPRODUCT(MAX(ROW(E$1:E237)*(E238=E$1:E237))))))</f>
        <v/>
      </c>
      <c r="K238" s="14" t="str">
        <f aca="false">IF(OR(E238="",E238="!!!",F238="NEW"),"",INDEX(J$1:J237,SUMPRODUCT(MAX(ROW(E$1:E237)*(E238=E$1:E237)))))</f>
        <v/>
      </c>
      <c r="L238" s="15"/>
    </row>
    <row r="239" customFormat="false" ht="12.75" hidden="false" customHeight="false" outlineLevel="0" collapsed="false">
      <c r="A239" s="0" t="s">
        <v>211</v>
      </c>
      <c r="E239" s="9" t="str">
        <f aca="false">IF(D239="?OLD","!!!","")</f>
        <v/>
      </c>
      <c r="F239" s="10" t="str">
        <f aca="false">IF(OR(E239="",E239="!!!"),"",IF(NOT(ISNA(VLOOKUP(E239,E$1:E238,1,FALSE()))),"OLD",IF(AND(E239&lt;&gt;"",E239&lt;&gt;"!!!"),"NEW","")))</f>
        <v/>
      </c>
      <c r="G239" s="11" t="str">
        <f aca="false">IF(OR(E239="",E239="!!!"),"",IF(OR(J239=0,AND(J239=1,K239=1),AND(J239=1,I239="SBJ"),AND(J239=1,I239=0)),"?IN_FOCUS",IF(J239&lt;=2,"?ACTIVATED",IF(J239&lt;&gt;"","?FAMILIAR",IF(F239="NEW",IF(ISNA(VLOOKUP(E239,#REF!,1,FALSE())),"?TYPE_IDENTIFIABLE","?REFERENTIAL"),"_")))))</f>
        <v/>
      </c>
      <c r="H239" s="12" t="str">
        <f aca="false">IF(J239&lt;&gt;1,"",IF(I239="SBJ","CB","?"))</f>
        <v/>
      </c>
      <c r="I239" s="13" t="str">
        <f aca="false">IF(OR(E239="",E239="!!!",F239="NEW"),"",INDEX(B$2:B238,-1+SUMPRODUCT(MAX(ROW(E$2:E238)*(E239=E$2:E238)))))</f>
        <v/>
      </c>
      <c r="J239" s="14" t="str">
        <f aca="true">IF(OR(E239="",E239="!!!",F239="NEW"),"",COUNTBLANK(OFFSET(A$1,,,SUMPRODUCT(MAX(ROW(E$2:E239)*(E239=E$2:E239)))))-COUNTBLANK(OFFSET(A$1,,,SUMPRODUCT(MAX(ROW(E$1:E238)*(E239=E$1:E238))))))</f>
        <v/>
      </c>
      <c r="K239" s="14" t="str">
        <f aca="false">IF(OR(E239="",E239="!!!",F239="NEW"),"",INDEX(J$1:J238,SUMPRODUCT(MAX(ROW(E$1:E238)*(E239=E$1:E238)))))</f>
        <v/>
      </c>
      <c r="L239" s="15"/>
    </row>
    <row r="240" customFormat="false" ht="12.75" hidden="false" customHeight="false" outlineLevel="0" collapsed="false">
      <c r="A240" s="0" t="s">
        <v>212</v>
      </c>
      <c r="E240" s="9" t="str">
        <f aca="false">IF(D240="?OLD","!!!","")</f>
        <v/>
      </c>
      <c r="F240" s="10" t="str">
        <f aca="false">IF(OR(E240="",E240="!!!"),"",IF(NOT(ISNA(VLOOKUP(E240,E$1:E239,1,FALSE()))),"OLD",IF(AND(E240&lt;&gt;"",E240&lt;&gt;"!!!"),"NEW","")))</f>
        <v/>
      </c>
      <c r="G240" s="11" t="str">
        <f aca="false">IF(OR(E240="",E240="!!!"),"",IF(OR(J240=0,AND(J240=1,K240=1),AND(J240=1,I240="SBJ"),AND(J240=1,I240=0)),"?IN_FOCUS",IF(J240&lt;=2,"?ACTIVATED",IF(J240&lt;&gt;"","?FAMILIAR",IF(F240="NEW",IF(ISNA(VLOOKUP(E240,#REF!,1,FALSE())),"?TYPE_IDENTIFIABLE","?REFERENTIAL"),"_")))))</f>
        <v/>
      </c>
      <c r="H240" s="12" t="str">
        <f aca="false">IF(J240&lt;&gt;1,"",IF(I240="SBJ","CB","?"))</f>
        <v/>
      </c>
      <c r="I240" s="13" t="str">
        <f aca="false">IF(OR(E240="",E240="!!!",F240="NEW"),"",INDEX(B$2:B239,-1+SUMPRODUCT(MAX(ROW(E$2:E239)*(E240=E$2:E239)))))</f>
        <v/>
      </c>
      <c r="J240" s="14" t="str">
        <f aca="true">IF(OR(E240="",E240="!!!",F240="NEW"),"",COUNTBLANK(OFFSET(A$1,,,SUMPRODUCT(MAX(ROW(E$2:E240)*(E240=E$2:E240)))))-COUNTBLANK(OFFSET(A$1,,,SUMPRODUCT(MAX(ROW(E$1:E239)*(E240=E$1:E239))))))</f>
        <v/>
      </c>
      <c r="K240" s="14" t="str">
        <f aca="false">IF(OR(E240="",E240="!!!",F240="NEW"),"",INDEX(J$1:J239,SUMPRODUCT(MAX(ROW(E$1:E239)*(E240=E$1:E239)))))</f>
        <v/>
      </c>
      <c r="L240" s="15"/>
    </row>
    <row r="241" customFormat="false" ht="12.75" hidden="false" customHeight="false" outlineLevel="0" collapsed="false">
      <c r="A241" s="0" t="s">
        <v>66</v>
      </c>
      <c r="E241" s="9" t="str">
        <f aca="false">IF(D241="?OLD","!!!","")</f>
        <v/>
      </c>
      <c r="F241" s="10" t="str">
        <f aca="false">IF(OR(E241="",E241="!!!"),"",IF(NOT(ISNA(VLOOKUP(E241,E$1:E240,1,FALSE()))),"OLD",IF(AND(E241&lt;&gt;"",E241&lt;&gt;"!!!"),"NEW","")))</f>
        <v/>
      </c>
      <c r="G241" s="11" t="str">
        <f aca="false">IF(OR(E241="",E241="!!!"),"",IF(OR(J241=0,AND(J241=1,K241=1),AND(J241=1,I241="SBJ"),AND(J241=1,I241=0)),"?IN_FOCUS",IF(J241&lt;=2,"?ACTIVATED",IF(J241&lt;&gt;"","?FAMILIAR",IF(F241="NEW",IF(ISNA(VLOOKUP(E241,#REF!,1,FALSE())),"?TYPE_IDENTIFIABLE","?REFERENTIAL"),"_")))))</f>
        <v/>
      </c>
      <c r="H241" s="12" t="str">
        <f aca="false">IF(J241&lt;&gt;1,"",IF(I241="SBJ","CB","?"))</f>
        <v/>
      </c>
      <c r="I241" s="13" t="str">
        <f aca="false">IF(OR(E241="",E241="!!!",F241="NEW"),"",INDEX(B$2:B240,-1+SUMPRODUCT(MAX(ROW(E$2:E240)*(E241=E$2:E240)))))</f>
        <v/>
      </c>
      <c r="J241" s="14" t="str">
        <f aca="true">IF(OR(E241="",E241="!!!",F241="NEW"),"",COUNTBLANK(OFFSET(A$1,,,SUMPRODUCT(MAX(ROW(E$2:E241)*(E241=E$2:E241)))))-COUNTBLANK(OFFSET(A$1,,,SUMPRODUCT(MAX(ROW(E$1:E240)*(E241=E$1:E240))))))</f>
        <v/>
      </c>
      <c r="K241" s="14" t="str">
        <f aca="false">IF(OR(E241="",E241="!!!",F241="NEW"),"",INDEX(J$1:J240,SUMPRODUCT(MAX(ROW(E$1:E240)*(E241=E$1:E240)))))</f>
        <v/>
      </c>
      <c r="L241" s="15"/>
    </row>
    <row r="242" customFormat="false" ht="12.75" hidden="false" customHeight="false" outlineLevel="0" collapsed="false">
      <c r="A242" s="0" t="s">
        <v>213</v>
      </c>
      <c r="B242" s="0" t="s">
        <v>62</v>
      </c>
      <c r="C242" s="0" t="s">
        <v>111</v>
      </c>
      <c r="D242" s="0" t="s">
        <v>29</v>
      </c>
      <c r="E242" s="9" t="s">
        <v>68</v>
      </c>
      <c r="F242" s="10" t="s">
        <v>69</v>
      </c>
      <c r="G242" s="11"/>
      <c r="H242" s="12" t="str">
        <f aca="false">IF(J242&lt;&gt;1,"",IF(I242="SBJ","CB","?"))</f>
        <v/>
      </c>
      <c r="I242" s="13" t="str">
        <f aca="false">IF(OR(E242="",E242="!!!",F242="NEW"),"",INDEX(B$2:B241,-1+SUMPRODUCT(MAX(ROW(E$2:E241)*(E242=E$2:E241)))))</f>
        <v>SBJ</v>
      </c>
      <c r="J242" s="14" t="n">
        <f aca="true">IF(OR(E242="",E242="!!!",F242="NEW"),"",COUNTBLANK(OFFSET(A$1,,,SUMPRODUCT(MAX(ROW(E$2:E242)*(E242=E$2:E242)))))-COUNTBLANK(OFFSET(A$1,,,SUMPRODUCT(MAX(ROW(E$1:E241)*(E242=E$1:E241))))))</f>
        <v>0</v>
      </c>
      <c r="K242" s="14" t="n">
        <f aca="false">IF(OR(E242="",E242="!!!",F242="NEW"),"",INDEX(J$1:J241,SUMPRODUCT(MAX(ROW(E$1:E241)*(E242=E$1:E241)))))</f>
        <v>1</v>
      </c>
      <c r="L242" s="15"/>
    </row>
    <row r="243" customFormat="false" ht="12.75" hidden="false" customHeight="false" outlineLevel="0" collapsed="false">
      <c r="A243" s="0" t="s">
        <v>19</v>
      </c>
      <c r="E243" s="9" t="str">
        <f aca="false">IF(D243="?OLD","!!!","")</f>
        <v/>
      </c>
      <c r="F243" s="10" t="str">
        <f aca="false">IF(OR(E243="",E243="!!!"),"",IF(NOT(ISNA(VLOOKUP(E243,E$1:E242,1,FALSE()))),"OLD",IF(AND(E243&lt;&gt;"",E243&lt;&gt;"!!!"),"NEW","")))</f>
        <v/>
      </c>
      <c r="G243" s="11" t="str">
        <f aca="false">IF(OR(E243="",E243="!!!"),"",IF(OR(J243=0,AND(J243=1,K243=1),AND(J243=1,I243="SBJ"),AND(J243=1,I243=0)),"?IN_FOCUS",IF(J243&lt;=2,"?ACTIVATED",IF(J243&lt;&gt;"","?FAMILIAR",IF(F243="NEW",IF(ISNA(VLOOKUP(E243,#REF!,1,FALSE())),"?TYPE_IDENTIFIABLE","?REFERENTIAL"),"_")))))</f>
        <v/>
      </c>
      <c r="H243" s="12" t="str">
        <f aca="false">IF(J243&lt;&gt;1,"",IF(I243="SBJ","CB","?"))</f>
        <v/>
      </c>
      <c r="I243" s="13" t="str">
        <f aca="false">IF(OR(E243="",E243="!!!",F243="NEW"),"",INDEX(B$2:B242,-1+SUMPRODUCT(MAX(ROW(E$2:E242)*(E243=E$2:E242)))))</f>
        <v/>
      </c>
      <c r="J243" s="14" t="str">
        <f aca="true">IF(OR(E243="",E243="!!!",F243="NEW"),"",COUNTBLANK(OFFSET(A$1,,,SUMPRODUCT(MAX(ROW(E$2:E243)*(E243=E$2:E243)))))-COUNTBLANK(OFFSET(A$1,,,SUMPRODUCT(MAX(ROW(E$1:E242)*(E243=E$1:E242))))))</f>
        <v/>
      </c>
      <c r="K243" s="14" t="str">
        <f aca="false">IF(OR(E243="",E243="!!!",F243="NEW"),"",INDEX(J$1:J242,SUMPRODUCT(MAX(ROW(E$1:E242)*(E243=E$1:E242)))))</f>
        <v/>
      </c>
      <c r="L243" s="15"/>
    </row>
    <row r="244" customFormat="false" ht="12.75" hidden="false" customHeight="false" outlineLevel="0" collapsed="false">
      <c r="A244" s="0" t="s">
        <v>66</v>
      </c>
      <c r="E244" s="9" t="str">
        <f aca="false">IF(D244="?OLD","!!!","")</f>
        <v/>
      </c>
      <c r="F244" s="10" t="str">
        <f aca="false">IF(OR(E244="",E244="!!!"),"",IF(NOT(ISNA(VLOOKUP(E244,E$1:E243,1,FALSE()))),"OLD",IF(AND(E244&lt;&gt;"",E244&lt;&gt;"!!!"),"NEW","")))</f>
        <v/>
      </c>
      <c r="G244" s="11" t="str">
        <f aca="false">IF(OR(E244="",E244="!!!"),"",IF(OR(J244=0,AND(J244=1,K244=1),AND(J244=1,I244="SBJ"),AND(J244=1,I244=0)),"?IN_FOCUS",IF(J244&lt;=2,"?ACTIVATED",IF(J244&lt;&gt;"","?FAMILIAR",IF(F244="NEW",IF(ISNA(VLOOKUP(E244,#REF!,1,FALSE())),"?TYPE_IDENTIFIABLE","?REFERENTIAL"),"_")))))</f>
        <v/>
      </c>
      <c r="H244" s="12" t="str">
        <f aca="false">IF(J244&lt;&gt;1,"",IF(I244="SBJ","CB","?"))</f>
        <v/>
      </c>
      <c r="I244" s="13" t="str">
        <f aca="false">IF(OR(E244="",E244="!!!",F244="NEW"),"",INDEX(B$2:B243,-1+SUMPRODUCT(MAX(ROW(E$2:E243)*(E244=E$2:E243)))))</f>
        <v/>
      </c>
      <c r="J244" s="14" t="str">
        <f aca="true">IF(OR(E244="",E244="!!!",F244="NEW"),"",COUNTBLANK(OFFSET(A$1,,,SUMPRODUCT(MAX(ROW(E$2:E244)*(E244=E$2:E244)))))-COUNTBLANK(OFFSET(A$1,,,SUMPRODUCT(MAX(ROW(E$1:E243)*(E244=E$1:E243))))))</f>
        <v/>
      </c>
      <c r="K244" s="14" t="str">
        <f aca="false">IF(OR(E244="",E244="!!!",F244="NEW"),"",INDEX(J$1:J243,SUMPRODUCT(MAX(ROW(E$1:E243)*(E244=E$1:E243)))))</f>
        <v/>
      </c>
      <c r="L244" s="15"/>
    </row>
    <row r="245" customFormat="false" ht="12.75" hidden="false" customHeight="false" outlineLevel="0" collapsed="false">
      <c r="A245" s="0" t="s">
        <v>214</v>
      </c>
      <c r="B245" s="0" t="s">
        <v>28</v>
      </c>
      <c r="C245" s="0" t="s">
        <v>111</v>
      </c>
      <c r="D245" s="0" t="s">
        <v>29</v>
      </c>
      <c r="E245" s="9" t="s">
        <v>68</v>
      </c>
      <c r="F245" s="10" t="s">
        <v>69</v>
      </c>
      <c r="G245" s="11"/>
      <c r="H245" s="12" t="str">
        <f aca="false">IF(J245&lt;&gt;1,"",IF(I245="SBJ","CB","?"))</f>
        <v/>
      </c>
      <c r="I245" s="13" t="str">
        <f aca="false">IF(OR(E245="",E245="!!!",F245="NEW"),"",INDEX(B$2:B244,-1+SUMPRODUCT(MAX(ROW(E$2:E244)*(E245=E$2:E244)))))</f>
        <v>other</v>
      </c>
      <c r="J245" s="14" t="n">
        <f aca="true">IF(OR(E245="",E245="!!!",F245="NEW"),"",COUNTBLANK(OFFSET(A$1,,,SUMPRODUCT(MAX(ROW(E$2:E245)*(E245=E$2:E245)))))-COUNTBLANK(OFFSET(A$1,,,SUMPRODUCT(MAX(ROW(E$1:E244)*(E245=E$1:E244))))))</f>
        <v>0</v>
      </c>
      <c r="K245" s="14" t="n">
        <f aca="false">IF(OR(E245="",E245="!!!",F245="NEW"),"",INDEX(J$1:J244,SUMPRODUCT(MAX(ROW(E$1:E244)*(E245=E$1:E244)))))</f>
        <v>0</v>
      </c>
      <c r="L245" s="15"/>
    </row>
    <row r="246" customFormat="false" ht="12.75" hidden="false" customHeight="false" outlineLevel="0" collapsed="false">
      <c r="A246" s="0" t="s">
        <v>19</v>
      </c>
      <c r="E246" s="9" t="str">
        <f aca="false">IF(D246="?OLD","!!!","")</f>
        <v/>
      </c>
      <c r="F246" s="10" t="str">
        <f aca="false">IF(OR(E246="",E246="!!!"),"",IF(NOT(ISNA(VLOOKUP(E246,E$1:E245,1,FALSE()))),"OLD",IF(AND(E246&lt;&gt;"",E246&lt;&gt;"!!!"),"NEW","")))</f>
        <v/>
      </c>
      <c r="G246" s="11" t="str">
        <f aca="false">IF(OR(E246="",E246="!!!"),"",IF(OR(J246=0,AND(J246=1,K246=1),AND(J246=1,I246="SBJ"),AND(J246=1,I246=0)),"?IN_FOCUS",IF(J246&lt;=2,"?ACTIVATED",IF(J246&lt;&gt;"","?FAMILIAR",IF(F246="NEW",IF(ISNA(VLOOKUP(E246,#REF!,1,FALSE())),"?TYPE_IDENTIFIABLE","?REFERENTIAL"),"_")))))</f>
        <v/>
      </c>
      <c r="H246" s="12" t="str">
        <f aca="false">IF(J246&lt;&gt;1,"",IF(I246="SBJ","CB","?"))</f>
        <v/>
      </c>
      <c r="I246" s="13" t="str">
        <f aca="false">IF(OR(E246="",E246="!!!",F246="NEW"),"",INDEX(B$2:B245,-1+SUMPRODUCT(MAX(ROW(E$2:E245)*(E246=E$2:E245)))))</f>
        <v/>
      </c>
      <c r="J246" s="14" t="str">
        <f aca="true">IF(OR(E246="",E246="!!!",F246="NEW"),"",COUNTBLANK(OFFSET(A$1,,,SUMPRODUCT(MAX(ROW(E$2:E246)*(E246=E$2:E246)))))-COUNTBLANK(OFFSET(A$1,,,SUMPRODUCT(MAX(ROW(E$1:E245)*(E246=E$1:E245))))))</f>
        <v/>
      </c>
      <c r="K246" s="14" t="str">
        <f aca="false">IF(OR(E246="",E246="!!!",F246="NEW"),"",INDEX(J$1:J245,SUMPRODUCT(MAX(ROW(E$1:E245)*(E246=E$1:E245)))))</f>
        <v/>
      </c>
      <c r="L246" s="15"/>
    </row>
    <row r="247" customFormat="false" ht="12.75" hidden="false" customHeight="false" outlineLevel="0" collapsed="false">
      <c r="A247" s="0" t="s">
        <v>66</v>
      </c>
      <c r="E247" s="9" t="str">
        <f aca="false">IF(D247="?OLD","!!!","")</f>
        <v/>
      </c>
      <c r="F247" s="10" t="str">
        <f aca="false">IF(OR(E247="",E247="!!!"),"",IF(NOT(ISNA(VLOOKUP(E247,E$1:E246,1,FALSE()))),"OLD",IF(AND(E247&lt;&gt;"",E247&lt;&gt;"!!!"),"NEW","")))</f>
        <v/>
      </c>
      <c r="G247" s="11" t="str">
        <f aca="false">IF(OR(E247="",E247="!!!"),"",IF(OR(J247=0,AND(J247=1,K247=1),AND(J247=1,I247="SBJ"),AND(J247=1,I247=0)),"?IN_FOCUS",IF(J247&lt;=2,"?ACTIVATED",IF(J247&lt;&gt;"","?FAMILIAR",IF(F247="NEW",IF(ISNA(VLOOKUP(E247,#REF!,1,FALSE())),"?TYPE_IDENTIFIABLE","?REFERENTIAL"),"_")))))</f>
        <v/>
      </c>
      <c r="H247" s="12" t="str">
        <f aca="false">IF(J247&lt;&gt;1,"",IF(I247="SBJ","CB","?"))</f>
        <v/>
      </c>
      <c r="I247" s="13" t="str">
        <f aca="false">IF(OR(E247="",E247="!!!",F247="NEW"),"",INDEX(B$2:B246,-1+SUMPRODUCT(MAX(ROW(E$2:E246)*(E247=E$2:E246)))))</f>
        <v/>
      </c>
      <c r="J247" s="14" t="str">
        <f aca="true">IF(OR(E247="",E247="!!!",F247="NEW"),"",COUNTBLANK(OFFSET(A$1,,,SUMPRODUCT(MAX(ROW(E$2:E247)*(E247=E$2:E247)))))-COUNTBLANK(OFFSET(A$1,,,SUMPRODUCT(MAX(ROW(E$1:E246)*(E247=E$1:E246))))))</f>
        <v/>
      </c>
      <c r="K247" s="14" t="str">
        <f aca="false">IF(OR(E247="",E247="!!!",F247="NEW"),"",INDEX(J$1:J246,SUMPRODUCT(MAX(ROW(E$1:E246)*(E247=E$1:E246)))))</f>
        <v/>
      </c>
      <c r="L247" s="15"/>
    </row>
    <row r="248" customFormat="false" ht="12.75" hidden="false" customHeight="false" outlineLevel="0" collapsed="false">
      <c r="A248" s="0" t="s">
        <v>215</v>
      </c>
      <c r="E248" s="9" t="str">
        <f aca="false">IF(D248="?OLD","!!!","")</f>
        <v/>
      </c>
      <c r="F248" s="10" t="str">
        <f aca="false">IF(OR(E248="",E248="!!!"),"",IF(NOT(ISNA(VLOOKUP(E248,E$1:E247,1,FALSE()))),"OLD",IF(AND(E248&lt;&gt;"",E248&lt;&gt;"!!!"),"NEW","")))</f>
        <v/>
      </c>
      <c r="G248" s="11" t="str">
        <f aca="false">IF(OR(E248="",E248="!!!"),"",IF(OR(J248=0,AND(J248=1,K248=1),AND(J248=1,I248="SBJ"),AND(J248=1,I248=0)),"?IN_FOCUS",IF(J248&lt;=2,"?ACTIVATED",IF(J248&lt;&gt;"","?FAMILIAR",IF(F248="NEW",IF(ISNA(VLOOKUP(E248,#REF!,1,FALSE())),"?TYPE_IDENTIFIABLE","?REFERENTIAL"),"_")))))</f>
        <v/>
      </c>
      <c r="H248" s="12" t="str">
        <f aca="false">IF(J248&lt;&gt;1,"",IF(I248="SBJ","CB","?"))</f>
        <v/>
      </c>
      <c r="I248" s="13" t="str">
        <f aca="false">IF(OR(E248="",E248="!!!",F248="NEW"),"",INDEX(B$2:B247,-1+SUMPRODUCT(MAX(ROW(E$2:E247)*(E248=E$2:E247)))))</f>
        <v/>
      </c>
      <c r="J248" s="14" t="str">
        <f aca="true">IF(OR(E248="",E248="!!!",F248="NEW"),"",COUNTBLANK(OFFSET(A$1,,,SUMPRODUCT(MAX(ROW(E$2:E248)*(E248=E$2:E248)))))-COUNTBLANK(OFFSET(A$1,,,SUMPRODUCT(MAX(ROW(E$1:E247)*(E248=E$1:E247))))))</f>
        <v/>
      </c>
      <c r="K248" s="14" t="str">
        <f aca="false">IF(OR(E248="",E248="!!!",F248="NEW"),"",INDEX(J$1:J247,SUMPRODUCT(MAX(ROW(E$1:E247)*(E248=E$1:E247)))))</f>
        <v/>
      </c>
      <c r="L248" s="15"/>
    </row>
    <row r="249" customFormat="false" ht="12.75" hidden="false" customHeight="false" outlineLevel="0" collapsed="false">
      <c r="A249" s="0" t="s">
        <v>216</v>
      </c>
      <c r="B249" s="0" t="s">
        <v>22</v>
      </c>
      <c r="C249" s="0" t="s">
        <v>111</v>
      </c>
      <c r="D249" s="0" t="s">
        <v>29</v>
      </c>
      <c r="E249" s="9" t="s">
        <v>68</v>
      </c>
      <c r="F249" s="10" t="s">
        <v>69</v>
      </c>
      <c r="G249" s="11"/>
      <c r="H249" s="12" t="str">
        <f aca="false">IF(J249&lt;&gt;1,"",IF(I249="SBJ","CB","?"))</f>
        <v/>
      </c>
      <c r="I249" s="13" t="str">
        <f aca="false">IF(OR(E249="",E249="!!!",F249="NEW"),"",INDEX(B$2:B248,-1+SUMPRODUCT(MAX(ROW(E$2:E248)*(E249=E$2:E248)))))</f>
        <v>other_2</v>
      </c>
      <c r="J249" s="14" t="n">
        <f aca="true">IF(OR(E249="",E249="!!!",F249="NEW"),"",COUNTBLANK(OFFSET(A$1,,,SUMPRODUCT(MAX(ROW(E$2:E249)*(E249=E$2:E249)))))-COUNTBLANK(OFFSET(A$1,,,SUMPRODUCT(MAX(ROW(E$1:E248)*(E249=E$1:E248))))))</f>
        <v>0</v>
      </c>
      <c r="K249" s="14" t="n">
        <f aca="false">IF(OR(E249="",E249="!!!",F249="NEW"),"",INDEX(J$1:J248,SUMPRODUCT(MAX(ROW(E$1:E248)*(E249=E$1:E248)))))</f>
        <v>0</v>
      </c>
      <c r="L249" s="15"/>
    </row>
    <row r="250" customFormat="false" ht="12.75" hidden="false" customHeight="false" outlineLevel="0" collapsed="false">
      <c r="A250" s="0" t="s">
        <v>31</v>
      </c>
      <c r="E250" s="9" t="str">
        <f aca="false">IF(D250="?OLD","!!!","")</f>
        <v/>
      </c>
      <c r="F250" s="10" t="str">
        <f aca="false">IF(OR(E250="",E250="!!!"),"",IF(NOT(ISNA(VLOOKUP(E250,E$1:E249,1,FALSE()))),"OLD",IF(AND(E250&lt;&gt;"",E250&lt;&gt;"!!!"),"NEW","")))</f>
        <v/>
      </c>
      <c r="G250" s="11" t="str">
        <f aca="false">IF(OR(E250="",E250="!!!"),"",IF(OR(J250=0,AND(J250=1,K250=1),AND(J250=1,I250="SBJ"),AND(J250=1,I250=0)),"?IN_FOCUS",IF(J250&lt;=2,"?ACTIVATED",IF(J250&lt;&gt;"","?FAMILIAR",IF(F250="NEW",IF(ISNA(VLOOKUP(E250,#REF!,1,FALSE())),"?TYPE_IDENTIFIABLE","?REFERENTIAL"),"_")))))</f>
        <v/>
      </c>
      <c r="H250" s="12" t="str">
        <f aca="false">IF(J250&lt;&gt;1,"",IF(I250="SBJ","CB","?"))</f>
        <v/>
      </c>
      <c r="I250" s="13" t="str">
        <f aca="false">IF(OR(E250="",E250="!!!",F250="NEW"),"",INDEX(B$2:B249,-1+SUMPRODUCT(MAX(ROW(E$2:E249)*(E250=E$2:E249)))))</f>
        <v/>
      </c>
      <c r="J250" s="14" t="str">
        <f aca="true">IF(OR(E250="",E250="!!!",F250="NEW"),"",COUNTBLANK(OFFSET(A$1,,,SUMPRODUCT(MAX(ROW(E$2:E250)*(E250=E$2:E250)))))-COUNTBLANK(OFFSET(A$1,,,SUMPRODUCT(MAX(ROW(E$1:E249)*(E250=E$1:E249))))))</f>
        <v/>
      </c>
      <c r="K250" s="14" t="str">
        <f aca="false">IF(OR(E250="",E250="!!!",F250="NEW"),"",INDEX(J$1:J249,SUMPRODUCT(MAX(ROW(E$1:E249)*(E250=E$1:E249)))))</f>
        <v/>
      </c>
      <c r="L250" s="15"/>
    </row>
    <row r="251" customFormat="false" ht="12.75" hidden="false" customHeight="false" outlineLevel="0" collapsed="false">
      <c r="A251" s="0" t="s">
        <v>130</v>
      </c>
      <c r="E251" s="9" t="str">
        <f aca="false">IF(D251="?OLD","!!!","")</f>
        <v/>
      </c>
      <c r="F251" s="10" t="str">
        <f aca="false">IF(OR(E251="",E251="!!!"),"",IF(NOT(ISNA(VLOOKUP(E251,E$1:E250,1,FALSE()))),"OLD",IF(AND(E251&lt;&gt;"",E251&lt;&gt;"!!!"),"NEW","")))</f>
        <v/>
      </c>
      <c r="G251" s="11" t="str">
        <f aca="false">IF(OR(E251="",E251="!!!"),"",IF(OR(J251=0,AND(J251=1,K251=1),AND(J251=1,I251="SBJ"),AND(J251=1,I251=0)),"?IN_FOCUS",IF(J251&lt;=2,"?ACTIVATED",IF(J251&lt;&gt;"","?FAMILIAR",IF(F251="NEW",IF(ISNA(VLOOKUP(E251,#REF!,1,FALSE())),"?TYPE_IDENTIFIABLE","?REFERENTIAL"),"_")))))</f>
        <v/>
      </c>
      <c r="H251" s="12" t="str">
        <f aca="false">IF(J251&lt;&gt;1,"",IF(I251="SBJ","CB","?"))</f>
        <v/>
      </c>
      <c r="I251" s="13" t="str">
        <f aca="false">IF(OR(E251="",E251="!!!",F251="NEW"),"",INDEX(B$2:B250,-1+SUMPRODUCT(MAX(ROW(E$2:E250)*(E251=E$2:E250)))))</f>
        <v/>
      </c>
      <c r="J251" s="14" t="str">
        <f aca="true">IF(OR(E251="",E251="!!!",F251="NEW"),"",COUNTBLANK(OFFSET(A$1,,,SUMPRODUCT(MAX(ROW(E$2:E251)*(E251=E$2:E251)))))-COUNTBLANK(OFFSET(A$1,,,SUMPRODUCT(MAX(ROW(E$1:E250)*(E251=E$1:E250))))))</f>
        <v/>
      </c>
      <c r="K251" s="14" t="str">
        <f aca="false">IF(OR(E251="",E251="!!!",F251="NEW"),"",INDEX(J$1:J250,SUMPRODUCT(MAX(ROW(E$1:E250)*(E251=E$1:E250)))))</f>
        <v/>
      </c>
      <c r="L251" s="15"/>
    </row>
    <row r="252" customFormat="false" ht="12.75" hidden="false" customHeight="false" outlineLevel="0" collapsed="false">
      <c r="A252" s="0" t="s">
        <v>45</v>
      </c>
      <c r="E252" s="9" t="str">
        <f aca="false">IF(D252="?OLD","!!!","")</f>
        <v/>
      </c>
      <c r="F252" s="10" t="str">
        <f aca="false">IF(OR(E252="",E252="!!!"),"",IF(NOT(ISNA(VLOOKUP(E252,E$1:E251,1,FALSE()))),"OLD",IF(AND(E252&lt;&gt;"",E252&lt;&gt;"!!!"),"NEW","")))</f>
        <v/>
      </c>
      <c r="G252" s="11" t="str">
        <f aca="false">IF(OR(E252="",E252="!!!"),"",IF(OR(J252=0,AND(J252=1,K252=1),AND(J252=1,I252="SBJ"),AND(J252=1,I252=0)),"?IN_FOCUS",IF(J252&lt;=2,"?ACTIVATED",IF(J252&lt;&gt;"","?FAMILIAR",IF(F252="NEW",IF(ISNA(VLOOKUP(E252,#REF!,1,FALSE())),"?TYPE_IDENTIFIABLE","?REFERENTIAL"),"_")))))</f>
        <v/>
      </c>
      <c r="H252" s="12" t="str">
        <f aca="false">IF(J252&lt;&gt;1,"",IF(I252="SBJ","CB","?"))</f>
        <v/>
      </c>
      <c r="I252" s="13" t="str">
        <f aca="false">IF(OR(E252="",E252="!!!",F252="NEW"),"",INDEX(B$2:B251,-1+SUMPRODUCT(MAX(ROW(E$2:E251)*(E252=E$2:E251)))))</f>
        <v/>
      </c>
      <c r="J252" s="14" t="str">
        <f aca="true">IF(OR(E252="",E252="!!!",F252="NEW"),"",COUNTBLANK(OFFSET(A$1,,,SUMPRODUCT(MAX(ROW(E$2:E252)*(E252=E$2:E252)))))-COUNTBLANK(OFFSET(A$1,,,SUMPRODUCT(MAX(ROW(E$1:E251)*(E252=E$1:E251))))))</f>
        <v/>
      </c>
      <c r="K252" s="14" t="str">
        <f aca="false">IF(OR(E252="",E252="!!!",F252="NEW"),"",INDEX(J$1:J251,SUMPRODUCT(MAX(ROW(E$1:E251)*(E252=E$1:E251)))))</f>
        <v/>
      </c>
      <c r="L252" s="15"/>
    </row>
    <row r="253" customFormat="false" ht="12.75" hidden="false" customHeight="false" outlineLevel="0" collapsed="false">
      <c r="A253" s="0" t="s">
        <v>147</v>
      </c>
      <c r="B253" s="0" t="s">
        <v>42</v>
      </c>
      <c r="C253" s="0" t="s">
        <v>38</v>
      </c>
      <c r="D253" s="0" t="s">
        <v>29</v>
      </c>
      <c r="E253" s="9" t="s">
        <v>143</v>
      </c>
      <c r="F253" s="10" t="str">
        <f aca="false">IF(OR(E253="",E253="!!!"),"",IF(NOT(ISNA(VLOOKUP(E253,E$1:E252,1,FALSE()))),"OLD",IF(AND(E253&lt;&gt;"",E253&lt;&gt;"!!!"),"NEW","")))</f>
        <v>OLD</v>
      </c>
      <c r="G253" s="11" t="s">
        <v>39</v>
      </c>
      <c r="H253" s="12" t="str">
        <f aca="false">IF(J253&lt;&gt;1,"",IF(I253="SBJ","CB","?"))</f>
        <v/>
      </c>
      <c r="I253" s="13" t="str">
        <f aca="false">IF(OR(E253="",E253="!!!",F253="NEW"),"",INDEX(B$2:B252,-1+SUMPRODUCT(MAX(ROW(E$2:E252)*(E253=E$2:E252)))))</f>
        <v>other_2</v>
      </c>
      <c r="J253" s="14" t="n">
        <f aca="true">IF(OR(E253="",E253="!!!",F253="NEW"),"",COUNTBLANK(OFFSET(A$1,,,SUMPRODUCT(MAX(ROW(E$2:E253)*(E253=E$2:E253)))))-COUNTBLANK(OFFSET(A$1,,,SUMPRODUCT(MAX(ROW(E$1:E252)*(E253=E$1:E252))))))</f>
        <v>0</v>
      </c>
      <c r="K253" s="14" t="n">
        <f aca="false">IF(OR(E253="",E253="!!!",F253="NEW"),"",INDEX(J$1:J252,SUMPRODUCT(MAX(ROW(E$1:E252)*(E253=E$1:E252)))))</f>
        <v>1</v>
      </c>
      <c r="L253" s="15"/>
    </row>
    <row r="254" customFormat="false" ht="12.75" hidden="false" customHeight="false" outlineLevel="0" collapsed="false">
      <c r="A254" s="0" t="s">
        <v>95</v>
      </c>
      <c r="E254" s="9" t="str">
        <f aca="false">IF(D254="?OLD","!!!","")</f>
        <v/>
      </c>
      <c r="F254" s="10" t="str">
        <f aca="false">IF(OR(E254="",E254="!!!"),"",IF(NOT(ISNA(VLOOKUP(E254,E$1:E253,1,FALSE()))),"OLD",IF(AND(E254&lt;&gt;"",E254&lt;&gt;"!!!"),"NEW","")))</f>
        <v/>
      </c>
      <c r="G254" s="11" t="str">
        <f aca="false">IF(OR(E254="",E254="!!!"),"",IF(OR(J254=0,AND(J254=1,K254=1),AND(J254=1,I254="SBJ"),AND(J254=1,I254=0)),"?IN_FOCUS",IF(J254&lt;=2,"?ACTIVATED",IF(J254&lt;&gt;"","?FAMILIAR",IF(F254="NEW",IF(ISNA(VLOOKUP(E254,#REF!,1,FALSE())),"?TYPE_IDENTIFIABLE","?REFERENTIAL"),"_")))))</f>
        <v/>
      </c>
      <c r="H254" s="12" t="str">
        <f aca="false">IF(J254&lt;&gt;1,"",IF(I254="SBJ","CB","?"))</f>
        <v/>
      </c>
      <c r="I254" s="13" t="str">
        <f aca="false">IF(OR(E254="",E254="!!!",F254="NEW"),"",INDEX(B$2:B253,-1+SUMPRODUCT(MAX(ROW(E$2:E253)*(E254=E$2:E253)))))</f>
        <v/>
      </c>
      <c r="J254" s="14" t="str">
        <f aca="true">IF(OR(E254="",E254="!!!",F254="NEW"),"",COUNTBLANK(OFFSET(A$1,,,SUMPRODUCT(MAX(ROW(E$2:E254)*(E254=E$2:E254)))))-COUNTBLANK(OFFSET(A$1,,,SUMPRODUCT(MAX(ROW(E$1:E253)*(E254=E$1:E253))))))</f>
        <v/>
      </c>
      <c r="K254" s="14" t="str">
        <f aca="false">IF(OR(E254="",E254="!!!",F254="NEW"),"",INDEX(J$1:J253,SUMPRODUCT(MAX(ROW(E$1:E253)*(E254=E$1:E253)))))</f>
        <v/>
      </c>
      <c r="L254" s="15"/>
    </row>
    <row r="255" customFormat="false" ht="12.75" hidden="false" customHeight="false" outlineLevel="0" collapsed="false">
      <c r="A255" s="0" t="s">
        <v>217</v>
      </c>
      <c r="E255" s="9" t="str">
        <f aca="false">IF(D255="?OLD","!!!","")</f>
        <v/>
      </c>
      <c r="F255" s="10" t="str">
        <f aca="false">IF(OR(E255="",E255="!!!"),"",IF(NOT(ISNA(VLOOKUP(E255,E$1:E254,1,FALSE()))),"OLD",IF(AND(E255&lt;&gt;"",E255&lt;&gt;"!!!"),"NEW","")))</f>
        <v/>
      </c>
      <c r="G255" s="11" t="str">
        <f aca="false">IF(OR(E255="",E255="!!!"),"",IF(OR(J255=0,AND(J255=1,K255=1),AND(J255=1,I255="SBJ"),AND(J255=1,I255=0)),"?IN_FOCUS",IF(J255&lt;=2,"?ACTIVATED",IF(J255&lt;&gt;"","?FAMILIAR",IF(F255="NEW",IF(ISNA(VLOOKUP(E255,#REF!,1,FALSE())),"?TYPE_IDENTIFIABLE","?REFERENTIAL"),"_")))))</f>
        <v/>
      </c>
      <c r="H255" s="12" t="str">
        <f aca="false">IF(J255&lt;&gt;1,"",IF(I255="SBJ","CB","?"))</f>
        <v/>
      </c>
      <c r="I255" s="13" t="str">
        <f aca="false">IF(OR(E255="",E255="!!!",F255="NEW"),"",INDEX(B$2:B254,-1+SUMPRODUCT(MAX(ROW(E$2:E254)*(E255=E$2:E254)))))</f>
        <v/>
      </c>
      <c r="J255" s="14" t="str">
        <f aca="true">IF(OR(E255="",E255="!!!",F255="NEW"),"",COUNTBLANK(OFFSET(A$1,,,SUMPRODUCT(MAX(ROW(E$2:E255)*(E255=E$2:E255)))))-COUNTBLANK(OFFSET(A$1,,,SUMPRODUCT(MAX(ROW(E$1:E254)*(E255=E$1:E254))))))</f>
        <v/>
      </c>
      <c r="K255" s="14" t="str">
        <f aca="false">IF(OR(E255="",E255="!!!",F255="NEW"),"",INDEX(J$1:J254,SUMPRODUCT(MAX(ROW(E$1:E254)*(E255=E$1:E254)))))</f>
        <v/>
      </c>
      <c r="L255" s="15"/>
    </row>
    <row r="256" customFormat="false" ht="12.75" hidden="false" customHeight="false" outlineLevel="0" collapsed="false">
      <c r="A256" s="0" t="s">
        <v>51</v>
      </c>
      <c r="E256" s="9" t="str">
        <f aca="false">IF(D256="?OLD","!!!","")</f>
        <v/>
      </c>
      <c r="F256" s="10" t="str">
        <f aca="false">IF(OR(E256="",E256="!!!"),"",IF(NOT(ISNA(VLOOKUP(E256,E$1:E255,1,FALSE()))),"OLD",IF(AND(E256&lt;&gt;"",E256&lt;&gt;"!!!"),"NEW","")))</f>
        <v/>
      </c>
      <c r="G256" s="11" t="str">
        <f aca="false">IF(OR(E256="",E256="!!!"),"",IF(OR(J256=0,AND(J256=1,K256=1),AND(J256=1,I256="SBJ"),AND(J256=1,I256=0)),"?IN_FOCUS",IF(J256&lt;=2,"?ACTIVATED",IF(J256&lt;&gt;"","?FAMILIAR",IF(F256="NEW",IF(ISNA(VLOOKUP(E256,#REF!,1,FALSE())),"?TYPE_IDENTIFIABLE","?REFERENTIAL"),"_")))))</f>
        <v/>
      </c>
      <c r="H256" s="12" t="str">
        <f aca="false">IF(J256&lt;&gt;1,"",IF(I256="SBJ","CB","?"))</f>
        <v/>
      </c>
      <c r="I256" s="13" t="str">
        <f aca="false">IF(OR(E256="",E256="!!!",F256="NEW"),"",INDEX(B$2:B255,-1+SUMPRODUCT(MAX(ROW(E$2:E255)*(E256=E$2:E255)))))</f>
        <v/>
      </c>
      <c r="J256" s="14" t="str">
        <f aca="true">IF(OR(E256="",E256="!!!",F256="NEW"),"",COUNTBLANK(OFFSET(A$1,,,SUMPRODUCT(MAX(ROW(E$2:E256)*(E256=E$2:E256)))))-COUNTBLANK(OFFSET(A$1,,,SUMPRODUCT(MAX(ROW(E$1:E255)*(E256=E$1:E255))))))</f>
        <v/>
      </c>
      <c r="K256" s="14" t="str">
        <f aca="false">IF(OR(E256="",E256="!!!",F256="NEW"),"",INDEX(J$1:J255,SUMPRODUCT(MAX(ROW(E$1:E255)*(E256=E$1:E255)))))</f>
        <v/>
      </c>
      <c r="L256" s="15"/>
    </row>
    <row r="257" customFormat="false" ht="12.75" hidden="false" customHeight="false" outlineLevel="0" collapsed="false">
      <c r="A257" s="0" t="s">
        <v>218</v>
      </c>
      <c r="E257" s="9" t="str">
        <f aca="false">IF(D257="?OLD","!!!","")</f>
        <v/>
      </c>
      <c r="F257" s="10" t="str">
        <f aca="false">IF(OR(E257="",E257="!!!"),"",IF(NOT(ISNA(VLOOKUP(E257,E$1:E256,1,FALSE()))),"OLD",IF(AND(E257&lt;&gt;"",E257&lt;&gt;"!!!"),"NEW","")))</f>
        <v/>
      </c>
      <c r="G257" s="11" t="str">
        <f aca="false">IF(OR(E257="",E257="!!!"),"",IF(OR(J257=0,AND(J257=1,K257=1),AND(J257=1,I257="SBJ"),AND(J257=1,I257=0)),"?IN_FOCUS",IF(J257&lt;=2,"?ACTIVATED",IF(J257&lt;&gt;"","?FAMILIAR",IF(F257="NEW",IF(ISNA(VLOOKUP(E257,#REF!,1,FALSE())),"?TYPE_IDENTIFIABLE","?REFERENTIAL"),"_")))))</f>
        <v/>
      </c>
      <c r="H257" s="12" t="str">
        <f aca="false">IF(J257&lt;&gt;1,"",IF(I257="SBJ","CB","?"))</f>
        <v/>
      </c>
      <c r="I257" s="13" t="str">
        <f aca="false">IF(OR(E257="",E257="!!!",F257="NEW"),"",INDEX(B$2:B256,-1+SUMPRODUCT(MAX(ROW(E$2:E256)*(E257=E$2:E256)))))</f>
        <v/>
      </c>
      <c r="J257" s="14" t="str">
        <f aca="true">IF(OR(E257="",E257="!!!",F257="NEW"),"",COUNTBLANK(OFFSET(A$1,,,SUMPRODUCT(MAX(ROW(E$2:E257)*(E257=E$2:E257)))))-COUNTBLANK(OFFSET(A$1,,,SUMPRODUCT(MAX(ROW(E$1:E256)*(E257=E$1:E256))))))</f>
        <v/>
      </c>
      <c r="K257" s="14" t="str">
        <f aca="false">IF(OR(E257="",E257="!!!",F257="NEW"),"",INDEX(J$1:J256,SUMPRODUCT(MAX(ROW(E$1:E256)*(E257=E$1:E256)))))</f>
        <v/>
      </c>
      <c r="L257" s="15"/>
    </row>
    <row r="258" customFormat="false" ht="12.75" hidden="false" customHeight="false" outlineLevel="0" collapsed="false">
      <c r="A258" s="0" t="s">
        <v>19</v>
      </c>
      <c r="E258" s="9" t="str">
        <f aca="false">IF(D258="?OLD","!!!","")</f>
        <v/>
      </c>
      <c r="F258" s="10" t="str">
        <f aca="false">IF(OR(E258="",E258="!!!"),"",IF(NOT(ISNA(VLOOKUP(E258,E$1:E257,1,FALSE()))),"OLD",IF(AND(E258&lt;&gt;"",E258&lt;&gt;"!!!"),"NEW","")))</f>
        <v/>
      </c>
      <c r="G258" s="11" t="str">
        <f aca="false">IF(OR(E258="",E258="!!!"),"",IF(OR(J258=0,AND(J258=1,K258=1),AND(J258=1,I258="SBJ"),AND(J258=1,I258=0)),"?IN_FOCUS",IF(J258&lt;=2,"?ACTIVATED",IF(J258&lt;&gt;"","?FAMILIAR",IF(F258="NEW",IF(ISNA(VLOOKUP(E258,#REF!,1,FALSE())),"?TYPE_IDENTIFIABLE","?REFERENTIAL"),"_")))))</f>
        <v/>
      </c>
      <c r="H258" s="12" t="str">
        <f aca="false">IF(J258&lt;&gt;1,"",IF(I258="SBJ","CB","?"))</f>
        <v/>
      </c>
      <c r="I258" s="13" t="str">
        <f aca="false">IF(OR(E258="",E258="!!!",F258="NEW"),"",INDEX(B$2:B257,-1+SUMPRODUCT(MAX(ROW(E$2:E257)*(E258=E$2:E257)))))</f>
        <v/>
      </c>
      <c r="J258" s="14" t="str">
        <f aca="true">IF(OR(E258="",E258="!!!",F258="NEW"),"",COUNTBLANK(OFFSET(A$1,,,SUMPRODUCT(MAX(ROW(E$2:E258)*(E258=E$2:E258)))))-COUNTBLANK(OFFSET(A$1,,,SUMPRODUCT(MAX(ROW(E$1:E257)*(E258=E$1:E257))))))</f>
        <v/>
      </c>
      <c r="K258" s="14" t="str">
        <f aca="false">IF(OR(E258="",E258="!!!",F258="NEW"),"",INDEX(J$1:J257,SUMPRODUCT(MAX(ROW(E$1:E257)*(E258=E$1:E257)))))</f>
        <v/>
      </c>
      <c r="L258" s="15"/>
    </row>
    <row r="259" customFormat="false" ht="12.75" hidden="false" customHeight="false" outlineLevel="0" collapsed="false">
      <c r="A259" s="0" t="s">
        <v>219</v>
      </c>
      <c r="E259" s="9" t="str">
        <f aca="false">IF(D259="?OLD","!!!","")</f>
        <v/>
      </c>
      <c r="F259" s="10" t="str">
        <f aca="false">IF(OR(E259="",E259="!!!"),"",IF(NOT(ISNA(VLOOKUP(E259,E$1:E258,1,FALSE()))),"OLD",IF(AND(E259&lt;&gt;"",E259&lt;&gt;"!!!"),"NEW","")))</f>
        <v/>
      </c>
      <c r="G259" s="11" t="str">
        <f aca="false">IF(OR(E259="",E259="!!!"),"",IF(OR(J259=0,AND(J259=1,K259=1),AND(J259=1,I259="SBJ"),AND(J259=1,I259=0)),"?IN_FOCUS",IF(J259&lt;=2,"?ACTIVATED",IF(J259&lt;&gt;"","?FAMILIAR",IF(F259="NEW",IF(ISNA(VLOOKUP(E259,#REF!,1,FALSE())),"?TYPE_IDENTIFIABLE","?REFERENTIAL"),"_")))))</f>
        <v/>
      </c>
      <c r="H259" s="12" t="str">
        <f aca="false">IF(J259&lt;&gt;1,"",IF(I259="SBJ","CB","?"))</f>
        <v/>
      </c>
      <c r="I259" s="13" t="str">
        <f aca="false">IF(OR(E259="",E259="!!!",F259="NEW"),"",INDEX(B$2:B258,-1+SUMPRODUCT(MAX(ROW(E$2:E258)*(E259=E$2:E258)))))</f>
        <v/>
      </c>
      <c r="J259" s="14" t="str">
        <f aca="true">IF(OR(E259="",E259="!!!",F259="NEW"),"",COUNTBLANK(OFFSET(A$1,,,SUMPRODUCT(MAX(ROW(E$2:E259)*(E259=E$2:E259)))))-COUNTBLANK(OFFSET(A$1,,,SUMPRODUCT(MAX(ROW(E$1:E258)*(E259=E$1:E258))))))</f>
        <v/>
      </c>
      <c r="K259" s="14" t="str">
        <f aca="false">IF(OR(E259="",E259="!!!",F259="NEW"),"",INDEX(J$1:J258,SUMPRODUCT(MAX(ROW(E$1:E258)*(E259=E$1:E258)))))</f>
        <v/>
      </c>
      <c r="L259" s="15"/>
    </row>
    <row r="260" customFormat="false" ht="12.75" hidden="false" customHeight="false" outlineLevel="0" collapsed="false">
      <c r="A260" s="0" t="s">
        <v>220</v>
      </c>
      <c r="B260" s="0" t="s">
        <v>22</v>
      </c>
      <c r="C260" s="0" t="s">
        <v>120</v>
      </c>
      <c r="E260" s="9" t="str">
        <f aca="false">IF(D260="?OLD","!!!","")</f>
        <v/>
      </c>
      <c r="F260" s="10" t="str">
        <f aca="false">IF(OR(E260="",E260="!!!"),"",IF(NOT(ISNA(VLOOKUP(E260,E$1:E259,1,FALSE()))),"OLD",IF(AND(E260&lt;&gt;"",E260&lt;&gt;"!!!"),"NEW","")))</f>
        <v/>
      </c>
      <c r="G260" s="11" t="str">
        <f aca="false">IF(OR(E260="",E260="!!!"),"",IF(OR(J260=0,AND(J260=1,K260=1),AND(J260=1,I260="SBJ"),AND(J260=1,I260=0)),"?IN_FOCUS",IF(J260&lt;=2,"?ACTIVATED",IF(J260&lt;&gt;"","?FAMILIAR",IF(F260="NEW",IF(ISNA(VLOOKUP(E260,#REF!,1,FALSE())),"?TYPE_IDENTIFIABLE","?REFERENTIAL"),"_")))))</f>
        <v/>
      </c>
      <c r="H260" s="12" t="str">
        <f aca="false">IF(J260&lt;&gt;1,"",IF(I260="SBJ","CB","?"))</f>
        <v/>
      </c>
      <c r="I260" s="13" t="str">
        <f aca="false">IF(OR(E260="",E260="!!!",F260="NEW"),"",INDEX(B$2:B259,-1+SUMPRODUCT(MAX(ROW(E$2:E259)*(E260=E$2:E259)))))</f>
        <v/>
      </c>
      <c r="J260" s="14" t="str">
        <f aca="true">IF(OR(E260="",E260="!!!",F260="NEW"),"",COUNTBLANK(OFFSET(A$1,,,SUMPRODUCT(MAX(ROW(E$2:E260)*(E260=E$2:E260)))))-COUNTBLANK(OFFSET(A$1,,,SUMPRODUCT(MAX(ROW(E$1:E259)*(E260=E$1:E259))))))</f>
        <v/>
      </c>
      <c r="K260" s="14" t="str">
        <f aca="false">IF(OR(E260="",E260="!!!",F260="NEW"),"",INDEX(J$1:J259,SUMPRODUCT(MAX(ROW(E$1:E259)*(E260=E$1:E259)))))</f>
        <v/>
      </c>
      <c r="L260" s="15"/>
    </row>
    <row r="261" customFormat="false" ht="12.75" hidden="false" customHeight="false" outlineLevel="0" collapsed="false">
      <c r="A261" s="0" t="s">
        <v>175</v>
      </c>
      <c r="E261" s="9" t="str">
        <f aca="false">IF(D261="?OLD","!!!","")</f>
        <v/>
      </c>
      <c r="F261" s="10" t="str">
        <f aca="false">IF(OR(E261="",E261="!!!"),"",IF(NOT(ISNA(VLOOKUP(E261,E$1:E260,1,FALSE()))),"OLD",IF(AND(E261&lt;&gt;"",E261&lt;&gt;"!!!"),"NEW","")))</f>
        <v/>
      </c>
      <c r="G261" s="11" t="str">
        <f aca="false">IF(OR(E261="",E261="!!!"),"",IF(OR(J261=0,AND(J261=1,K261=1),AND(J261=1,I261="SBJ"),AND(J261=1,I261=0)),"?IN_FOCUS",IF(J261&lt;=2,"?ACTIVATED",IF(J261&lt;&gt;"","?FAMILIAR",IF(F261="NEW",IF(ISNA(VLOOKUP(E261,#REF!,1,FALSE())),"?TYPE_IDENTIFIABLE","?REFERENTIAL"),"_")))))</f>
        <v/>
      </c>
      <c r="H261" s="12" t="str">
        <f aca="false">IF(J261&lt;&gt;1,"",IF(I261="SBJ","CB","?"))</f>
        <v/>
      </c>
      <c r="I261" s="13" t="str">
        <f aca="false">IF(OR(E261="",E261="!!!",F261="NEW"),"",INDEX(B$2:B260,-1+SUMPRODUCT(MAX(ROW(E$2:E260)*(E261=E$2:E260)))))</f>
        <v/>
      </c>
      <c r="J261" s="14" t="str">
        <f aca="true">IF(OR(E261="",E261="!!!",F261="NEW"),"",COUNTBLANK(OFFSET(A$1,,,SUMPRODUCT(MAX(ROW(E$2:E261)*(E261=E$2:E261)))))-COUNTBLANK(OFFSET(A$1,,,SUMPRODUCT(MAX(ROW(E$1:E260)*(E261=E$1:E260))))))</f>
        <v/>
      </c>
      <c r="K261" s="14" t="str">
        <f aca="false">IF(OR(E261="",E261="!!!",F261="NEW"),"",INDEX(J$1:J260,SUMPRODUCT(MAX(ROW(E$1:E260)*(E261=E$1:E260)))))</f>
        <v/>
      </c>
      <c r="L261" s="15"/>
    </row>
    <row r="262" customFormat="false" ht="12.75" hidden="false" customHeight="false" outlineLevel="0" collapsed="false">
      <c r="A262" s="0" t="s">
        <v>150</v>
      </c>
      <c r="B262" s="0" t="s">
        <v>54</v>
      </c>
      <c r="C262" s="0" t="s">
        <v>55</v>
      </c>
      <c r="D262" s="0" t="s">
        <v>29</v>
      </c>
      <c r="E262" s="9" t="s">
        <v>143</v>
      </c>
      <c r="F262" s="10" t="str">
        <f aca="false">IF(OR(E262="",E262="!!!"),"",IF(NOT(ISNA(VLOOKUP(E262,E$1:E261,1,FALSE()))),"OLD",IF(AND(E262&lt;&gt;"",E262&lt;&gt;"!!!"),"NEW","")))</f>
        <v>OLD</v>
      </c>
      <c r="G262" s="11" t="s">
        <v>39</v>
      </c>
      <c r="H262" s="12" t="str">
        <f aca="false">IF(J262&lt;&gt;1,"",IF(I262="SBJ","CB","?"))</f>
        <v/>
      </c>
      <c r="I262" s="13" t="str">
        <f aca="false">IF(OR(E262="",E262="!!!",F262="NEW"),"",INDEX(B$2:B261,-1+SUMPRODUCT(MAX(ROW(E$2:E261)*(E262=E$2:E261)))))</f>
        <v>SBJ_2</v>
      </c>
      <c r="J262" s="14" t="n">
        <f aca="true">IF(OR(E262="",E262="!!!",F262="NEW"),"",COUNTBLANK(OFFSET(A$1,,,SUMPRODUCT(MAX(ROW(E$2:E262)*(E262=E$2:E262)))))-COUNTBLANK(OFFSET(A$1,,,SUMPRODUCT(MAX(ROW(E$1:E261)*(E262=E$1:E261))))))</f>
        <v>0</v>
      </c>
      <c r="K262" s="14" t="n">
        <f aca="false">IF(OR(E262="",E262="!!!",F262="NEW"),"",INDEX(J$1:J261,SUMPRODUCT(MAX(ROW(E$1:E261)*(E262=E$1:E261)))))</f>
        <v>0</v>
      </c>
      <c r="L262" s="15"/>
    </row>
    <row r="263" customFormat="false" ht="12.75" hidden="false" customHeight="false" outlineLevel="0" collapsed="false">
      <c r="A263" s="0" t="s">
        <v>171</v>
      </c>
      <c r="B263" s="0" t="s">
        <v>157</v>
      </c>
      <c r="C263" s="0" t="s">
        <v>15</v>
      </c>
      <c r="D263" s="0" t="s">
        <v>29</v>
      </c>
      <c r="E263" s="9" t="s">
        <v>68</v>
      </c>
      <c r="F263" s="10" t="s">
        <v>69</v>
      </c>
      <c r="G263" s="11"/>
      <c r="H263" s="12" t="str">
        <f aca="false">IF(J263&lt;&gt;1,"",IF(I263="SBJ","CB","?"))</f>
        <v/>
      </c>
      <c r="I263" s="13" t="str">
        <f aca="false">IF(OR(E263="",E263="!!!",F263="NEW"),"",INDEX(B$2:B262,-1+SUMPRODUCT(MAX(ROW(E$2:E262)*(E263=E$2:E262)))))</f>
        <v>other_3</v>
      </c>
      <c r="J263" s="14" t="n">
        <f aca="true">IF(OR(E263="",E263="!!!",F263="NEW"),"",COUNTBLANK(OFFSET(A$1,,,SUMPRODUCT(MAX(ROW(E$2:E263)*(E263=E$2:E263)))))-COUNTBLANK(OFFSET(A$1,,,SUMPRODUCT(MAX(ROW(E$1:E262)*(E263=E$1:E262))))))</f>
        <v>0</v>
      </c>
      <c r="K263" s="14" t="n">
        <f aca="false">IF(OR(E263="",E263="!!!",F263="NEW"),"",INDEX(J$1:J262,SUMPRODUCT(MAX(ROW(E$1:E262)*(E263=E$1:E262)))))</f>
        <v>0</v>
      </c>
      <c r="L263" s="15"/>
    </row>
    <row r="264" customFormat="false" ht="12.75" hidden="false" customHeight="false" outlineLevel="0" collapsed="false">
      <c r="A264" s="0" t="s">
        <v>95</v>
      </c>
      <c r="E264" s="9" t="str">
        <f aca="false">IF(D264="?OLD","!!!","")</f>
        <v/>
      </c>
      <c r="F264" s="10" t="str">
        <f aca="false">IF(OR(E264="",E264="!!!"),"",IF(NOT(ISNA(VLOOKUP(E264,E$1:E263,1,FALSE()))),"OLD",IF(AND(E264&lt;&gt;"",E264&lt;&gt;"!!!"),"NEW","")))</f>
        <v/>
      </c>
      <c r="G264" s="11" t="str">
        <f aca="false">IF(OR(E264="",E264="!!!"),"",IF(OR(J264=0,AND(J264=1,K264=1),AND(J264=1,I264="SBJ"),AND(J264=1,I264=0)),"?IN_FOCUS",IF(J264&lt;=2,"?ACTIVATED",IF(J264&lt;&gt;"","?FAMILIAR",IF(F264="NEW",IF(ISNA(VLOOKUP(E264,#REF!,1,FALSE())),"?TYPE_IDENTIFIABLE","?REFERENTIAL"),"_")))))</f>
        <v/>
      </c>
      <c r="H264" s="12" t="str">
        <f aca="false">IF(J264&lt;&gt;1,"",IF(I264="SBJ","CB","?"))</f>
        <v/>
      </c>
      <c r="I264" s="13" t="str">
        <f aca="false">IF(OR(E264="",E264="!!!",F264="NEW"),"",INDEX(B$2:B263,-1+SUMPRODUCT(MAX(ROW(E$2:E263)*(E264=E$2:E263)))))</f>
        <v/>
      </c>
      <c r="J264" s="14" t="str">
        <f aca="true">IF(OR(E264="",E264="!!!",F264="NEW"),"",COUNTBLANK(OFFSET(A$1,,,SUMPRODUCT(MAX(ROW(E$2:E264)*(E264=E$2:E264)))))-COUNTBLANK(OFFSET(A$1,,,SUMPRODUCT(MAX(ROW(E$1:E263)*(E264=E$1:E263))))))</f>
        <v/>
      </c>
      <c r="K264" s="14" t="str">
        <f aca="false">IF(OR(E264="",E264="!!!",F264="NEW"),"",INDEX(J$1:J263,SUMPRODUCT(MAX(ROW(E$1:E263)*(E264=E$1:E263)))))</f>
        <v/>
      </c>
      <c r="L264" s="15"/>
    </row>
    <row r="265" customFormat="false" ht="12.75" hidden="false" customHeight="false" outlineLevel="0" collapsed="false">
      <c r="A265" s="0" t="s">
        <v>221</v>
      </c>
      <c r="E265" s="9" t="str">
        <f aca="false">IF(D265="?OLD","!!!","")</f>
        <v/>
      </c>
      <c r="F265" s="10" t="str">
        <f aca="false">IF(OR(E265="",E265="!!!"),"",IF(NOT(ISNA(VLOOKUP(E265,E$1:E264,1,FALSE()))),"OLD",IF(AND(E265&lt;&gt;"",E265&lt;&gt;"!!!"),"NEW","")))</f>
        <v/>
      </c>
      <c r="G265" s="11" t="str">
        <f aca="false">IF(OR(E265="",E265="!!!"),"",IF(OR(J265=0,AND(J265=1,K265=1),AND(J265=1,I265="SBJ"),AND(J265=1,I265=0)),"?IN_FOCUS",IF(J265&lt;=2,"?ACTIVATED",IF(J265&lt;&gt;"","?FAMILIAR",IF(F265="NEW",IF(ISNA(VLOOKUP(E265,#REF!,1,FALSE())),"?TYPE_IDENTIFIABLE","?REFERENTIAL"),"_")))))</f>
        <v/>
      </c>
      <c r="H265" s="12" t="str">
        <f aca="false">IF(J265&lt;&gt;1,"",IF(I265="SBJ","CB","?"))</f>
        <v/>
      </c>
      <c r="I265" s="13" t="str">
        <f aca="false">IF(OR(E265="",E265="!!!",F265="NEW"),"",INDEX(B$2:B264,-1+SUMPRODUCT(MAX(ROW(E$2:E264)*(E265=E$2:E264)))))</f>
        <v/>
      </c>
      <c r="J265" s="14" t="str">
        <f aca="true">IF(OR(E265="",E265="!!!",F265="NEW"),"",COUNTBLANK(OFFSET(A$1,,,SUMPRODUCT(MAX(ROW(E$2:E265)*(E265=E$2:E265)))))-COUNTBLANK(OFFSET(A$1,,,SUMPRODUCT(MAX(ROW(E$1:E264)*(E265=E$1:E264))))))</f>
        <v/>
      </c>
      <c r="K265" s="14" t="str">
        <f aca="false">IF(OR(E265="",E265="!!!",F265="NEW"),"",INDEX(J$1:J264,SUMPRODUCT(MAX(ROW(E$1:E264)*(E265=E$1:E264)))))</f>
        <v/>
      </c>
      <c r="L265" s="15"/>
    </row>
    <row r="266" customFormat="false" ht="12.75" hidden="false" customHeight="false" outlineLevel="0" collapsed="false">
      <c r="A266" s="0" t="s">
        <v>173</v>
      </c>
      <c r="E266" s="9" t="str">
        <f aca="false">IF(D266="?OLD","!!!","")</f>
        <v/>
      </c>
      <c r="F266" s="10" t="str">
        <f aca="false">IF(OR(E266="",E266="!!!"),"",IF(NOT(ISNA(VLOOKUP(E266,E$1:E265,1,FALSE()))),"OLD",IF(AND(E266&lt;&gt;"",E266&lt;&gt;"!!!"),"NEW","")))</f>
        <v/>
      </c>
      <c r="G266" s="11" t="str">
        <f aca="false">IF(OR(E266="",E266="!!!"),"",IF(OR(J266=0,AND(J266=1,K266=1),AND(J266=1,I266="SBJ"),AND(J266=1,I266=0)),"?IN_FOCUS",IF(J266&lt;=2,"?ACTIVATED",IF(J266&lt;&gt;"","?FAMILIAR",IF(F266="NEW",IF(ISNA(VLOOKUP(E266,#REF!,1,FALSE())),"?TYPE_IDENTIFIABLE","?REFERENTIAL"),"_")))))</f>
        <v/>
      </c>
      <c r="H266" s="12" t="str">
        <f aca="false">IF(J266&lt;&gt;1,"",IF(I266="SBJ","CB","?"))</f>
        <v/>
      </c>
      <c r="I266" s="13" t="str">
        <f aca="false">IF(OR(E266="",E266="!!!",F266="NEW"),"",INDEX(B$2:B265,-1+SUMPRODUCT(MAX(ROW(E$2:E265)*(E266=E$2:E265)))))</f>
        <v/>
      </c>
      <c r="J266" s="14" t="str">
        <f aca="true">IF(OR(E266="",E266="!!!",F266="NEW"),"",COUNTBLANK(OFFSET(A$1,,,SUMPRODUCT(MAX(ROW(E$2:E266)*(E266=E$2:E266)))))-COUNTBLANK(OFFSET(A$1,,,SUMPRODUCT(MAX(ROW(E$1:E265)*(E266=E$1:E265))))))</f>
        <v/>
      </c>
      <c r="K266" s="14" t="str">
        <f aca="false">IF(OR(E266="",E266="!!!",F266="NEW"),"",INDEX(J$1:J265,SUMPRODUCT(MAX(ROW(E$1:E265)*(E266=E$1:E265)))))</f>
        <v/>
      </c>
      <c r="L266" s="15"/>
    </row>
    <row r="267" customFormat="false" ht="12.75" hidden="false" customHeight="false" outlineLevel="0" collapsed="false">
      <c r="A267" s="0" t="s">
        <v>222</v>
      </c>
      <c r="B267" s="0" t="s">
        <v>64</v>
      </c>
      <c r="C267" s="0" t="s">
        <v>120</v>
      </c>
      <c r="E267" s="9" t="str">
        <f aca="false">IF(D267="?OLD","!!!","")</f>
        <v/>
      </c>
      <c r="F267" s="10" t="str">
        <f aca="false">IF(OR(E267="",E267="!!!"),"",IF(NOT(ISNA(VLOOKUP(E267,E$1:E266,1,FALSE()))),"OLD",IF(AND(E267&lt;&gt;"",E267&lt;&gt;"!!!"),"NEW","")))</f>
        <v/>
      </c>
      <c r="G267" s="11" t="str">
        <f aca="false">IF(OR(E267="",E267="!!!"),"",IF(OR(J267=0,AND(J267=1,K267=1),AND(J267=1,I267="SBJ"),AND(J267=1,I267=0)),"?IN_FOCUS",IF(J267&lt;=2,"?ACTIVATED",IF(J267&lt;&gt;"","?FAMILIAR",IF(F267="NEW",IF(ISNA(VLOOKUP(E267,#REF!,1,FALSE())),"?TYPE_IDENTIFIABLE","?REFERENTIAL"),"_")))))</f>
        <v/>
      </c>
      <c r="H267" s="12" t="str">
        <f aca="false">IF(J267&lt;&gt;1,"",IF(I267="SBJ","CB","?"))</f>
        <v/>
      </c>
      <c r="I267" s="13" t="str">
        <f aca="false">IF(OR(E267="",E267="!!!",F267="NEW"),"",INDEX(B$2:B266,-1+SUMPRODUCT(MAX(ROW(E$2:E266)*(E267=E$2:E266)))))</f>
        <v/>
      </c>
      <c r="J267" s="14" t="str">
        <f aca="true">IF(OR(E267="",E267="!!!",F267="NEW"),"",COUNTBLANK(OFFSET(A$1,,,SUMPRODUCT(MAX(ROW(E$2:E267)*(E267=E$2:E267)))))-COUNTBLANK(OFFSET(A$1,,,SUMPRODUCT(MAX(ROW(E$1:E266)*(E267=E$1:E266))))))</f>
        <v/>
      </c>
      <c r="K267" s="14" t="str">
        <f aca="false">IF(OR(E267="",E267="!!!",F267="NEW"),"",INDEX(J$1:J266,SUMPRODUCT(MAX(ROW(E$1:E266)*(E267=E$1:E266)))))</f>
        <v/>
      </c>
      <c r="L267" s="15"/>
    </row>
    <row r="268" customFormat="false" ht="12.75" hidden="false" customHeight="false" outlineLevel="0" collapsed="false">
      <c r="A268" s="0" t="s">
        <v>88</v>
      </c>
      <c r="E268" s="9" t="str">
        <f aca="false">IF(D268="?OLD","!!!","")</f>
        <v/>
      </c>
      <c r="F268" s="10" t="str">
        <f aca="false">IF(OR(E268="",E268="!!!"),"",IF(NOT(ISNA(VLOOKUP(E268,E$1:E267,1,FALSE()))),"OLD",IF(AND(E268&lt;&gt;"",E268&lt;&gt;"!!!"),"NEW","")))</f>
        <v/>
      </c>
      <c r="G268" s="11" t="str">
        <f aca="false">IF(OR(E268="",E268="!!!"),"",IF(OR(J268=0,AND(J268=1,K268=1),AND(J268=1,I268="SBJ"),AND(J268=1,I268=0)),"?IN_FOCUS",IF(J268&lt;=2,"?ACTIVATED",IF(J268&lt;&gt;"","?FAMILIAR",IF(F268="NEW",IF(ISNA(VLOOKUP(E268,#REF!,1,FALSE())),"?TYPE_IDENTIFIABLE","?REFERENTIAL"),"_")))))</f>
        <v/>
      </c>
      <c r="H268" s="12" t="str">
        <f aca="false">IF(J268&lt;&gt;1,"",IF(I268="SBJ","CB","?"))</f>
        <v/>
      </c>
      <c r="I268" s="13" t="str">
        <f aca="false">IF(OR(E268="",E268="!!!",F268="NEW"),"",INDEX(B$2:B267,-1+SUMPRODUCT(MAX(ROW(E$2:E267)*(E268=E$2:E267)))))</f>
        <v/>
      </c>
      <c r="J268" s="14" t="str">
        <f aca="true">IF(OR(E268="",E268="!!!",F268="NEW"),"",COUNTBLANK(OFFSET(A$1,,,SUMPRODUCT(MAX(ROW(E$2:E268)*(E268=E$2:E268)))))-COUNTBLANK(OFFSET(A$1,,,SUMPRODUCT(MAX(ROW(E$1:E267)*(E268=E$1:E267))))))</f>
        <v/>
      </c>
      <c r="K268" s="14" t="str">
        <f aca="false">IF(OR(E268="",E268="!!!",F268="NEW"),"",INDEX(J$1:J267,SUMPRODUCT(MAX(ROW(E$1:E267)*(E268=E$1:E267)))))</f>
        <v/>
      </c>
      <c r="L268" s="15"/>
    </row>
    <row r="269" customFormat="false" ht="12.75" hidden="false" customHeight="false" outlineLevel="0" collapsed="false">
      <c r="A269" s="0" t="s">
        <v>174</v>
      </c>
      <c r="B269" s="0" t="s">
        <v>54</v>
      </c>
      <c r="C269" s="0" t="s">
        <v>120</v>
      </c>
      <c r="E269" s="9" t="str">
        <f aca="false">IF(D269="?OLD","!!!","")</f>
        <v/>
      </c>
      <c r="F269" s="10" t="str">
        <f aca="false">IF(OR(E269="",E269="!!!"),"",IF(NOT(ISNA(VLOOKUP(E269,E$1:E268,1,FALSE()))),"OLD",IF(AND(E269&lt;&gt;"",E269&lt;&gt;"!!!"),"NEW","")))</f>
        <v/>
      </c>
      <c r="G269" s="11" t="str">
        <f aca="false">IF(OR(E269="",E269="!!!"),"",IF(OR(J269=0,AND(J269=1,K269=1),AND(J269=1,I269="SBJ"),AND(J269=1,I269=0)),"?IN_FOCUS",IF(J269&lt;=2,"?ACTIVATED",IF(J269&lt;&gt;"","?FAMILIAR",IF(F269="NEW",IF(ISNA(VLOOKUP(E269,#REF!,1,FALSE())),"?TYPE_IDENTIFIABLE","?REFERENTIAL"),"_")))))</f>
        <v/>
      </c>
      <c r="H269" s="12" t="str">
        <f aca="false">IF(J269&lt;&gt;1,"",IF(I269="SBJ","CB","?"))</f>
        <v/>
      </c>
      <c r="I269" s="13" t="str">
        <f aca="false">IF(OR(E269="",E269="!!!",F269="NEW"),"",INDEX(B$2:B268,-1+SUMPRODUCT(MAX(ROW(E$2:E268)*(E269=E$2:E268)))))</f>
        <v/>
      </c>
      <c r="J269" s="14" t="str">
        <f aca="true">IF(OR(E269="",E269="!!!",F269="NEW"),"",COUNTBLANK(OFFSET(A$1,,,SUMPRODUCT(MAX(ROW(E$2:E269)*(E269=E$2:E269)))))-COUNTBLANK(OFFSET(A$1,,,SUMPRODUCT(MAX(ROW(E$1:E268)*(E269=E$1:E268))))))</f>
        <v/>
      </c>
      <c r="K269" s="14" t="str">
        <f aca="false">IF(OR(E269="",E269="!!!",F269="NEW"),"",INDEX(J$1:J268,SUMPRODUCT(MAX(ROW(E$1:E268)*(E269=E$1:E268)))))</f>
        <v/>
      </c>
      <c r="L269" s="15"/>
    </row>
    <row r="270" customFormat="false" ht="12.75" hidden="false" customHeight="false" outlineLevel="0" collapsed="false">
      <c r="A270" s="0" t="s">
        <v>73</v>
      </c>
      <c r="E270" s="9" t="str">
        <f aca="false">IF(D270="?OLD","!!!","")</f>
        <v/>
      </c>
      <c r="F270" s="10" t="str">
        <f aca="false">IF(OR(E270="",E270="!!!"),"",IF(NOT(ISNA(VLOOKUP(E270,E$1:E269,1,FALSE()))),"OLD",IF(AND(E270&lt;&gt;"",E270&lt;&gt;"!!!"),"NEW","")))</f>
        <v/>
      </c>
      <c r="G270" s="11" t="str">
        <f aca="false">IF(OR(E270="",E270="!!!"),"",IF(OR(J270=0,AND(J270=1,K270=1),AND(J270=1,I270="SBJ"),AND(J270=1,I270=0)),"?IN_FOCUS",IF(J270&lt;=2,"?ACTIVATED",IF(J270&lt;&gt;"","?FAMILIAR",IF(F270="NEW",IF(ISNA(VLOOKUP(E270,#REF!,1,FALSE())),"?TYPE_IDENTIFIABLE","?REFERENTIAL"),"_")))))</f>
        <v/>
      </c>
      <c r="H270" s="12" t="str">
        <f aca="false">IF(J270&lt;&gt;1,"",IF(I270="SBJ","CB","?"))</f>
        <v/>
      </c>
      <c r="I270" s="13" t="str">
        <f aca="false">IF(OR(E270="",E270="!!!",F270="NEW"),"",INDEX(B$2:B269,-1+SUMPRODUCT(MAX(ROW(E$2:E269)*(E270=E$2:E269)))))</f>
        <v/>
      </c>
      <c r="J270" s="14" t="str">
        <f aca="true">IF(OR(E270="",E270="!!!",F270="NEW"),"",COUNTBLANK(OFFSET(A$1,,,SUMPRODUCT(MAX(ROW(E$2:E270)*(E270=E$2:E270)))))-COUNTBLANK(OFFSET(A$1,,,SUMPRODUCT(MAX(ROW(E$1:E269)*(E270=E$1:E269))))))</f>
        <v/>
      </c>
      <c r="K270" s="14" t="str">
        <f aca="false">IF(OR(E270="",E270="!!!",F270="NEW"),"",INDEX(J$1:J269,SUMPRODUCT(MAX(ROW(E$1:E269)*(E270=E$1:E269)))))</f>
        <v/>
      </c>
      <c r="L270" s="15"/>
    </row>
    <row r="271" customFormat="false" ht="12.75" hidden="false" customHeight="false" outlineLevel="0" collapsed="false">
      <c r="E271" s="9" t="str">
        <f aca="false">IF(D271="?OLD","!!!","")</f>
        <v/>
      </c>
      <c r="F271" s="10" t="str">
        <f aca="false">IF(OR(E271="",E271="!!!"),"",IF(NOT(ISNA(VLOOKUP(E271,E$1:E270,1,FALSE()))),"OLD",IF(AND(E271&lt;&gt;"",E271&lt;&gt;"!!!"),"NEW","")))</f>
        <v/>
      </c>
      <c r="G271" s="11" t="str">
        <f aca="false">IF(OR(E271="",E271="!!!"),"",IF(OR(J271=0,AND(J271=1,K271=1),AND(J271=1,I271="SBJ"),AND(J271=1,I271=0)),"?IN_FOCUS",IF(J271&lt;=2,"?ACTIVATED",IF(J271&lt;&gt;"","?FAMILIAR",IF(F271="NEW",IF(ISNA(VLOOKUP(E271,#REF!,1,FALSE())),"?TYPE_IDENTIFIABLE","?REFERENTIAL"),"_")))))</f>
        <v/>
      </c>
      <c r="H271" s="12" t="str">
        <f aca="false">IF(J271&lt;&gt;1,"",IF(I271="SBJ","CB","?"))</f>
        <v/>
      </c>
      <c r="I271" s="13" t="str">
        <f aca="false">IF(OR(E271="",E271="!!!",F271="NEW"),"",INDEX(B$2:B270,-1+SUMPRODUCT(MAX(ROW(E$2:E270)*(E271=E$2:E270)))))</f>
        <v/>
      </c>
      <c r="J271" s="14" t="str">
        <f aca="true">IF(OR(E271="",E271="!!!",F271="NEW"),"",COUNTBLANK(OFFSET(A$1,,,SUMPRODUCT(MAX(ROW(E$2:E271)*(E271=E$2:E271)))))-COUNTBLANK(OFFSET(A$1,,,SUMPRODUCT(MAX(ROW(E$1:E270)*(E271=E$1:E270))))))</f>
        <v/>
      </c>
      <c r="K271" s="14" t="str">
        <f aca="false">IF(OR(E271="",E271="!!!",F271="NEW"),"",INDEX(J$1:J270,SUMPRODUCT(MAX(ROW(E$1:E270)*(E271=E$1:E270)))))</f>
        <v/>
      </c>
      <c r="L271" s="15"/>
    </row>
    <row r="272" customFormat="false" ht="12.75" hidden="false" customHeight="false" outlineLevel="0" collapsed="false">
      <c r="A272" s="0" t="s">
        <v>223</v>
      </c>
      <c r="E272" s="9" t="str">
        <f aca="false">IF(D272="?OLD","!!!","")</f>
        <v/>
      </c>
      <c r="F272" s="10" t="str">
        <f aca="false">IF(OR(E272="",E272="!!!"),"",IF(NOT(ISNA(VLOOKUP(E272,E$1:E271,1,FALSE()))),"OLD",IF(AND(E272&lt;&gt;"",E272&lt;&gt;"!!!"),"NEW","")))</f>
        <v/>
      </c>
      <c r="G272" s="11" t="str">
        <f aca="false">IF(OR(E272="",E272="!!!"),"",IF(OR(J272=0,AND(J272=1,K272=1),AND(J272=1,I272="SBJ"),AND(J272=1,I272=0)),"?IN_FOCUS",IF(J272&lt;=2,"?ACTIVATED",IF(J272&lt;&gt;"","?FAMILIAR",IF(F272="NEW",IF(ISNA(VLOOKUP(E272,#REF!,1,FALSE())),"?TYPE_IDENTIFIABLE","?REFERENTIAL"),"_")))))</f>
        <v/>
      </c>
      <c r="H272" s="12" t="str">
        <f aca="false">IF(J272&lt;&gt;1,"",IF(I272="SBJ","CB","?"))</f>
        <v/>
      </c>
      <c r="I272" s="13" t="str">
        <f aca="false">IF(OR(E272="",E272="!!!",F272="NEW"),"",INDEX(B$2:B271,-1+SUMPRODUCT(MAX(ROW(E$2:E271)*(E272=E$2:E271)))))</f>
        <v/>
      </c>
      <c r="J272" s="14" t="str">
        <f aca="true">IF(OR(E272="",E272="!!!",F272="NEW"),"",COUNTBLANK(OFFSET(A$1,,,SUMPRODUCT(MAX(ROW(E$2:E272)*(E272=E$2:E272)))))-COUNTBLANK(OFFSET(A$1,,,SUMPRODUCT(MAX(ROW(E$1:E271)*(E272=E$1:E271))))))</f>
        <v/>
      </c>
      <c r="K272" s="14" t="str">
        <f aca="false">IF(OR(E272="",E272="!!!",F272="NEW"),"",INDEX(J$1:J271,SUMPRODUCT(MAX(ROW(E$1:E271)*(E272=E$1:E271)))))</f>
        <v/>
      </c>
      <c r="L272" s="15"/>
    </row>
    <row r="273" customFormat="false" ht="12.75" hidden="false" customHeight="false" outlineLevel="0" collapsed="false">
      <c r="A273" s="0" t="s">
        <v>224</v>
      </c>
      <c r="B273" s="0" t="s">
        <v>14</v>
      </c>
      <c r="C273" s="0" t="s">
        <v>38</v>
      </c>
      <c r="D273" s="0" t="s">
        <v>29</v>
      </c>
      <c r="E273" s="9" t="s">
        <v>68</v>
      </c>
      <c r="F273" s="10" t="s">
        <v>69</v>
      </c>
      <c r="G273" s="11"/>
      <c r="H273" s="12"/>
      <c r="I273" s="13" t="str">
        <f aca="false">IF(OR(E273="",E273="!!!",F273="NEW"),"",INDEX(B$2:B272,-1+SUMPRODUCT(MAX(ROW(E$2:E272)*(E273=E$2:E272)))))</f>
        <v>SBJ_4</v>
      </c>
      <c r="J273" s="14" t="n">
        <f aca="true">IF(OR(E273="",E273="!!!",F273="NEW"),"",COUNTBLANK(OFFSET(A$1,,,SUMPRODUCT(MAX(ROW(E$2:E273)*(E273=E$2:E273)))))-COUNTBLANK(OFFSET(A$1,,,SUMPRODUCT(MAX(ROW(E$1:E272)*(E273=E$1:E272))))))</f>
        <v>1</v>
      </c>
      <c r="K273" s="14" t="n">
        <f aca="false">IF(OR(E273="",E273="!!!",F273="NEW"),"",INDEX(J$1:J272,SUMPRODUCT(MAX(ROW(E$1:E272)*(E273=E$1:E272)))))</f>
        <v>0</v>
      </c>
      <c r="L273" s="15"/>
    </row>
    <row r="274" customFormat="false" ht="12.75" hidden="false" customHeight="false" outlineLevel="0" collapsed="false">
      <c r="A274" s="0" t="s">
        <v>48</v>
      </c>
      <c r="E274" s="9" t="str">
        <f aca="false">IF(D274="?OLD","!!!","")</f>
        <v/>
      </c>
      <c r="F274" s="10" t="str">
        <f aca="false">IF(OR(E274="",E274="!!!"),"",IF(NOT(ISNA(VLOOKUP(E274,E$1:E273,1,FALSE()))),"OLD",IF(AND(E274&lt;&gt;"",E274&lt;&gt;"!!!"),"NEW","")))</f>
        <v/>
      </c>
      <c r="G274" s="11" t="str">
        <f aca="false">IF(OR(E274="",E274="!!!"),"",IF(OR(J274=0,AND(J274=1,K274=1),AND(J274=1,I274="SBJ"),AND(J274=1,I274=0)),"?IN_FOCUS",IF(J274&lt;=2,"?ACTIVATED",IF(J274&lt;&gt;"","?FAMILIAR",IF(F274="NEW",IF(ISNA(VLOOKUP(E274,#REF!,1,FALSE())),"?TYPE_IDENTIFIABLE","?REFERENTIAL"),"_")))))</f>
        <v/>
      </c>
      <c r="H274" s="12" t="str">
        <f aca="false">IF(J274&lt;&gt;1,"",IF(I274="SBJ","CB","?"))</f>
        <v/>
      </c>
      <c r="I274" s="13" t="str">
        <f aca="false">IF(OR(E274="",E274="!!!",F274="NEW"),"",INDEX(B$2:B273,-1+SUMPRODUCT(MAX(ROW(E$2:E273)*(E274=E$2:E273)))))</f>
        <v/>
      </c>
      <c r="J274" s="14" t="str">
        <f aca="true">IF(OR(E274="",E274="!!!",F274="NEW"),"",COUNTBLANK(OFFSET(A$1,,,SUMPRODUCT(MAX(ROW(E$2:E274)*(E274=E$2:E274)))))-COUNTBLANK(OFFSET(A$1,,,SUMPRODUCT(MAX(ROW(E$1:E273)*(E274=E$1:E273))))))</f>
        <v/>
      </c>
      <c r="K274" s="14" t="str">
        <f aca="false">IF(OR(E274="",E274="!!!",F274="NEW"),"",INDEX(J$1:J273,SUMPRODUCT(MAX(ROW(E$1:E273)*(E274=E$1:E273)))))</f>
        <v/>
      </c>
      <c r="L274" s="15"/>
    </row>
    <row r="275" customFormat="false" ht="12.75" hidden="false" customHeight="false" outlineLevel="0" collapsed="false">
      <c r="A275" s="0" t="s">
        <v>40</v>
      </c>
      <c r="E275" s="9" t="str">
        <f aca="false">IF(D275="?OLD","!!!","")</f>
        <v/>
      </c>
      <c r="F275" s="10" t="str">
        <f aca="false">IF(OR(E275="",E275="!!!"),"",IF(NOT(ISNA(VLOOKUP(E275,E$1:E274,1,FALSE()))),"OLD",IF(AND(E275&lt;&gt;"",E275&lt;&gt;"!!!"),"NEW","")))</f>
        <v/>
      </c>
      <c r="G275" s="11" t="str">
        <f aca="false">IF(OR(E275="",E275="!!!"),"",IF(OR(J275=0,AND(J275=1,K275=1),AND(J275=1,I275="SBJ"),AND(J275=1,I275=0)),"?IN_FOCUS",IF(J275&lt;=2,"?ACTIVATED",IF(J275&lt;&gt;"","?FAMILIAR",IF(F275="NEW",IF(ISNA(VLOOKUP(E275,#REF!,1,FALSE())),"?TYPE_IDENTIFIABLE","?REFERENTIAL"),"_")))))</f>
        <v/>
      </c>
      <c r="H275" s="12" t="str">
        <f aca="false">IF(J275&lt;&gt;1,"",IF(I275="SBJ","CB","?"))</f>
        <v/>
      </c>
      <c r="I275" s="13" t="str">
        <f aca="false">IF(OR(E275="",E275="!!!",F275="NEW"),"",INDEX(B$2:B274,-1+SUMPRODUCT(MAX(ROW(E$2:E274)*(E275=E$2:E274)))))</f>
        <v/>
      </c>
      <c r="J275" s="14" t="str">
        <f aca="true">IF(OR(E275="",E275="!!!",F275="NEW"),"",COUNTBLANK(OFFSET(A$1,,,SUMPRODUCT(MAX(ROW(E$2:E275)*(E275=E$2:E275)))))-COUNTBLANK(OFFSET(A$1,,,SUMPRODUCT(MAX(ROW(E$1:E274)*(E275=E$1:E274))))))</f>
        <v/>
      </c>
      <c r="K275" s="14" t="str">
        <f aca="false">IF(OR(E275="",E275="!!!",F275="NEW"),"",INDEX(J$1:J274,SUMPRODUCT(MAX(ROW(E$1:E274)*(E275=E$1:E274)))))</f>
        <v/>
      </c>
      <c r="L275" s="15"/>
    </row>
    <row r="276" customFormat="false" ht="12.75" hidden="false" customHeight="false" outlineLevel="0" collapsed="false">
      <c r="A276" s="0" t="s">
        <v>225</v>
      </c>
      <c r="B276" s="0" t="s">
        <v>62</v>
      </c>
      <c r="C276" s="0" t="s">
        <v>43</v>
      </c>
      <c r="E276" s="9" t="str">
        <f aca="false">IF(D276="?OLD","!!!","")</f>
        <v/>
      </c>
      <c r="F276" s="10" t="str">
        <f aca="false">IF(OR(E276="",E276="!!!"),"",IF(NOT(ISNA(VLOOKUP(E276,E$1:E275,1,FALSE()))),"OLD",IF(AND(E276&lt;&gt;"",E276&lt;&gt;"!!!"),"NEW","")))</f>
        <v/>
      </c>
      <c r="G276" s="11" t="str">
        <f aca="false">IF(OR(E276="",E276="!!!"),"",IF(OR(J276=0,AND(J276=1,K276=1),AND(J276=1,I276="SBJ"),AND(J276=1,I276=0)),"?IN_FOCUS",IF(J276&lt;=2,"?ACTIVATED",IF(J276&lt;&gt;"","?FAMILIAR",IF(F276="NEW",IF(ISNA(VLOOKUP(E276,#REF!,1,FALSE())),"?TYPE_IDENTIFIABLE","?REFERENTIAL"),"_")))))</f>
        <v/>
      </c>
      <c r="H276" s="12" t="str">
        <f aca="false">IF(J276&lt;&gt;1,"",IF(I276="SBJ","CB","?"))</f>
        <v/>
      </c>
      <c r="I276" s="13" t="str">
        <f aca="false">IF(OR(E276="",E276="!!!",F276="NEW"),"",INDEX(B$2:B275,-1+SUMPRODUCT(MAX(ROW(E$2:E275)*(E276=E$2:E275)))))</f>
        <v/>
      </c>
      <c r="J276" s="14" t="str">
        <f aca="true">IF(OR(E276="",E276="!!!",F276="NEW"),"",COUNTBLANK(OFFSET(A$1,,,SUMPRODUCT(MAX(ROW(E$2:E276)*(E276=E$2:E276)))))-COUNTBLANK(OFFSET(A$1,,,SUMPRODUCT(MAX(ROW(E$1:E275)*(E276=E$1:E275))))))</f>
        <v/>
      </c>
      <c r="K276" s="14" t="str">
        <f aca="false">IF(OR(E276="",E276="!!!",F276="NEW"),"",INDEX(J$1:J275,SUMPRODUCT(MAX(ROW(E$1:E275)*(E276=E$1:E275)))))</f>
        <v/>
      </c>
      <c r="L276" s="15"/>
    </row>
    <row r="277" customFormat="false" ht="12.75" hidden="false" customHeight="false" outlineLevel="0" collapsed="false">
      <c r="A277" s="0" t="s">
        <v>51</v>
      </c>
      <c r="E277" s="9" t="str">
        <f aca="false">IF(D277="?OLD","!!!","")</f>
        <v/>
      </c>
      <c r="F277" s="10" t="str">
        <f aca="false">IF(OR(E277="",E277="!!!"),"",IF(NOT(ISNA(VLOOKUP(E277,E$1:E276,1,FALSE()))),"OLD",IF(AND(E277&lt;&gt;"",E277&lt;&gt;"!!!"),"NEW","")))</f>
        <v/>
      </c>
      <c r="G277" s="11" t="str">
        <f aca="false">IF(OR(E277="",E277="!!!"),"",IF(OR(J277=0,AND(J277=1,K277=1),AND(J277=1,I277="SBJ"),AND(J277=1,I277=0)),"?IN_FOCUS",IF(J277&lt;=2,"?ACTIVATED",IF(J277&lt;&gt;"","?FAMILIAR",IF(F277="NEW",IF(ISNA(VLOOKUP(E277,#REF!,1,FALSE())),"?TYPE_IDENTIFIABLE","?REFERENTIAL"),"_")))))</f>
        <v/>
      </c>
      <c r="H277" s="12" t="str">
        <f aca="false">IF(J277&lt;&gt;1,"",IF(I277="SBJ","CB","?"))</f>
        <v/>
      </c>
      <c r="I277" s="13" t="str">
        <f aca="false">IF(OR(E277="",E277="!!!",F277="NEW"),"",INDEX(B$2:B276,-1+SUMPRODUCT(MAX(ROW(E$2:E276)*(E277=E$2:E276)))))</f>
        <v/>
      </c>
      <c r="J277" s="14" t="str">
        <f aca="true">IF(OR(E277="",E277="!!!",F277="NEW"),"",COUNTBLANK(OFFSET(A$1,,,SUMPRODUCT(MAX(ROW(E$2:E277)*(E277=E$2:E277)))))-COUNTBLANK(OFFSET(A$1,,,SUMPRODUCT(MAX(ROW(E$1:E276)*(E277=E$1:E276))))))</f>
        <v/>
      </c>
      <c r="K277" s="14" t="str">
        <f aca="false">IF(OR(E277="",E277="!!!",F277="NEW"),"",INDEX(J$1:J276,SUMPRODUCT(MAX(ROW(E$1:E276)*(E277=E$1:E276)))))</f>
        <v/>
      </c>
      <c r="L277" s="15"/>
    </row>
    <row r="278" customFormat="false" ht="12.75" hidden="false" customHeight="false" outlineLevel="0" collapsed="false">
      <c r="A278" s="0" t="s">
        <v>190</v>
      </c>
      <c r="B278" s="0" t="s">
        <v>62</v>
      </c>
      <c r="C278" s="0" t="s">
        <v>38</v>
      </c>
      <c r="D278" s="0" t="s">
        <v>29</v>
      </c>
      <c r="E278" s="9" t="s">
        <v>123</v>
      </c>
      <c r="F278" s="10" t="str">
        <f aca="false">IF(OR(E278="",E278="!!!"),"",IF(NOT(ISNA(VLOOKUP(E278,E$1:E277,1,FALSE()))),"OLD",IF(AND(E278&lt;&gt;"",E278&lt;&gt;"!!!"),"NEW","")))</f>
        <v>OLD</v>
      </c>
      <c r="G278" s="11" t="s">
        <v>25</v>
      </c>
      <c r="H278" s="12" t="str">
        <f aca="false">IF(J278&lt;&gt;1,"",IF(I278="SBJ","CB","?"))</f>
        <v/>
      </c>
      <c r="I278" s="13" t="str">
        <f aca="false">IF(OR(E278="",E278="!!!",F278="NEW"),"",INDEX(B$2:B277,-1+SUMPRODUCT(MAX(ROW(E$2:E277)*(E278=E$2:E277)))))</f>
        <v>OBJ_2</v>
      </c>
      <c r="J278" s="14" t="n">
        <f aca="true">IF(OR(E278="",E278="!!!",F278="NEW"),"",COUNTBLANK(OFFSET(A$1,,,SUMPRODUCT(MAX(ROW(E$2:E278)*(E278=E$2:E278)))))-COUNTBLANK(OFFSET(A$1,,,SUMPRODUCT(MAX(ROW(E$1:E277)*(E278=E$1:E277))))))</f>
        <v>3</v>
      </c>
      <c r="K278" s="14" t="n">
        <f aca="false">IF(OR(E278="",E278="!!!",F278="NEW"),"",INDEX(J$1:J277,SUMPRODUCT(MAX(ROW(E$1:E277)*(E278=E$1:E277)))))</f>
        <v>0</v>
      </c>
      <c r="L278" s="15"/>
    </row>
    <row r="279" customFormat="false" ht="12.75" hidden="false" customHeight="false" outlineLevel="0" collapsed="false">
      <c r="A279" s="0" t="s">
        <v>31</v>
      </c>
      <c r="E279" s="9" t="str">
        <f aca="false">IF(D279="?OLD","!!!","")</f>
        <v/>
      </c>
      <c r="F279" s="10" t="str">
        <f aca="false">IF(OR(E279="",E279="!!!"),"",IF(NOT(ISNA(VLOOKUP(E279,E$1:E278,1,FALSE()))),"OLD",IF(AND(E279&lt;&gt;"",E279&lt;&gt;"!!!"),"NEW","")))</f>
        <v/>
      </c>
      <c r="G279" s="11" t="str">
        <f aca="false">IF(OR(E279="",E279="!!!"),"",IF(OR(J279=0,AND(J279=1,K279=1),AND(J279=1,I279="SBJ"),AND(J279=1,I279=0)),"?IN_FOCUS",IF(J279&lt;=2,"?ACTIVATED",IF(J279&lt;&gt;"","?FAMILIAR",IF(F279="NEW",IF(ISNA(VLOOKUP(E279,#REF!,1,FALSE())),"?TYPE_IDENTIFIABLE","?REFERENTIAL"),"_")))))</f>
        <v/>
      </c>
      <c r="H279" s="12" t="str">
        <f aca="false">IF(J279&lt;&gt;1,"",IF(I279="SBJ","CB","?"))</f>
        <v/>
      </c>
      <c r="I279" s="13" t="str">
        <f aca="false">IF(OR(E279="",E279="!!!",F279="NEW"),"",INDEX(B$2:B278,-1+SUMPRODUCT(MAX(ROW(E$2:E278)*(E279=E$2:E278)))))</f>
        <v/>
      </c>
      <c r="J279" s="14" t="str">
        <f aca="true">IF(OR(E279="",E279="!!!",F279="NEW"),"",COUNTBLANK(OFFSET(A$1,,,SUMPRODUCT(MAX(ROW(E$2:E279)*(E279=E$2:E279)))))-COUNTBLANK(OFFSET(A$1,,,SUMPRODUCT(MAX(ROW(E$1:E278)*(E279=E$1:E278))))))</f>
        <v/>
      </c>
      <c r="K279" s="14" t="str">
        <f aca="false">IF(OR(E279="",E279="!!!",F279="NEW"),"",INDEX(J$1:J278,SUMPRODUCT(MAX(ROW(E$1:E278)*(E279=E$1:E278)))))</f>
        <v/>
      </c>
      <c r="L279" s="15"/>
    </row>
    <row r="280" customFormat="false" ht="12.75" hidden="false" customHeight="false" outlineLevel="0" collapsed="false">
      <c r="A280" s="0" t="s">
        <v>226</v>
      </c>
      <c r="E280" s="9" t="str">
        <f aca="false">IF(D280="?OLD","!!!","")</f>
        <v/>
      </c>
      <c r="F280" s="10" t="str">
        <f aca="false">IF(OR(E280="",E280="!!!"),"",IF(NOT(ISNA(VLOOKUP(E280,E$1:E279,1,FALSE()))),"OLD",IF(AND(E280&lt;&gt;"",E280&lt;&gt;"!!!"),"NEW","")))</f>
        <v/>
      </c>
      <c r="G280" s="11" t="str">
        <f aca="false">IF(OR(E280="",E280="!!!"),"",IF(OR(J280=0,AND(J280=1,K280=1),AND(J280=1,I280="SBJ"),AND(J280=1,I280=0)),"?IN_FOCUS",IF(J280&lt;=2,"?ACTIVATED",IF(J280&lt;&gt;"","?FAMILIAR",IF(F280="NEW",IF(ISNA(VLOOKUP(E280,#REF!,1,FALSE())),"?TYPE_IDENTIFIABLE","?REFERENTIAL"),"_")))))</f>
        <v/>
      </c>
      <c r="H280" s="12" t="str">
        <f aca="false">IF(J280&lt;&gt;1,"",IF(I280="SBJ","CB","?"))</f>
        <v/>
      </c>
      <c r="I280" s="13" t="str">
        <f aca="false">IF(OR(E280="",E280="!!!",F280="NEW"),"",INDEX(B$2:B279,-1+SUMPRODUCT(MAX(ROW(E$2:E279)*(E280=E$2:E279)))))</f>
        <v/>
      </c>
      <c r="J280" s="14" t="str">
        <f aca="true">IF(OR(E280="",E280="!!!",F280="NEW"),"",COUNTBLANK(OFFSET(A$1,,,SUMPRODUCT(MAX(ROW(E$2:E280)*(E280=E$2:E280)))))-COUNTBLANK(OFFSET(A$1,,,SUMPRODUCT(MAX(ROW(E$1:E279)*(E280=E$1:E279))))))</f>
        <v/>
      </c>
      <c r="K280" s="14" t="str">
        <f aca="false">IF(OR(E280="",E280="!!!",F280="NEW"),"",INDEX(J$1:J279,SUMPRODUCT(MAX(ROW(E$1:E279)*(E280=E$1:E279)))))</f>
        <v/>
      </c>
      <c r="L280" s="15"/>
    </row>
    <row r="281" customFormat="false" ht="12.75" hidden="false" customHeight="false" outlineLevel="0" collapsed="false">
      <c r="A281" s="0" t="s">
        <v>45</v>
      </c>
      <c r="E281" s="9" t="str">
        <f aca="false">IF(D281="?OLD","!!!","")</f>
        <v/>
      </c>
      <c r="F281" s="10" t="str">
        <f aca="false">IF(OR(E281="",E281="!!!"),"",IF(NOT(ISNA(VLOOKUP(E281,E$1:E280,1,FALSE()))),"OLD",IF(AND(E281&lt;&gt;"",E281&lt;&gt;"!!!"),"NEW","")))</f>
        <v/>
      </c>
      <c r="G281" s="11" t="str">
        <f aca="false">IF(OR(E281="",E281="!!!"),"",IF(OR(J281=0,AND(J281=1,K281=1),AND(J281=1,I281="SBJ"),AND(J281=1,I281=0)),"?IN_FOCUS",IF(J281&lt;=2,"?ACTIVATED",IF(J281&lt;&gt;"","?FAMILIAR",IF(F281="NEW",IF(ISNA(VLOOKUP(E281,#REF!,1,FALSE())),"?TYPE_IDENTIFIABLE","?REFERENTIAL"),"_")))))</f>
        <v/>
      </c>
      <c r="H281" s="12" t="str">
        <f aca="false">IF(J281&lt;&gt;1,"",IF(I281="SBJ","CB","?"))</f>
        <v/>
      </c>
      <c r="I281" s="13" t="str">
        <f aca="false">IF(OR(E281="",E281="!!!",F281="NEW"),"",INDEX(B$2:B280,-1+SUMPRODUCT(MAX(ROW(E$2:E280)*(E281=E$2:E280)))))</f>
        <v/>
      </c>
      <c r="J281" s="14" t="str">
        <f aca="true">IF(OR(E281="",E281="!!!",F281="NEW"),"",COUNTBLANK(OFFSET(A$1,,,SUMPRODUCT(MAX(ROW(E$2:E281)*(E281=E$2:E281)))))-COUNTBLANK(OFFSET(A$1,,,SUMPRODUCT(MAX(ROW(E$1:E280)*(E281=E$1:E280))))))</f>
        <v/>
      </c>
      <c r="K281" s="14" t="str">
        <f aca="false">IF(OR(E281="",E281="!!!",F281="NEW"),"",INDEX(J$1:J280,SUMPRODUCT(MAX(ROW(E$1:E280)*(E281=E$1:E280)))))</f>
        <v/>
      </c>
      <c r="L281" s="15"/>
    </row>
    <row r="282" customFormat="false" ht="12.75" hidden="false" customHeight="false" outlineLevel="0" collapsed="false">
      <c r="A282" s="0" t="s">
        <v>227</v>
      </c>
      <c r="E282" s="9" t="str">
        <f aca="false">IF(D282="?OLD","!!!","")</f>
        <v/>
      </c>
      <c r="F282" s="10" t="str">
        <f aca="false">IF(OR(E282="",E282="!!!"),"",IF(NOT(ISNA(VLOOKUP(E282,E$1:E281,1,FALSE()))),"OLD",IF(AND(E282&lt;&gt;"",E282&lt;&gt;"!!!"),"NEW","")))</f>
        <v/>
      </c>
      <c r="G282" s="11" t="str">
        <f aca="false">IF(OR(E282="",E282="!!!"),"",IF(OR(J282=0,AND(J282=1,K282=1),AND(J282=1,I282="SBJ"),AND(J282=1,I282=0)),"?IN_FOCUS",IF(J282&lt;=2,"?ACTIVATED",IF(J282&lt;&gt;"","?FAMILIAR",IF(F282="NEW",IF(ISNA(VLOOKUP(E282,#REF!,1,FALSE())),"?TYPE_IDENTIFIABLE","?REFERENTIAL"),"_")))))</f>
        <v/>
      </c>
      <c r="H282" s="12" t="str">
        <f aca="false">IF(J282&lt;&gt;1,"",IF(I282="SBJ","CB","?"))</f>
        <v/>
      </c>
      <c r="I282" s="13" t="str">
        <f aca="false">IF(OR(E282="",E282="!!!",F282="NEW"),"",INDEX(B$2:B281,-1+SUMPRODUCT(MAX(ROW(E$2:E281)*(E282=E$2:E281)))))</f>
        <v/>
      </c>
      <c r="J282" s="14" t="str">
        <f aca="true">IF(OR(E282="",E282="!!!",F282="NEW"),"",COUNTBLANK(OFFSET(A$1,,,SUMPRODUCT(MAX(ROW(E$2:E282)*(E282=E$2:E282)))))-COUNTBLANK(OFFSET(A$1,,,SUMPRODUCT(MAX(ROW(E$1:E281)*(E282=E$1:E281))))))</f>
        <v/>
      </c>
      <c r="K282" s="14" t="str">
        <f aca="false">IF(OR(E282="",E282="!!!",F282="NEW"),"",INDEX(J$1:J281,SUMPRODUCT(MAX(ROW(E$1:E281)*(E282=E$1:E281)))))</f>
        <v/>
      </c>
      <c r="L282" s="15"/>
    </row>
    <row r="283" customFormat="false" ht="12.75" hidden="false" customHeight="false" outlineLevel="0" collapsed="false">
      <c r="A283" s="0" t="s">
        <v>228</v>
      </c>
      <c r="B283" s="0" t="s">
        <v>62</v>
      </c>
      <c r="C283" s="0" t="s">
        <v>135</v>
      </c>
      <c r="D283" s="0" t="s">
        <v>29</v>
      </c>
      <c r="E283" s="9" t="s">
        <v>68</v>
      </c>
      <c r="F283" s="10" t="s">
        <v>69</v>
      </c>
      <c r="G283" s="11"/>
      <c r="H283" s="12" t="str">
        <f aca="false">IF(J283&lt;&gt;1,"",IF(I283="SBJ","CB","?"))</f>
        <v/>
      </c>
      <c r="I283" s="13" t="str">
        <f aca="false">IF(OR(E283="",E283="!!!",F283="NEW"),"",INDEX(B$2:B282,-1+SUMPRODUCT(MAX(ROW(E$2:E282)*(E283=E$2:E282)))))</f>
        <v>SBJ</v>
      </c>
      <c r="J283" s="14" t="n">
        <f aca="true">IF(OR(E283="",E283="!!!",F283="NEW"),"",COUNTBLANK(OFFSET(A$1,,,SUMPRODUCT(MAX(ROW(E$2:E283)*(E283=E$2:E283)))))-COUNTBLANK(OFFSET(A$1,,,SUMPRODUCT(MAX(ROW(E$1:E282)*(E283=E$1:E282))))))</f>
        <v>0</v>
      </c>
      <c r="K283" s="14" t="n">
        <f aca="false">IF(OR(E283="",E283="!!!",F283="NEW"),"",INDEX(J$1:J282,SUMPRODUCT(MAX(ROW(E$1:E282)*(E283=E$1:E282)))))</f>
        <v>1</v>
      </c>
      <c r="L283" s="15"/>
    </row>
    <row r="284" customFormat="false" ht="12.75" hidden="false" customHeight="false" outlineLevel="0" collapsed="false">
      <c r="A284" s="0" t="s">
        <v>31</v>
      </c>
      <c r="E284" s="9" t="str">
        <f aca="false">IF(D284="?OLD","!!!","")</f>
        <v/>
      </c>
      <c r="F284" s="10" t="str">
        <f aca="false">IF(OR(E284="",E284="!!!"),"",IF(NOT(ISNA(VLOOKUP(E284,E$1:E283,1,FALSE()))),"OLD",IF(AND(E284&lt;&gt;"",E284&lt;&gt;"!!!"),"NEW","")))</f>
        <v/>
      </c>
      <c r="G284" s="11" t="str">
        <f aca="false">IF(OR(E284="",E284="!!!"),"",IF(OR(J284=0,AND(J284=1,K284=1),AND(J284=1,I284="SBJ"),AND(J284=1,I284=0)),"?IN_FOCUS",IF(J284&lt;=2,"?ACTIVATED",IF(J284&lt;&gt;"","?FAMILIAR",IF(F284="NEW",IF(ISNA(VLOOKUP(E284,#REF!,1,FALSE())),"?TYPE_IDENTIFIABLE","?REFERENTIAL"),"_")))))</f>
        <v/>
      </c>
      <c r="H284" s="12" t="str">
        <f aca="false">IF(J284&lt;&gt;1,"",IF(I284="SBJ","CB","?"))</f>
        <v/>
      </c>
      <c r="I284" s="13" t="str">
        <f aca="false">IF(OR(E284="",E284="!!!",F284="NEW"),"",INDEX(B$2:B283,-1+SUMPRODUCT(MAX(ROW(E$2:E283)*(E284=E$2:E283)))))</f>
        <v/>
      </c>
      <c r="J284" s="14" t="str">
        <f aca="true">IF(OR(E284="",E284="!!!",F284="NEW"),"",COUNTBLANK(OFFSET(A$1,,,SUMPRODUCT(MAX(ROW(E$2:E284)*(E284=E$2:E284)))))-COUNTBLANK(OFFSET(A$1,,,SUMPRODUCT(MAX(ROW(E$1:E283)*(E284=E$1:E283))))))</f>
        <v/>
      </c>
      <c r="K284" s="14" t="str">
        <f aca="false">IF(OR(E284="",E284="!!!",F284="NEW"),"",INDEX(J$1:J283,SUMPRODUCT(MAX(ROW(E$1:E283)*(E284=E$1:E283)))))</f>
        <v/>
      </c>
      <c r="L284" s="15"/>
    </row>
    <row r="285" customFormat="false" ht="12.75" hidden="false" customHeight="false" outlineLevel="0" collapsed="false">
      <c r="A285" s="0" t="s">
        <v>175</v>
      </c>
      <c r="E285" s="9" t="str">
        <f aca="false">IF(D285="?OLD","!!!","")</f>
        <v/>
      </c>
      <c r="F285" s="10" t="str">
        <f aca="false">IF(OR(E285="",E285="!!!"),"",IF(NOT(ISNA(VLOOKUP(E285,E$1:E284,1,FALSE()))),"OLD",IF(AND(E285&lt;&gt;"",E285&lt;&gt;"!!!"),"NEW","")))</f>
        <v/>
      </c>
      <c r="G285" s="11" t="str">
        <f aca="false">IF(OR(E285="",E285="!!!"),"",IF(OR(J285=0,AND(J285=1,K285=1),AND(J285=1,I285="SBJ"),AND(J285=1,I285=0)),"?IN_FOCUS",IF(J285&lt;=2,"?ACTIVATED",IF(J285&lt;&gt;"","?FAMILIAR",IF(F285="NEW",IF(ISNA(VLOOKUP(E285,#REF!,1,FALSE())),"?TYPE_IDENTIFIABLE","?REFERENTIAL"),"_")))))</f>
        <v/>
      </c>
      <c r="H285" s="12" t="str">
        <f aca="false">IF(J285&lt;&gt;1,"",IF(I285="SBJ","CB","?"))</f>
        <v/>
      </c>
      <c r="I285" s="13" t="str">
        <f aca="false">IF(OR(E285="",E285="!!!",F285="NEW"),"",INDEX(B$2:B284,-1+SUMPRODUCT(MAX(ROW(E$2:E284)*(E285=E$2:E284)))))</f>
        <v/>
      </c>
      <c r="J285" s="14" t="str">
        <f aca="true">IF(OR(E285="",E285="!!!",F285="NEW"),"",COUNTBLANK(OFFSET(A$1,,,SUMPRODUCT(MAX(ROW(E$2:E285)*(E285=E$2:E285)))))-COUNTBLANK(OFFSET(A$1,,,SUMPRODUCT(MAX(ROW(E$1:E284)*(E285=E$1:E284))))))</f>
        <v/>
      </c>
      <c r="K285" s="14" t="str">
        <f aca="false">IF(OR(E285="",E285="!!!",F285="NEW"),"",INDEX(J$1:J284,SUMPRODUCT(MAX(ROW(E$1:E284)*(E285=E$1:E284)))))</f>
        <v/>
      </c>
      <c r="L285" s="15"/>
    </row>
    <row r="286" customFormat="false" ht="12.75" hidden="false" customHeight="false" outlineLevel="0" collapsed="false">
      <c r="A286" s="0" t="s">
        <v>147</v>
      </c>
      <c r="B286" s="0" t="s">
        <v>42</v>
      </c>
      <c r="C286" s="0" t="s">
        <v>38</v>
      </c>
      <c r="D286" s="0" t="s">
        <v>29</v>
      </c>
      <c r="E286" s="9" t="s">
        <v>143</v>
      </c>
      <c r="F286" s="10" t="str">
        <f aca="false">IF(OR(E286="",E286="!!!"),"",IF(NOT(ISNA(VLOOKUP(E286,E$1:E285,1,FALSE()))),"OLD",IF(AND(E286&lt;&gt;"",E286&lt;&gt;"!!!"),"NEW","")))</f>
        <v>OLD</v>
      </c>
      <c r="G286" s="11" t="s">
        <v>80</v>
      </c>
      <c r="H286" s="12" t="s">
        <v>7</v>
      </c>
      <c r="I286" s="13" t="str">
        <f aca="false">IF(OR(E286="",E286="!!!",F286="NEW"),"",INDEX(B$2:B285,-1+SUMPRODUCT(MAX(ROW(E$2:E285)*(E286=E$2:E285)))))</f>
        <v>other_5</v>
      </c>
      <c r="J286" s="14" t="n">
        <f aca="true">IF(OR(E286="",E286="!!!",F286="NEW"),"",COUNTBLANK(OFFSET(A$1,,,SUMPRODUCT(MAX(ROW(E$2:E286)*(E286=E$2:E286)))))-COUNTBLANK(OFFSET(A$1,,,SUMPRODUCT(MAX(ROW(E$1:E285)*(E286=E$1:E285))))))</f>
        <v>1</v>
      </c>
      <c r="K286" s="14" t="n">
        <f aca="false">IF(OR(E286="",E286="!!!",F286="NEW"),"",INDEX(J$1:J285,SUMPRODUCT(MAX(ROW(E$1:E285)*(E286=E$1:E285)))))</f>
        <v>0</v>
      </c>
      <c r="L286" s="15"/>
    </row>
    <row r="287" customFormat="false" ht="12.75" hidden="false" customHeight="false" outlineLevel="0" collapsed="false">
      <c r="A287" s="0" t="s">
        <v>145</v>
      </c>
      <c r="E287" s="9" t="str">
        <f aca="false">IF(D287="?OLD","!!!","")</f>
        <v/>
      </c>
      <c r="F287" s="10" t="str">
        <f aca="false">IF(OR(E287="",E287="!!!"),"",IF(NOT(ISNA(VLOOKUP(E287,E$1:E286,1,FALSE()))),"OLD",IF(AND(E287&lt;&gt;"",E287&lt;&gt;"!!!"),"NEW","")))</f>
        <v/>
      </c>
      <c r="G287" s="11" t="str">
        <f aca="false">IF(OR(E287="",E287="!!!"),"",IF(OR(J287=0,AND(J287=1,K287=1),AND(J287=1,I287="SBJ"),AND(J287=1,I287=0)),"?IN_FOCUS",IF(J287&lt;=2,"?ACTIVATED",IF(J287&lt;&gt;"","?FAMILIAR",IF(F287="NEW",IF(ISNA(VLOOKUP(E287,#REF!,1,FALSE())),"?TYPE_IDENTIFIABLE","?REFERENTIAL"),"_")))))</f>
        <v/>
      </c>
      <c r="H287" s="12" t="str">
        <f aca="false">IF(J287&lt;&gt;1,"",IF(I287="SBJ","CB","?"))</f>
        <v/>
      </c>
      <c r="I287" s="13" t="str">
        <f aca="false">IF(OR(E287="",E287="!!!",F287="NEW"),"",INDEX(B$2:B286,-1+SUMPRODUCT(MAX(ROW(E$2:E286)*(E287=E$2:E286)))))</f>
        <v/>
      </c>
      <c r="J287" s="14" t="str">
        <f aca="true">IF(OR(E287="",E287="!!!",F287="NEW"),"",COUNTBLANK(OFFSET(A$1,,,SUMPRODUCT(MAX(ROW(E$2:E287)*(E287=E$2:E287)))))-COUNTBLANK(OFFSET(A$1,,,SUMPRODUCT(MAX(ROW(E$1:E286)*(E287=E$1:E286))))))</f>
        <v/>
      </c>
      <c r="K287" s="14" t="str">
        <f aca="false">IF(OR(E287="",E287="!!!",F287="NEW"),"",INDEX(J$1:J286,SUMPRODUCT(MAX(ROW(E$1:E286)*(E287=E$1:E286)))))</f>
        <v/>
      </c>
      <c r="L287" s="15"/>
    </row>
    <row r="288" customFormat="false" ht="12.75" hidden="false" customHeight="false" outlineLevel="0" collapsed="false">
      <c r="A288" s="0" t="s">
        <v>146</v>
      </c>
      <c r="E288" s="9" t="str">
        <f aca="false">IF(D288="?OLD","!!!","")</f>
        <v/>
      </c>
      <c r="F288" s="10" t="str">
        <f aca="false">IF(OR(E288="",E288="!!!"),"",IF(NOT(ISNA(VLOOKUP(E288,E$1:E287,1,FALSE()))),"OLD",IF(AND(E288&lt;&gt;"",E288&lt;&gt;"!!!"),"NEW","")))</f>
        <v/>
      </c>
      <c r="G288" s="11" t="str">
        <f aca="false">IF(OR(E288="",E288="!!!"),"",IF(OR(J288=0,AND(J288=1,K288=1),AND(J288=1,I288="SBJ"),AND(J288=1,I288=0)),"?IN_FOCUS",IF(J288&lt;=2,"?ACTIVATED",IF(J288&lt;&gt;"","?FAMILIAR",IF(F288="NEW",IF(ISNA(VLOOKUP(E288,#REF!,1,FALSE())),"?TYPE_IDENTIFIABLE","?REFERENTIAL"),"_")))))</f>
        <v/>
      </c>
      <c r="H288" s="12" t="str">
        <f aca="false">IF(J288&lt;&gt;1,"",IF(I288="SBJ","CB","?"))</f>
        <v/>
      </c>
      <c r="I288" s="13" t="str">
        <f aca="false">IF(OR(E288="",E288="!!!",F288="NEW"),"",INDEX(B$2:B287,-1+SUMPRODUCT(MAX(ROW(E$2:E287)*(E288=E$2:E287)))))</f>
        <v/>
      </c>
      <c r="J288" s="14" t="str">
        <f aca="true">IF(OR(E288="",E288="!!!",F288="NEW"),"",COUNTBLANK(OFFSET(A$1,,,SUMPRODUCT(MAX(ROW(E$2:E288)*(E288=E$2:E288)))))-COUNTBLANK(OFFSET(A$1,,,SUMPRODUCT(MAX(ROW(E$1:E287)*(E288=E$1:E287))))))</f>
        <v/>
      </c>
      <c r="K288" s="14" t="str">
        <f aca="false">IF(OR(E288="",E288="!!!",F288="NEW"),"",INDEX(J$1:J287,SUMPRODUCT(MAX(ROW(E$1:E287)*(E288=E$1:E287)))))</f>
        <v/>
      </c>
      <c r="L288" s="15"/>
    </row>
    <row r="289" customFormat="false" ht="12.75" hidden="false" customHeight="false" outlineLevel="0" collapsed="false">
      <c r="A289" s="0" t="s">
        <v>229</v>
      </c>
      <c r="E289" s="9" t="str">
        <f aca="false">IF(D289="?OLD","!!!","")</f>
        <v/>
      </c>
      <c r="F289" s="10" t="str">
        <f aca="false">IF(OR(E289="",E289="!!!"),"",IF(NOT(ISNA(VLOOKUP(E289,E$1:E288,1,FALSE()))),"OLD",IF(AND(E289&lt;&gt;"",E289&lt;&gt;"!!!"),"NEW","")))</f>
        <v/>
      </c>
      <c r="G289" s="11" t="str">
        <f aca="false">IF(OR(E289="",E289="!!!"),"",IF(OR(J289=0,AND(J289=1,K289=1),AND(J289=1,I289="SBJ"),AND(J289=1,I289=0)),"?IN_FOCUS",IF(J289&lt;=2,"?ACTIVATED",IF(J289&lt;&gt;"","?FAMILIAR",IF(F289="NEW",IF(ISNA(VLOOKUP(E289,#REF!,1,FALSE())),"?TYPE_IDENTIFIABLE","?REFERENTIAL"),"_")))))</f>
        <v/>
      </c>
      <c r="H289" s="12" t="str">
        <f aca="false">IF(J289&lt;&gt;1,"",IF(I289="SBJ","CB","?"))</f>
        <v/>
      </c>
      <c r="I289" s="13" t="str">
        <f aca="false">IF(OR(E289="",E289="!!!",F289="NEW"),"",INDEX(B$2:B288,-1+SUMPRODUCT(MAX(ROW(E$2:E288)*(E289=E$2:E288)))))</f>
        <v/>
      </c>
      <c r="J289" s="14" t="str">
        <f aca="true">IF(OR(E289="",E289="!!!",F289="NEW"),"",COUNTBLANK(OFFSET(A$1,,,SUMPRODUCT(MAX(ROW(E$2:E289)*(E289=E$2:E289)))))-COUNTBLANK(OFFSET(A$1,,,SUMPRODUCT(MAX(ROW(E$1:E288)*(E289=E$1:E288))))))</f>
        <v/>
      </c>
      <c r="K289" s="14" t="str">
        <f aca="false">IF(OR(E289="",E289="!!!",F289="NEW"),"",INDEX(J$1:J288,SUMPRODUCT(MAX(ROW(E$1:E288)*(E289=E$1:E288)))))</f>
        <v/>
      </c>
      <c r="L289" s="15"/>
    </row>
    <row r="290" customFormat="false" ht="12.75" hidden="false" customHeight="false" outlineLevel="0" collapsed="false">
      <c r="A290" s="0" t="s">
        <v>230</v>
      </c>
      <c r="B290" s="0" t="s">
        <v>22</v>
      </c>
      <c r="C290" s="0" t="s">
        <v>23</v>
      </c>
      <c r="D290" s="0" t="s">
        <v>29</v>
      </c>
      <c r="E290" s="9" t="s">
        <v>68</v>
      </c>
      <c r="F290" s="10" t="s">
        <v>69</v>
      </c>
      <c r="G290" s="11"/>
      <c r="H290" s="12" t="str">
        <f aca="false">IF(J290&lt;&gt;1,"",IF(I290="SBJ","CB","?"))</f>
        <v/>
      </c>
      <c r="I290" s="13" t="str">
        <f aca="false">IF(OR(E290="",E290="!!!",F290="NEW"),"",INDEX(B$2:B289,-1+SUMPRODUCT(MAX(ROW(E$2:E289)*(E290=E$2:E289)))))</f>
        <v>other</v>
      </c>
      <c r="J290" s="14" t="n">
        <f aca="true">IF(OR(E290="",E290="!!!",F290="NEW"),"",COUNTBLANK(OFFSET(A$1,,,SUMPRODUCT(MAX(ROW(E$2:E290)*(E290=E$2:E290)))))-COUNTBLANK(OFFSET(A$1,,,SUMPRODUCT(MAX(ROW(E$1:E289)*(E290=E$1:E289))))))</f>
        <v>0</v>
      </c>
      <c r="K290" s="14" t="n">
        <f aca="false">IF(OR(E290="",E290="!!!",F290="NEW"),"",INDEX(J$1:J289,SUMPRODUCT(MAX(ROW(E$1:E289)*(E290=E$1:E289)))))</f>
        <v>0</v>
      </c>
      <c r="L290" s="15"/>
    </row>
    <row r="291" customFormat="false" ht="12.75" hidden="false" customHeight="false" outlineLevel="0" collapsed="false">
      <c r="A291" s="0" t="s">
        <v>26</v>
      </c>
      <c r="E291" s="9" t="str">
        <f aca="false">IF(D291="?OLD","!!!","")</f>
        <v/>
      </c>
      <c r="F291" s="10" t="str">
        <f aca="false">IF(OR(E291="",E291="!!!"),"",IF(NOT(ISNA(VLOOKUP(E291,E$1:E290,1,FALSE()))),"OLD",IF(AND(E291&lt;&gt;"",E291&lt;&gt;"!!!"),"NEW","")))</f>
        <v/>
      </c>
      <c r="G291" s="11" t="str">
        <f aca="false">IF(OR(E291="",E291="!!!"),"",IF(OR(J291=0,AND(J291=1,K291=1),AND(J291=1,I291="SBJ"),AND(J291=1,I291=0)),"?IN_FOCUS",IF(J291&lt;=2,"?ACTIVATED",IF(J291&lt;&gt;"","?FAMILIAR",IF(F291="NEW",IF(ISNA(VLOOKUP(E291,#REF!,1,FALSE())),"?TYPE_IDENTIFIABLE","?REFERENTIAL"),"_")))))</f>
        <v/>
      </c>
      <c r="H291" s="12" t="str">
        <f aca="false">IF(J291&lt;&gt;1,"",IF(I291="SBJ","CB","?"))</f>
        <v/>
      </c>
      <c r="I291" s="13" t="str">
        <f aca="false">IF(OR(E291="",E291="!!!",F291="NEW"),"",INDEX(B$2:B290,-1+SUMPRODUCT(MAX(ROW(E$2:E290)*(E291=E$2:E290)))))</f>
        <v/>
      </c>
      <c r="J291" s="14" t="str">
        <f aca="true">IF(OR(E291="",E291="!!!",F291="NEW"),"",COUNTBLANK(OFFSET(A$1,,,SUMPRODUCT(MAX(ROW(E$2:E291)*(E291=E$2:E291)))))-COUNTBLANK(OFFSET(A$1,,,SUMPRODUCT(MAX(ROW(E$1:E290)*(E291=E$1:E290))))))</f>
        <v/>
      </c>
      <c r="K291" s="14" t="str">
        <f aca="false">IF(OR(E291="",E291="!!!",F291="NEW"),"",INDEX(J$1:J290,SUMPRODUCT(MAX(ROW(E$1:E290)*(E291=E$1:E290)))))</f>
        <v/>
      </c>
      <c r="L291" s="15"/>
    </row>
    <row r="292" customFormat="false" ht="12.75" hidden="false" customHeight="false" outlineLevel="0" collapsed="false">
      <c r="A292" s="0" t="s">
        <v>231</v>
      </c>
      <c r="B292" s="0" t="s">
        <v>103</v>
      </c>
      <c r="C292" s="0" t="s">
        <v>15</v>
      </c>
      <c r="D292" s="0" t="s">
        <v>29</v>
      </c>
      <c r="E292" s="9" t="s">
        <v>68</v>
      </c>
      <c r="F292" s="10" t="s">
        <v>69</v>
      </c>
      <c r="G292" s="11"/>
      <c r="H292" s="12" t="str">
        <f aca="false">IF(J292&lt;&gt;1,"",IF(I292="SBJ","CB","?"))</f>
        <v/>
      </c>
      <c r="I292" s="13" t="str">
        <f aca="false">IF(OR(E292="",E292="!!!",F292="NEW"),"",INDEX(B$2:B291,-1+SUMPRODUCT(MAX(ROW(E$2:E291)*(E292=E$2:E291)))))</f>
        <v>other_3</v>
      </c>
      <c r="J292" s="14" t="n">
        <f aca="true">IF(OR(E292="",E292="!!!",F292="NEW"),"",COUNTBLANK(OFFSET(A$1,,,SUMPRODUCT(MAX(ROW(E$2:E292)*(E292=E$2:E292)))))-COUNTBLANK(OFFSET(A$1,,,SUMPRODUCT(MAX(ROW(E$1:E291)*(E292=E$1:E291))))))</f>
        <v>0</v>
      </c>
      <c r="K292" s="14" t="n">
        <f aca="false">IF(OR(E292="",E292="!!!",F292="NEW"),"",INDEX(J$1:J291,SUMPRODUCT(MAX(ROW(E$1:E291)*(E292=E$1:E291)))))</f>
        <v>0</v>
      </c>
      <c r="L292" s="15"/>
    </row>
    <row r="293" customFormat="false" ht="12.75" hidden="false" customHeight="false" outlineLevel="0" collapsed="false">
      <c r="A293" s="0" t="s">
        <v>88</v>
      </c>
      <c r="E293" s="9" t="str">
        <f aca="false">IF(D293="?OLD","!!!","")</f>
        <v/>
      </c>
      <c r="F293" s="10" t="str">
        <f aca="false">IF(OR(E293="",E293="!!!"),"",IF(NOT(ISNA(VLOOKUP(E293,E$1:E292,1,FALSE()))),"OLD",IF(AND(E293&lt;&gt;"",E293&lt;&gt;"!!!"),"NEW","")))</f>
        <v/>
      </c>
      <c r="G293" s="11" t="str">
        <f aca="false">IF(OR(E293="",E293="!!!"),"",IF(OR(J293=0,AND(J293=1,K293=1),AND(J293=1,I293="SBJ"),AND(J293=1,I293=0)),"?IN_FOCUS",IF(J293&lt;=2,"?ACTIVATED",IF(J293&lt;&gt;"","?FAMILIAR",IF(F293="NEW",IF(ISNA(VLOOKUP(E293,#REF!,1,FALSE())),"?TYPE_IDENTIFIABLE","?REFERENTIAL"),"_")))))</f>
        <v/>
      </c>
      <c r="H293" s="12" t="str">
        <f aca="false">IF(J293&lt;&gt;1,"",IF(I293="SBJ","CB","?"))</f>
        <v/>
      </c>
      <c r="I293" s="13" t="str">
        <f aca="false">IF(OR(E293="",E293="!!!",F293="NEW"),"",INDEX(B$2:B292,-1+SUMPRODUCT(MAX(ROW(E$2:E292)*(E293=E$2:E292)))))</f>
        <v/>
      </c>
      <c r="J293" s="14" t="str">
        <f aca="true">IF(OR(E293="",E293="!!!",F293="NEW"),"",COUNTBLANK(OFFSET(A$1,,,SUMPRODUCT(MAX(ROW(E$2:E293)*(E293=E$2:E293)))))-COUNTBLANK(OFFSET(A$1,,,SUMPRODUCT(MAX(ROW(E$1:E292)*(E293=E$1:E292))))))</f>
        <v/>
      </c>
      <c r="K293" s="14" t="str">
        <f aca="false">IF(OR(E293="",E293="!!!",F293="NEW"),"",INDEX(J$1:J292,SUMPRODUCT(MAX(ROW(E$1:E292)*(E293=E$1:E292)))))</f>
        <v/>
      </c>
      <c r="L293" s="15"/>
    </row>
    <row r="294" customFormat="false" ht="12.75" hidden="false" customHeight="false" outlineLevel="0" collapsed="false">
      <c r="A294" s="0" t="s">
        <v>232</v>
      </c>
      <c r="E294" s="9" t="str">
        <f aca="false">IF(D294="?OLD","!!!","")</f>
        <v/>
      </c>
      <c r="F294" s="10" t="str">
        <f aca="false">IF(OR(E294="",E294="!!!"),"",IF(NOT(ISNA(VLOOKUP(E294,E$1:E293,1,FALSE()))),"OLD",IF(AND(E294&lt;&gt;"",E294&lt;&gt;"!!!"),"NEW","")))</f>
        <v/>
      </c>
      <c r="G294" s="11" t="str">
        <f aca="false">IF(OR(E294="",E294="!!!"),"",IF(OR(J294=0,AND(J294=1,K294=1),AND(J294=1,I294="SBJ"),AND(J294=1,I294=0)),"?IN_FOCUS",IF(J294&lt;=2,"?ACTIVATED",IF(J294&lt;&gt;"","?FAMILIAR",IF(F294="NEW",IF(ISNA(VLOOKUP(E294,#REF!,1,FALSE())),"?TYPE_IDENTIFIABLE","?REFERENTIAL"),"_")))))</f>
        <v/>
      </c>
      <c r="H294" s="12" t="str">
        <f aca="false">IF(J294&lt;&gt;1,"",IF(I294="SBJ","CB","?"))</f>
        <v/>
      </c>
      <c r="I294" s="13" t="str">
        <f aca="false">IF(OR(E294="",E294="!!!",F294="NEW"),"",INDEX(B$2:B293,-1+SUMPRODUCT(MAX(ROW(E$2:E293)*(E294=E$2:E293)))))</f>
        <v/>
      </c>
      <c r="J294" s="14" t="str">
        <f aca="true">IF(OR(E294="",E294="!!!",F294="NEW"),"",COUNTBLANK(OFFSET(A$1,,,SUMPRODUCT(MAX(ROW(E$2:E294)*(E294=E$2:E294)))))-COUNTBLANK(OFFSET(A$1,,,SUMPRODUCT(MAX(ROW(E$1:E293)*(E294=E$1:E293))))))</f>
        <v/>
      </c>
      <c r="K294" s="14" t="str">
        <f aca="false">IF(OR(E294="",E294="!!!",F294="NEW"),"",INDEX(J$1:J293,SUMPRODUCT(MAX(ROW(E$1:E293)*(E294=E$1:E293)))))</f>
        <v/>
      </c>
      <c r="L294" s="15"/>
    </row>
    <row r="295" customFormat="false" ht="12.75" hidden="false" customHeight="false" outlineLevel="0" collapsed="false">
      <c r="A295" s="0" t="s">
        <v>45</v>
      </c>
      <c r="E295" s="9" t="str">
        <f aca="false">IF(D295="?OLD","!!!","")</f>
        <v/>
      </c>
      <c r="F295" s="10" t="str">
        <f aca="false">IF(OR(E295="",E295="!!!"),"",IF(NOT(ISNA(VLOOKUP(E295,E$1:E294,1,FALSE()))),"OLD",IF(AND(E295&lt;&gt;"",E295&lt;&gt;"!!!"),"NEW","")))</f>
        <v/>
      </c>
      <c r="G295" s="11" t="str">
        <f aca="false">IF(OR(E295="",E295="!!!"),"",IF(OR(J295=0,AND(J295=1,K295=1),AND(J295=1,I295="SBJ"),AND(J295=1,I295=0)),"?IN_FOCUS",IF(J295&lt;=2,"?ACTIVATED",IF(J295&lt;&gt;"","?FAMILIAR",IF(F295="NEW",IF(ISNA(VLOOKUP(E295,#REF!,1,FALSE())),"?TYPE_IDENTIFIABLE","?REFERENTIAL"),"_")))))</f>
        <v/>
      </c>
      <c r="H295" s="12" t="str">
        <f aca="false">IF(J295&lt;&gt;1,"",IF(I295="SBJ","CB","?"))</f>
        <v/>
      </c>
      <c r="I295" s="13" t="str">
        <f aca="false">IF(OR(E295="",E295="!!!",F295="NEW"),"",INDEX(B$2:B294,-1+SUMPRODUCT(MAX(ROW(E$2:E294)*(E295=E$2:E294)))))</f>
        <v/>
      </c>
      <c r="J295" s="14" t="str">
        <f aca="true">IF(OR(E295="",E295="!!!",F295="NEW"),"",COUNTBLANK(OFFSET(A$1,,,SUMPRODUCT(MAX(ROW(E$2:E295)*(E295=E$2:E295)))))-COUNTBLANK(OFFSET(A$1,,,SUMPRODUCT(MAX(ROW(E$1:E294)*(E295=E$1:E294))))))</f>
        <v/>
      </c>
      <c r="K295" s="14" t="str">
        <f aca="false">IF(OR(E295="",E295="!!!",F295="NEW"),"",INDEX(J$1:J294,SUMPRODUCT(MAX(ROW(E$1:E294)*(E295=E$1:E294)))))</f>
        <v/>
      </c>
      <c r="L295" s="15"/>
    </row>
    <row r="296" customFormat="false" ht="12.75" hidden="false" customHeight="false" outlineLevel="0" collapsed="false">
      <c r="A296" s="0" t="s">
        <v>147</v>
      </c>
      <c r="B296" s="0" t="s">
        <v>157</v>
      </c>
      <c r="C296" s="0" t="s">
        <v>38</v>
      </c>
      <c r="D296" s="0" t="s">
        <v>29</v>
      </c>
      <c r="E296" s="9" t="s">
        <v>143</v>
      </c>
      <c r="F296" s="10" t="str">
        <f aca="false">IF(OR(E296="",E296="!!!"),"",IF(NOT(ISNA(VLOOKUP(E296,E$1:E295,1,FALSE()))),"OLD",IF(AND(E296&lt;&gt;"",E296&lt;&gt;"!!!"),"NEW","")))</f>
        <v>OLD</v>
      </c>
      <c r="G296" s="11" t="s">
        <v>39</v>
      </c>
      <c r="H296" s="12" t="str">
        <f aca="false">IF(J296&lt;&gt;1,"",IF(I296="SBJ","CB","?"))</f>
        <v/>
      </c>
      <c r="I296" s="13" t="str">
        <f aca="false">IF(OR(E296="",E296="!!!",F296="NEW"),"",INDEX(B$2:B295,-1+SUMPRODUCT(MAX(ROW(E$2:E295)*(E296=E$2:E295)))))</f>
        <v>SBJ_2</v>
      </c>
      <c r="J296" s="14" t="n">
        <f aca="true">IF(OR(E296="",E296="!!!",F296="NEW"),"",COUNTBLANK(OFFSET(A$1,,,SUMPRODUCT(MAX(ROW(E$2:E296)*(E296=E$2:E296)))))-COUNTBLANK(OFFSET(A$1,,,SUMPRODUCT(MAX(ROW(E$1:E295)*(E296=E$1:E295))))))</f>
        <v>0</v>
      </c>
      <c r="K296" s="14" t="n">
        <f aca="false">IF(OR(E296="",E296="!!!",F296="NEW"),"",INDEX(J$1:J295,SUMPRODUCT(MAX(ROW(E$1:E295)*(E296=E$1:E295)))))</f>
        <v>1</v>
      </c>
      <c r="L296" s="15"/>
    </row>
    <row r="297" customFormat="false" ht="12.75" hidden="false" customHeight="false" outlineLevel="0" collapsed="false">
      <c r="A297" s="0" t="s">
        <v>95</v>
      </c>
      <c r="E297" s="9" t="str">
        <f aca="false">IF(D297="?OLD","!!!","")</f>
        <v/>
      </c>
      <c r="F297" s="10" t="str">
        <f aca="false">IF(OR(E297="",E297="!!!"),"",IF(NOT(ISNA(VLOOKUP(E297,E$1:E296,1,FALSE()))),"OLD",IF(AND(E297&lt;&gt;"",E297&lt;&gt;"!!!"),"NEW","")))</f>
        <v/>
      </c>
      <c r="G297" s="11" t="str">
        <f aca="false">IF(OR(E297="",E297="!!!"),"",IF(OR(J297=0,AND(J297=1,K297=1),AND(J297=1,I297="SBJ"),AND(J297=1,I297=0)),"?IN_FOCUS",IF(J297&lt;=2,"?ACTIVATED",IF(J297&lt;&gt;"","?FAMILIAR",IF(F297="NEW",IF(ISNA(VLOOKUP(E297,#REF!,1,FALSE())),"?TYPE_IDENTIFIABLE","?REFERENTIAL"),"_")))))</f>
        <v/>
      </c>
      <c r="H297" s="12" t="str">
        <f aca="false">IF(J297&lt;&gt;1,"",IF(I297="SBJ","CB","?"))</f>
        <v/>
      </c>
      <c r="I297" s="13" t="str">
        <f aca="false">IF(OR(E297="",E297="!!!",F297="NEW"),"",INDEX(B$2:B296,-1+SUMPRODUCT(MAX(ROW(E$2:E296)*(E297=E$2:E296)))))</f>
        <v/>
      </c>
      <c r="J297" s="14" t="str">
        <f aca="true">IF(OR(E297="",E297="!!!",F297="NEW"),"",COUNTBLANK(OFFSET(A$1,,,SUMPRODUCT(MAX(ROW(E$2:E297)*(E297=E$2:E297)))))-COUNTBLANK(OFFSET(A$1,,,SUMPRODUCT(MAX(ROW(E$1:E296)*(E297=E$1:E296))))))</f>
        <v/>
      </c>
      <c r="K297" s="14" t="str">
        <f aca="false">IF(OR(E297="",E297="!!!",F297="NEW"),"",INDEX(J$1:J296,SUMPRODUCT(MAX(ROW(E$1:E296)*(E297=E$1:E296)))))</f>
        <v/>
      </c>
      <c r="L297" s="15"/>
    </row>
    <row r="298" customFormat="false" ht="12.75" hidden="false" customHeight="false" outlineLevel="0" collapsed="false">
      <c r="A298" s="0" t="s">
        <v>233</v>
      </c>
      <c r="E298" s="9" t="str">
        <f aca="false">IF(D298="?OLD","!!!","")</f>
        <v/>
      </c>
      <c r="F298" s="10" t="str">
        <f aca="false">IF(OR(E298="",E298="!!!"),"",IF(NOT(ISNA(VLOOKUP(E298,E$1:E297,1,FALSE()))),"OLD",IF(AND(E298&lt;&gt;"",E298&lt;&gt;"!!!"),"NEW","")))</f>
        <v/>
      </c>
      <c r="G298" s="11" t="str">
        <f aca="false">IF(OR(E298="",E298="!!!"),"",IF(OR(J298=0,AND(J298=1,K298=1),AND(J298=1,I298="SBJ"),AND(J298=1,I298=0)),"?IN_FOCUS",IF(J298&lt;=2,"?ACTIVATED",IF(J298&lt;&gt;"","?FAMILIAR",IF(F298="NEW",IF(ISNA(VLOOKUP(E298,#REF!,1,FALSE())),"?TYPE_IDENTIFIABLE","?REFERENTIAL"),"_")))))</f>
        <v/>
      </c>
      <c r="H298" s="12" t="str">
        <f aca="false">IF(J298&lt;&gt;1,"",IF(I298="SBJ","CB","?"))</f>
        <v/>
      </c>
      <c r="I298" s="13" t="str">
        <f aca="false">IF(OR(E298="",E298="!!!",F298="NEW"),"",INDEX(B$2:B297,-1+SUMPRODUCT(MAX(ROW(E$2:E297)*(E298=E$2:E297)))))</f>
        <v/>
      </c>
      <c r="J298" s="14" t="str">
        <f aca="true">IF(OR(E298="",E298="!!!",F298="NEW"),"",COUNTBLANK(OFFSET(A$1,,,SUMPRODUCT(MAX(ROW(E$2:E298)*(E298=E$2:E298)))))-COUNTBLANK(OFFSET(A$1,,,SUMPRODUCT(MAX(ROW(E$1:E297)*(E298=E$1:E297))))))</f>
        <v/>
      </c>
      <c r="K298" s="14" t="str">
        <f aca="false">IF(OR(E298="",E298="!!!",F298="NEW"),"",INDEX(J$1:J297,SUMPRODUCT(MAX(ROW(E$1:E297)*(E298=E$1:E297)))))</f>
        <v/>
      </c>
      <c r="L298" s="15"/>
    </row>
    <row r="299" customFormat="false" ht="12.75" hidden="false" customHeight="false" outlineLevel="0" collapsed="false">
      <c r="A299" s="0" t="s">
        <v>234</v>
      </c>
      <c r="E299" s="9" t="str">
        <f aca="false">IF(D299="?OLD","!!!","")</f>
        <v/>
      </c>
      <c r="F299" s="10" t="str">
        <f aca="false">IF(OR(E299="",E299="!!!"),"",IF(NOT(ISNA(VLOOKUP(E299,E$1:E298,1,FALSE()))),"OLD",IF(AND(E299&lt;&gt;"",E299&lt;&gt;"!!!"),"NEW","")))</f>
        <v/>
      </c>
      <c r="G299" s="11" t="str">
        <f aca="false">IF(OR(E299="",E299="!!!"),"",IF(OR(J299=0,AND(J299=1,K299=1),AND(J299=1,I299="SBJ"),AND(J299=1,I299=0)),"?IN_FOCUS",IF(J299&lt;=2,"?ACTIVATED",IF(J299&lt;&gt;"","?FAMILIAR",IF(F299="NEW",IF(ISNA(VLOOKUP(E299,#REF!,1,FALSE())),"?TYPE_IDENTIFIABLE","?REFERENTIAL"),"_")))))</f>
        <v/>
      </c>
      <c r="H299" s="12" t="str">
        <f aca="false">IF(J299&lt;&gt;1,"",IF(I299="SBJ","CB","?"))</f>
        <v/>
      </c>
      <c r="I299" s="13" t="str">
        <f aca="false">IF(OR(E299="",E299="!!!",F299="NEW"),"",INDEX(B$2:B298,-1+SUMPRODUCT(MAX(ROW(E$2:E298)*(E299=E$2:E298)))))</f>
        <v/>
      </c>
      <c r="J299" s="14" t="str">
        <f aca="true">IF(OR(E299="",E299="!!!",F299="NEW"),"",COUNTBLANK(OFFSET(A$1,,,SUMPRODUCT(MAX(ROW(E$2:E299)*(E299=E$2:E299)))))-COUNTBLANK(OFFSET(A$1,,,SUMPRODUCT(MAX(ROW(E$1:E298)*(E299=E$1:E298))))))</f>
        <v/>
      </c>
      <c r="K299" s="14" t="str">
        <f aca="false">IF(OR(E299="",E299="!!!",F299="NEW"),"",INDEX(J$1:J298,SUMPRODUCT(MAX(ROW(E$1:E298)*(E299=E$1:E298)))))</f>
        <v/>
      </c>
      <c r="L299" s="15"/>
    </row>
    <row r="300" customFormat="false" ht="12.75" hidden="false" customHeight="false" outlineLevel="0" collapsed="false">
      <c r="A300" s="0" t="s">
        <v>51</v>
      </c>
      <c r="E300" s="9" t="str">
        <f aca="false">IF(D300="?OLD","!!!","")</f>
        <v/>
      </c>
      <c r="F300" s="10" t="str">
        <f aca="false">IF(OR(E300="",E300="!!!"),"",IF(NOT(ISNA(VLOOKUP(E300,E$1:E299,1,FALSE()))),"OLD",IF(AND(E300&lt;&gt;"",E300&lt;&gt;"!!!"),"NEW","")))</f>
        <v/>
      </c>
      <c r="G300" s="11" t="str">
        <f aca="false">IF(OR(E300="",E300="!!!"),"",IF(OR(J300=0,AND(J300=1,K300=1),AND(J300=1,I300="SBJ"),AND(J300=1,I300=0)),"?IN_FOCUS",IF(J300&lt;=2,"?ACTIVATED",IF(J300&lt;&gt;"","?FAMILIAR",IF(F300="NEW",IF(ISNA(VLOOKUP(E300,#REF!,1,FALSE())),"?TYPE_IDENTIFIABLE","?REFERENTIAL"),"_")))))</f>
        <v/>
      </c>
      <c r="H300" s="12" t="str">
        <f aca="false">IF(J300&lt;&gt;1,"",IF(I300="SBJ","CB","?"))</f>
        <v/>
      </c>
      <c r="I300" s="13" t="str">
        <f aca="false">IF(OR(E300="",E300="!!!",F300="NEW"),"",INDEX(B$2:B299,-1+SUMPRODUCT(MAX(ROW(E$2:E299)*(E300=E$2:E299)))))</f>
        <v/>
      </c>
      <c r="J300" s="14" t="str">
        <f aca="true">IF(OR(E300="",E300="!!!",F300="NEW"),"",COUNTBLANK(OFFSET(A$1,,,SUMPRODUCT(MAX(ROW(E$2:E300)*(E300=E$2:E300)))))-COUNTBLANK(OFFSET(A$1,,,SUMPRODUCT(MAX(ROW(E$1:E299)*(E300=E$1:E299))))))</f>
        <v/>
      </c>
      <c r="K300" s="14" t="str">
        <f aca="false">IF(OR(E300="",E300="!!!",F300="NEW"),"",INDEX(J$1:J299,SUMPRODUCT(MAX(ROW(E$1:E299)*(E300=E$1:E299)))))</f>
        <v/>
      </c>
      <c r="L300" s="15"/>
    </row>
    <row r="301" customFormat="false" ht="12.75" hidden="false" customHeight="false" outlineLevel="0" collapsed="false">
      <c r="A301" s="0" t="s">
        <v>66</v>
      </c>
      <c r="E301" s="9" t="str">
        <f aca="false">IF(D301="?OLD","!!!","")</f>
        <v/>
      </c>
      <c r="F301" s="10" t="str">
        <f aca="false">IF(OR(E301="",E301="!!!"),"",IF(NOT(ISNA(VLOOKUP(E301,E$1:E300,1,FALSE()))),"OLD",IF(AND(E301&lt;&gt;"",E301&lt;&gt;"!!!"),"NEW","")))</f>
        <v/>
      </c>
      <c r="G301" s="11" t="str">
        <f aca="false">IF(OR(E301="",E301="!!!"),"",IF(OR(J301=0,AND(J301=1,K301=1),AND(J301=1,I301="SBJ"),AND(J301=1,I301=0)),"?IN_FOCUS",IF(J301&lt;=2,"?ACTIVATED",IF(J301&lt;&gt;"","?FAMILIAR",IF(F301="NEW",IF(ISNA(VLOOKUP(E301,#REF!,1,FALSE())),"?TYPE_IDENTIFIABLE","?REFERENTIAL"),"_")))))</f>
        <v/>
      </c>
      <c r="H301" s="12" t="str">
        <f aca="false">IF(J301&lt;&gt;1,"",IF(I301="SBJ","CB","?"))</f>
        <v/>
      </c>
      <c r="I301" s="13" t="str">
        <f aca="false">IF(OR(E301="",E301="!!!",F301="NEW"),"",INDEX(B$2:B300,-1+SUMPRODUCT(MAX(ROW(E$2:E300)*(E301=E$2:E300)))))</f>
        <v/>
      </c>
      <c r="J301" s="14" t="str">
        <f aca="true">IF(OR(E301="",E301="!!!",F301="NEW"),"",COUNTBLANK(OFFSET(A$1,,,SUMPRODUCT(MAX(ROW(E$2:E301)*(E301=E$2:E301)))))-COUNTBLANK(OFFSET(A$1,,,SUMPRODUCT(MAX(ROW(E$1:E300)*(E301=E$1:E300))))))</f>
        <v/>
      </c>
      <c r="K301" s="14" t="str">
        <f aca="false">IF(OR(E301="",E301="!!!",F301="NEW"),"",INDEX(J$1:J300,SUMPRODUCT(MAX(ROW(E$1:E300)*(E301=E$1:E300)))))</f>
        <v/>
      </c>
      <c r="L301" s="15"/>
    </row>
    <row r="302" customFormat="false" ht="12.75" hidden="false" customHeight="false" outlineLevel="0" collapsed="false">
      <c r="A302" s="0" t="s">
        <v>235</v>
      </c>
      <c r="B302" s="0" t="s">
        <v>64</v>
      </c>
      <c r="C302" s="0" t="s">
        <v>23</v>
      </c>
      <c r="D302" s="0" t="s">
        <v>29</v>
      </c>
      <c r="E302" s="9" t="s">
        <v>68</v>
      </c>
      <c r="F302" s="10" t="s">
        <v>69</v>
      </c>
      <c r="G302" s="11"/>
      <c r="H302" s="12" t="str">
        <f aca="false">IF(J302&lt;&gt;1,"",IF(I302="SBJ","CB","?"))</f>
        <v/>
      </c>
      <c r="I302" s="13" t="str">
        <f aca="false">IF(OR(E302="",E302="!!!",F302="NEW"),"",INDEX(B$2:B301,-1+SUMPRODUCT(MAX(ROW(E$2:E301)*(E302=E$2:E301)))))</f>
        <v>OBJ_2</v>
      </c>
      <c r="J302" s="14" t="n">
        <f aca="true">IF(OR(E302="",E302="!!!",F302="NEW"),"",COUNTBLANK(OFFSET(A$1,,,SUMPRODUCT(MAX(ROW(E$2:E302)*(E302=E$2:E302)))))-COUNTBLANK(OFFSET(A$1,,,SUMPRODUCT(MAX(ROW(E$1:E301)*(E302=E$1:E301))))))</f>
        <v>0</v>
      </c>
      <c r="K302" s="14" t="n">
        <f aca="false">IF(OR(E302="",E302="!!!",F302="NEW"),"",INDEX(J$1:J301,SUMPRODUCT(MAX(ROW(E$1:E301)*(E302=E$1:E301)))))</f>
        <v>0</v>
      </c>
      <c r="L302" s="15"/>
    </row>
    <row r="303" customFormat="false" ht="12.75" hidden="false" customHeight="false" outlineLevel="0" collapsed="false">
      <c r="A303" s="0" t="s">
        <v>88</v>
      </c>
      <c r="E303" s="9" t="str">
        <f aca="false">IF(D303="?OLD","!!!","")</f>
        <v/>
      </c>
      <c r="F303" s="10" t="str">
        <f aca="false">IF(OR(E303="",E303="!!!"),"",IF(NOT(ISNA(VLOOKUP(E303,E$1:E302,1,FALSE()))),"OLD",IF(AND(E303&lt;&gt;"",E303&lt;&gt;"!!!"),"NEW","")))</f>
        <v/>
      </c>
      <c r="G303" s="11" t="str">
        <f aca="false">IF(OR(E303="",E303="!!!"),"",IF(OR(J303=0,AND(J303=1,K303=1),AND(J303=1,I303="SBJ"),AND(J303=1,I303=0)),"?IN_FOCUS",IF(J303&lt;=2,"?ACTIVATED",IF(J303&lt;&gt;"","?FAMILIAR",IF(F303="NEW",IF(ISNA(VLOOKUP(E303,#REF!,1,FALSE())),"?TYPE_IDENTIFIABLE","?REFERENTIAL"),"_")))))</f>
        <v/>
      </c>
      <c r="H303" s="12" t="str">
        <f aca="false">IF(J303&lt;&gt;1,"",IF(I303="SBJ","CB","?"))</f>
        <v/>
      </c>
      <c r="I303" s="13" t="str">
        <f aca="false">IF(OR(E303="",E303="!!!",F303="NEW"),"",INDEX(B$2:B302,-1+SUMPRODUCT(MAX(ROW(E$2:E302)*(E303=E$2:E302)))))</f>
        <v/>
      </c>
      <c r="J303" s="14" t="str">
        <f aca="true">IF(OR(E303="",E303="!!!",F303="NEW"),"",COUNTBLANK(OFFSET(A$1,,,SUMPRODUCT(MAX(ROW(E$2:E303)*(E303=E$2:E303)))))-COUNTBLANK(OFFSET(A$1,,,SUMPRODUCT(MAX(ROW(E$1:E302)*(E303=E$1:E302))))))</f>
        <v/>
      </c>
      <c r="K303" s="14" t="str">
        <f aca="false">IF(OR(E303="",E303="!!!",F303="NEW"),"",INDEX(J$1:J302,SUMPRODUCT(MAX(ROW(E$1:E302)*(E303=E$1:E302)))))</f>
        <v/>
      </c>
      <c r="L303" s="15"/>
    </row>
    <row r="304" customFormat="false" ht="12.75" hidden="false" customHeight="false" outlineLevel="0" collapsed="false">
      <c r="A304" s="0" t="s">
        <v>51</v>
      </c>
      <c r="E304" s="9" t="str">
        <f aca="false">IF(D304="?OLD","!!!","")</f>
        <v/>
      </c>
      <c r="F304" s="10" t="str">
        <f aca="false">IF(OR(E304="",E304="!!!"),"",IF(NOT(ISNA(VLOOKUP(E304,E$1:E303,1,FALSE()))),"OLD",IF(AND(E304&lt;&gt;"",E304&lt;&gt;"!!!"),"NEW","")))</f>
        <v/>
      </c>
      <c r="G304" s="11" t="str">
        <f aca="false">IF(OR(E304="",E304="!!!"),"",IF(OR(J304=0,AND(J304=1,K304=1),AND(J304=1,I304="SBJ"),AND(J304=1,I304=0)),"?IN_FOCUS",IF(J304&lt;=2,"?ACTIVATED",IF(J304&lt;&gt;"","?FAMILIAR",IF(F304="NEW",IF(ISNA(VLOOKUP(E304,#REF!,1,FALSE())),"?TYPE_IDENTIFIABLE","?REFERENTIAL"),"_")))))</f>
        <v/>
      </c>
      <c r="H304" s="12" t="str">
        <f aca="false">IF(J304&lt;&gt;1,"",IF(I304="SBJ","CB","?"))</f>
        <v/>
      </c>
      <c r="I304" s="13" t="str">
        <f aca="false">IF(OR(E304="",E304="!!!",F304="NEW"),"",INDEX(B$2:B303,-1+SUMPRODUCT(MAX(ROW(E$2:E303)*(E304=E$2:E303)))))</f>
        <v/>
      </c>
      <c r="J304" s="14" t="str">
        <f aca="true">IF(OR(E304="",E304="!!!",F304="NEW"),"",COUNTBLANK(OFFSET(A$1,,,SUMPRODUCT(MAX(ROW(E$2:E304)*(E304=E$2:E304)))))-COUNTBLANK(OFFSET(A$1,,,SUMPRODUCT(MAX(ROW(E$1:E303)*(E304=E$1:E303))))))</f>
        <v/>
      </c>
      <c r="K304" s="14" t="str">
        <f aca="false">IF(OR(E304="",E304="!!!",F304="NEW"),"",INDEX(J$1:J303,SUMPRODUCT(MAX(ROW(E$1:E303)*(E304=E$1:E303)))))</f>
        <v/>
      </c>
      <c r="L304" s="15"/>
    </row>
    <row r="305" customFormat="false" ht="12.75" hidden="false" customHeight="false" outlineLevel="0" collapsed="false">
      <c r="A305" s="0" t="s">
        <v>66</v>
      </c>
      <c r="E305" s="9" t="str">
        <f aca="false">IF(D305="?OLD","!!!","")</f>
        <v/>
      </c>
      <c r="F305" s="10" t="str">
        <f aca="false">IF(OR(E305="",E305="!!!"),"",IF(NOT(ISNA(VLOOKUP(E305,E$1:E304,1,FALSE()))),"OLD",IF(AND(E305&lt;&gt;"",E305&lt;&gt;"!!!"),"NEW","")))</f>
        <v/>
      </c>
      <c r="G305" s="11" t="str">
        <f aca="false">IF(OR(E305="",E305="!!!"),"",IF(OR(J305=0,AND(J305=1,K305=1),AND(J305=1,I305="SBJ"),AND(J305=1,I305=0)),"?IN_FOCUS",IF(J305&lt;=2,"?ACTIVATED",IF(J305&lt;&gt;"","?FAMILIAR",IF(F305="NEW",IF(ISNA(VLOOKUP(E305,#REF!,1,FALSE())),"?TYPE_IDENTIFIABLE","?REFERENTIAL"),"_")))))</f>
        <v/>
      </c>
      <c r="H305" s="12" t="str">
        <f aca="false">IF(J305&lt;&gt;1,"",IF(I305="SBJ","CB","?"))</f>
        <v/>
      </c>
      <c r="I305" s="13" t="str">
        <f aca="false">IF(OR(E305="",E305="!!!",F305="NEW"),"",INDEX(B$2:B304,-1+SUMPRODUCT(MAX(ROW(E$2:E304)*(E305=E$2:E304)))))</f>
        <v/>
      </c>
      <c r="J305" s="14" t="str">
        <f aca="true">IF(OR(E305="",E305="!!!",F305="NEW"),"",COUNTBLANK(OFFSET(A$1,,,SUMPRODUCT(MAX(ROW(E$2:E305)*(E305=E$2:E305)))))-COUNTBLANK(OFFSET(A$1,,,SUMPRODUCT(MAX(ROW(E$1:E304)*(E305=E$1:E304))))))</f>
        <v/>
      </c>
      <c r="K305" s="14" t="str">
        <f aca="false">IF(OR(E305="",E305="!!!",F305="NEW"),"",INDEX(J$1:J304,SUMPRODUCT(MAX(ROW(E$1:E304)*(E305=E$1:E304)))))</f>
        <v/>
      </c>
      <c r="L305" s="15"/>
    </row>
    <row r="306" customFormat="false" ht="12.75" hidden="false" customHeight="false" outlineLevel="0" collapsed="false">
      <c r="A306" s="0" t="s">
        <v>236</v>
      </c>
      <c r="B306" s="0" t="s">
        <v>64</v>
      </c>
      <c r="C306" s="0" t="s">
        <v>111</v>
      </c>
      <c r="D306" s="0" t="s">
        <v>29</v>
      </c>
      <c r="E306" s="9" t="s">
        <v>68</v>
      </c>
      <c r="F306" s="10" t="s">
        <v>69</v>
      </c>
      <c r="G306" s="11"/>
      <c r="H306" s="12" t="str">
        <f aca="false">IF(J306&lt;&gt;1,"",IF(I306="SBJ","CB","?"))</f>
        <v/>
      </c>
      <c r="I306" s="13" t="str">
        <f aca="false">IF(OR(E306="",E306="!!!",F306="NEW"),"",INDEX(B$2:B305,-1+SUMPRODUCT(MAX(ROW(E$2:E305)*(E306=E$2:E305)))))</f>
        <v>other_4</v>
      </c>
      <c r="J306" s="14" t="n">
        <f aca="true">IF(OR(E306="",E306="!!!",F306="NEW"),"",COUNTBLANK(OFFSET(A$1,,,SUMPRODUCT(MAX(ROW(E$2:E306)*(E306=E$2:E306)))))-COUNTBLANK(OFFSET(A$1,,,SUMPRODUCT(MAX(ROW(E$1:E305)*(E306=E$1:E305))))))</f>
        <v>0</v>
      </c>
      <c r="K306" s="14" t="n">
        <f aca="false">IF(OR(E306="",E306="!!!",F306="NEW"),"",INDEX(J$1:J305,SUMPRODUCT(MAX(ROW(E$1:E305)*(E306=E$1:E305)))))</f>
        <v>0</v>
      </c>
      <c r="L306" s="15"/>
    </row>
    <row r="307" customFormat="false" ht="12.75" hidden="false" customHeight="false" outlineLevel="0" collapsed="false">
      <c r="A307" s="0" t="s">
        <v>19</v>
      </c>
      <c r="E307" s="9" t="str">
        <f aca="false">IF(D307="?OLD","!!!","")</f>
        <v/>
      </c>
      <c r="F307" s="10" t="str">
        <f aca="false">IF(OR(E307="",E307="!!!"),"",IF(NOT(ISNA(VLOOKUP(E307,E$1:E306,1,FALSE()))),"OLD",IF(AND(E307&lt;&gt;"",E307&lt;&gt;"!!!"),"NEW","")))</f>
        <v/>
      </c>
      <c r="G307" s="11" t="str">
        <f aca="false">IF(OR(E307="",E307="!!!"),"",IF(OR(J307=0,AND(J307=1,K307=1),AND(J307=1,I307="SBJ"),AND(J307=1,I307=0)),"?IN_FOCUS",IF(J307&lt;=2,"?ACTIVATED",IF(J307&lt;&gt;"","?FAMILIAR",IF(F307="NEW",IF(ISNA(VLOOKUP(E307,#REF!,1,FALSE())),"?TYPE_IDENTIFIABLE","?REFERENTIAL"),"_")))))</f>
        <v/>
      </c>
      <c r="H307" s="12" t="str">
        <f aca="false">IF(J307&lt;&gt;1,"",IF(I307="SBJ","CB","?"))</f>
        <v/>
      </c>
      <c r="I307" s="13" t="str">
        <f aca="false">IF(OR(E307="",E307="!!!",F307="NEW"),"",INDEX(B$2:B306,-1+SUMPRODUCT(MAX(ROW(E$2:E306)*(E307=E$2:E306)))))</f>
        <v/>
      </c>
      <c r="J307" s="14" t="str">
        <f aca="true">IF(OR(E307="",E307="!!!",F307="NEW"),"",COUNTBLANK(OFFSET(A$1,,,SUMPRODUCT(MAX(ROW(E$2:E307)*(E307=E$2:E307)))))-COUNTBLANK(OFFSET(A$1,,,SUMPRODUCT(MAX(ROW(E$1:E306)*(E307=E$1:E306))))))</f>
        <v/>
      </c>
      <c r="K307" s="14" t="str">
        <f aca="false">IF(OR(E307="",E307="!!!",F307="NEW"),"",INDEX(J$1:J306,SUMPRODUCT(MAX(ROW(E$1:E306)*(E307=E$1:E306)))))</f>
        <v/>
      </c>
      <c r="L307" s="15"/>
    </row>
    <row r="308" customFormat="false" ht="12.75" hidden="false" customHeight="false" outlineLevel="0" collapsed="false">
      <c r="A308" s="0" t="s">
        <v>166</v>
      </c>
      <c r="B308" s="0" t="s">
        <v>54</v>
      </c>
      <c r="C308" s="0" t="s">
        <v>120</v>
      </c>
      <c r="E308" s="9" t="str">
        <f aca="false">IF(D308="?OLD","!!!","")</f>
        <v/>
      </c>
      <c r="F308" s="10" t="str">
        <f aca="false">IF(OR(E308="",E308="!!!"),"",IF(NOT(ISNA(VLOOKUP(E308,E$1:E307,1,FALSE()))),"OLD",IF(AND(E308&lt;&gt;"",E308&lt;&gt;"!!!"),"NEW","")))</f>
        <v/>
      </c>
      <c r="G308" s="11" t="str">
        <f aca="false">IF(OR(E308="",E308="!!!"),"",IF(OR(J308=0,AND(J308=1,K308=1),AND(J308=1,I308="SBJ"),AND(J308=1,I308=0)),"?IN_FOCUS",IF(J308&lt;=2,"?ACTIVATED",IF(J308&lt;&gt;"","?FAMILIAR",IF(F308="NEW",IF(ISNA(VLOOKUP(E308,#REF!,1,FALSE())),"?TYPE_IDENTIFIABLE","?REFERENTIAL"),"_")))))</f>
        <v/>
      </c>
      <c r="H308" s="12" t="str">
        <f aca="false">IF(J308&lt;&gt;1,"",IF(I308="SBJ","CB","?"))</f>
        <v/>
      </c>
      <c r="I308" s="13" t="str">
        <f aca="false">IF(OR(E308="",E308="!!!",F308="NEW"),"",INDEX(B$2:B307,-1+SUMPRODUCT(MAX(ROW(E$2:E307)*(E308=E$2:E307)))))</f>
        <v/>
      </c>
      <c r="J308" s="14" t="str">
        <f aca="true">IF(OR(E308="",E308="!!!",F308="NEW"),"",COUNTBLANK(OFFSET(A$1,,,SUMPRODUCT(MAX(ROW(E$2:E308)*(E308=E$2:E308)))))-COUNTBLANK(OFFSET(A$1,,,SUMPRODUCT(MAX(ROW(E$1:E307)*(E308=E$1:E307))))))</f>
        <v/>
      </c>
      <c r="K308" s="14" t="str">
        <f aca="false">IF(OR(E308="",E308="!!!",F308="NEW"),"",INDEX(J$1:J307,SUMPRODUCT(MAX(ROW(E$1:E307)*(E308=E$1:E307)))))</f>
        <v/>
      </c>
      <c r="L308" s="15"/>
    </row>
    <row r="309" customFormat="false" ht="12.75" hidden="false" customHeight="false" outlineLevel="0" collapsed="false">
      <c r="A309" s="0" t="s">
        <v>73</v>
      </c>
      <c r="E309" s="9" t="str">
        <f aca="false">IF(D309="?OLD","!!!","")</f>
        <v/>
      </c>
      <c r="F309" s="10" t="str">
        <f aca="false">IF(OR(E309="",E309="!!!"),"",IF(NOT(ISNA(VLOOKUP(E309,E$1:E308,1,FALSE()))),"OLD",IF(AND(E309&lt;&gt;"",E309&lt;&gt;"!!!"),"NEW","")))</f>
        <v/>
      </c>
      <c r="G309" s="11" t="str">
        <f aca="false">IF(OR(E309="",E309="!!!"),"",IF(OR(J309=0,AND(J309=1,K309=1),AND(J309=1,I309="SBJ"),AND(J309=1,I309=0)),"?IN_FOCUS",IF(J309&lt;=2,"?ACTIVATED",IF(J309&lt;&gt;"","?FAMILIAR",IF(F309="NEW",IF(ISNA(VLOOKUP(E309,#REF!,1,FALSE())),"?TYPE_IDENTIFIABLE","?REFERENTIAL"),"_")))))</f>
        <v/>
      </c>
      <c r="H309" s="12" t="str">
        <f aca="false">IF(J309&lt;&gt;1,"",IF(I309="SBJ","CB","?"))</f>
        <v/>
      </c>
      <c r="I309" s="13" t="str">
        <f aca="false">IF(OR(E309="",E309="!!!",F309="NEW"),"",INDEX(B$2:B308,-1+SUMPRODUCT(MAX(ROW(E$2:E308)*(E309=E$2:E308)))))</f>
        <v/>
      </c>
      <c r="J309" s="14" t="str">
        <f aca="true">IF(OR(E309="",E309="!!!",F309="NEW"),"",COUNTBLANK(OFFSET(A$1,,,SUMPRODUCT(MAX(ROW(E$2:E309)*(E309=E$2:E309)))))-COUNTBLANK(OFFSET(A$1,,,SUMPRODUCT(MAX(ROW(E$1:E308)*(E309=E$1:E308))))))</f>
        <v/>
      </c>
      <c r="K309" s="14" t="str">
        <f aca="false">IF(OR(E309="",E309="!!!",F309="NEW"),"",INDEX(J$1:J308,SUMPRODUCT(MAX(ROW(E$1:E308)*(E309=E$1:E308)))))</f>
        <v/>
      </c>
      <c r="L309" s="15"/>
    </row>
    <row r="310" customFormat="false" ht="12.75" hidden="false" customHeight="false" outlineLevel="0" collapsed="false">
      <c r="E310" s="9" t="str">
        <f aca="false">IF(D310="?OLD","!!!","")</f>
        <v/>
      </c>
      <c r="F310" s="10" t="str">
        <f aca="false">IF(OR(E310="",E310="!!!"),"",IF(NOT(ISNA(VLOOKUP(E310,E$1:E309,1,FALSE()))),"OLD",IF(AND(E310&lt;&gt;"",E310&lt;&gt;"!!!"),"NEW","")))</f>
        <v/>
      </c>
      <c r="G310" s="11" t="str">
        <f aca="false">IF(OR(E310="",E310="!!!"),"",IF(OR(J310=0,AND(J310=1,K310=1),AND(J310=1,I310="SBJ"),AND(J310=1,I310=0)),"?IN_FOCUS",IF(J310&lt;=2,"?ACTIVATED",IF(J310&lt;&gt;"","?FAMILIAR",IF(F310="NEW",IF(ISNA(VLOOKUP(E310,#REF!,1,FALSE())),"?TYPE_IDENTIFIABLE","?REFERENTIAL"),"_")))))</f>
        <v/>
      </c>
      <c r="H310" s="12" t="str">
        <f aca="false">IF(J310&lt;&gt;1,"",IF(I310="SBJ","CB","?"))</f>
        <v/>
      </c>
      <c r="I310" s="13" t="str">
        <f aca="false">IF(OR(E310="",E310="!!!",F310="NEW"),"",INDEX(B$2:B309,-1+SUMPRODUCT(MAX(ROW(E$2:E309)*(E310=E$2:E309)))))</f>
        <v/>
      </c>
      <c r="J310" s="14" t="str">
        <f aca="true">IF(OR(E310="",E310="!!!",F310="NEW"),"",COUNTBLANK(OFFSET(A$1,,,SUMPRODUCT(MAX(ROW(E$2:E310)*(E310=E$2:E310)))))-COUNTBLANK(OFFSET(A$1,,,SUMPRODUCT(MAX(ROW(E$1:E309)*(E310=E$1:E309))))))</f>
        <v/>
      </c>
      <c r="K310" s="14" t="str">
        <f aca="false">IF(OR(E310="",E310="!!!",F310="NEW"),"",INDEX(J$1:J309,SUMPRODUCT(MAX(ROW(E$1:E309)*(E310=E$1:E309)))))</f>
        <v/>
      </c>
      <c r="L310" s="15"/>
    </row>
    <row r="311" customFormat="false" ht="12.75" hidden="false" customHeight="false" outlineLevel="0" collapsed="false">
      <c r="A311" s="0" t="s">
        <v>237</v>
      </c>
      <c r="E311" s="9" t="str">
        <f aca="false">IF(D311="?OLD","!!!","")</f>
        <v/>
      </c>
      <c r="F311" s="10" t="str">
        <f aca="false">IF(OR(E311="",E311="!!!"),"",IF(NOT(ISNA(VLOOKUP(E311,E$1:E310,1,FALSE()))),"OLD",IF(AND(E311&lt;&gt;"",E311&lt;&gt;"!!!"),"NEW","")))</f>
        <v/>
      </c>
      <c r="G311" s="11" t="str">
        <f aca="false">IF(OR(E311="",E311="!!!"),"",IF(OR(J311=0,AND(J311=1,K311=1),AND(J311=1,I311="SBJ"),AND(J311=1,I311=0)),"?IN_FOCUS",IF(J311&lt;=2,"?ACTIVATED",IF(J311&lt;&gt;"","?FAMILIAR",IF(F311="NEW",IF(ISNA(VLOOKUP(E311,#REF!,1,FALSE())),"?TYPE_IDENTIFIABLE","?REFERENTIAL"),"_")))))</f>
        <v/>
      </c>
      <c r="H311" s="12" t="str">
        <f aca="false">IF(J311&lt;&gt;1,"",IF(I311="SBJ","CB","?"))</f>
        <v/>
      </c>
      <c r="I311" s="13" t="str">
        <f aca="false">IF(OR(E311="",E311="!!!",F311="NEW"),"",INDEX(B$2:B310,-1+SUMPRODUCT(MAX(ROW(E$2:E310)*(E311=E$2:E310)))))</f>
        <v/>
      </c>
      <c r="J311" s="14" t="str">
        <f aca="true">IF(OR(E311="",E311="!!!",F311="NEW"),"",COUNTBLANK(OFFSET(A$1,,,SUMPRODUCT(MAX(ROW(E$2:E311)*(E311=E$2:E311)))))-COUNTBLANK(OFFSET(A$1,,,SUMPRODUCT(MAX(ROW(E$1:E310)*(E311=E$1:E310))))))</f>
        <v/>
      </c>
      <c r="K311" s="14" t="str">
        <f aca="false">IF(OR(E311="",E311="!!!",F311="NEW"),"",INDEX(J$1:J310,SUMPRODUCT(MAX(ROW(E$1:E310)*(E311=E$1:E310)))))</f>
        <v/>
      </c>
      <c r="L311" s="15"/>
    </row>
    <row r="312" customFormat="false" ht="12.75" hidden="false" customHeight="false" outlineLevel="0" collapsed="false">
      <c r="A312" s="0" t="s">
        <v>238</v>
      </c>
      <c r="B312" s="0" t="s">
        <v>14</v>
      </c>
      <c r="C312" s="0" t="s">
        <v>38</v>
      </c>
      <c r="D312" s="0" t="s">
        <v>29</v>
      </c>
      <c r="E312" s="9" t="s">
        <v>143</v>
      </c>
      <c r="F312" s="10" t="str">
        <f aca="false">IF(OR(E312="",E312="!!!"),"",IF(NOT(ISNA(VLOOKUP(E312,E$1:E311,1,FALSE()))),"OLD",IF(AND(E312&lt;&gt;"",E312&lt;&gt;"!!!"),"NEW","")))</f>
        <v>OLD</v>
      </c>
      <c r="G312" s="11" t="s">
        <v>80</v>
      </c>
      <c r="H312" s="12" t="s">
        <v>7</v>
      </c>
      <c r="I312" s="13" t="str">
        <f aca="false">IF(OR(E312="",E312="!!!",F312="NEW"),"",INDEX(B$2:B311,-1+SUMPRODUCT(MAX(ROW(E$2:E311)*(E312=E$2:E311)))))</f>
        <v>SBJ_4</v>
      </c>
      <c r="J312" s="14" t="n">
        <f aca="true">IF(OR(E312="",E312="!!!",F312="NEW"),"",COUNTBLANK(OFFSET(A$1,,,SUMPRODUCT(MAX(ROW(E$2:E312)*(E312=E$2:E312)))))-COUNTBLANK(OFFSET(A$1,,,SUMPRODUCT(MAX(ROW(E$1:E311)*(E312=E$1:E311))))))</f>
        <v>1</v>
      </c>
      <c r="K312" s="14" t="n">
        <f aca="false">IF(OR(E312="",E312="!!!",F312="NEW"),"",INDEX(J$1:J311,SUMPRODUCT(MAX(ROW(E$1:E311)*(E312=E$1:E311)))))</f>
        <v>0</v>
      </c>
      <c r="L312" s="15"/>
    </row>
    <row r="313" customFormat="false" ht="12.75" hidden="false" customHeight="false" outlineLevel="0" collapsed="false">
      <c r="A313" s="0" t="s">
        <v>239</v>
      </c>
      <c r="E313" s="9" t="str">
        <f aca="false">IF(D313="?OLD","!!!","")</f>
        <v/>
      </c>
      <c r="F313" s="10" t="str">
        <f aca="false">IF(OR(E313="",E313="!!!"),"",IF(NOT(ISNA(VLOOKUP(E313,E$1:E312,1,FALSE()))),"OLD",IF(AND(E313&lt;&gt;"",E313&lt;&gt;"!!!"),"NEW","")))</f>
        <v/>
      </c>
      <c r="G313" s="11" t="str">
        <f aca="false">IF(OR(E313="",E313="!!!"),"",IF(OR(J313=0,AND(J313=1,K313=1),AND(J313=1,I313="SBJ"),AND(J313=1,I313=0)),"?IN_FOCUS",IF(J313&lt;=2,"?ACTIVATED",IF(J313&lt;&gt;"","?FAMILIAR",IF(F313="NEW",IF(ISNA(VLOOKUP(E313,#REF!,1,FALSE())),"?TYPE_IDENTIFIABLE","?REFERENTIAL"),"_")))))</f>
        <v/>
      </c>
      <c r="H313" s="12" t="str">
        <f aca="false">IF(J313&lt;&gt;1,"",IF(I313="SBJ","CB","?"))</f>
        <v/>
      </c>
      <c r="I313" s="13" t="str">
        <f aca="false">IF(OR(E313="",E313="!!!",F313="NEW"),"",INDEX(B$2:B312,-1+SUMPRODUCT(MAX(ROW(E$2:E312)*(E313=E$2:E312)))))</f>
        <v/>
      </c>
      <c r="J313" s="14" t="str">
        <f aca="true">IF(OR(E313="",E313="!!!",F313="NEW"),"",COUNTBLANK(OFFSET(A$1,,,SUMPRODUCT(MAX(ROW(E$2:E313)*(E313=E$2:E313)))))-COUNTBLANK(OFFSET(A$1,,,SUMPRODUCT(MAX(ROW(E$1:E312)*(E313=E$1:E312))))))</f>
        <v/>
      </c>
      <c r="K313" s="14" t="str">
        <f aca="false">IF(OR(E313="",E313="!!!",F313="NEW"),"",INDEX(J$1:J312,SUMPRODUCT(MAX(ROW(E$1:E312)*(E313=E$1:E312)))))</f>
        <v/>
      </c>
      <c r="L313" s="15"/>
    </row>
    <row r="314" customFormat="false" ht="12.75" hidden="false" customHeight="false" outlineLevel="0" collapsed="false">
      <c r="A314" s="0" t="s">
        <v>240</v>
      </c>
      <c r="E314" s="9" t="str">
        <f aca="false">IF(D314="?OLD","!!!","")</f>
        <v/>
      </c>
      <c r="F314" s="10" t="str">
        <f aca="false">IF(OR(E314="",E314="!!!"),"",IF(NOT(ISNA(VLOOKUP(E314,E$1:E313,1,FALSE()))),"OLD",IF(AND(E314&lt;&gt;"",E314&lt;&gt;"!!!"),"NEW","")))</f>
        <v/>
      </c>
      <c r="G314" s="11" t="str">
        <f aca="false">IF(OR(E314="",E314="!!!"),"",IF(OR(J314=0,AND(J314=1,K314=1),AND(J314=1,I314="SBJ"),AND(J314=1,I314=0)),"?IN_FOCUS",IF(J314&lt;=2,"?ACTIVATED",IF(J314&lt;&gt;"","?FAMILIAR",IF(F314="NEW",IF(ISNA(VLOOKUP(E314,#REF!,1,FALSE())),"?TYPE_IDENTIFIABLE","?REFERENTIAL"),"_")))))</f>
        <v/>
      </c>
      <c r="H314" s="12" t="str">
        <f aca="false">IF(J314&lt;&gt;1,"",IF(I314="SBJ","CB","?"))</f>
        <v/>
      </c>
      <c r="I314" s="13" t="str">
        <f aca="false">IF(OR(E314="",E314="!!!",F314="NEW"),"",INDEX(B$2:B313,-1+SUMPRODUCT(MAX(ROW(E$2:E313)*(E314=E$2:E313)))))</f>
        <v/>
      </c>
      <c r="J314" s="14" t="str">
        <f aca="true">IF(OR(E314="",E314="!!!",F314="NEW"),"",COUNTBLANK(OFFSET(A$1,,,SUMPRODUCT(MAX(ROW(E$2:E314)*(E314=E$2:E314)))))-COUNTBLANK(OFFSET(A$1,,,SUMPRODUCT(MAX(ROW(E$1:E313)*(E314=E$1:E313))))))</f>
        <v/>
      </c>
      <c r="K314" s="14" t="str">
        <f aca="false">IF(OR(E314="",E314="!!!",F314="NEW"),"",INDEX(J$1:J313,SUMPRODUCT(MAX(ROW(E$1:E313)*(E314=E$1:E313)))))</f>
        <v/>
      </c>
      <c r="L314" s="15"/>
    </row>
    <row r="315" customFormat="false" ht="12.75" hidden="false" customHeight="false" outlineLevel="0" collapsed="false">
      <c r="A315" s="0" t="s">
        <v>134</v>
      </c>
      <c r="E315" s="9" t="str">
        <f aca="false">IF(D315="?OLD","!!!","")</f>
        <v/>
      </c>
      <c r="F315" s="10" t="str">
        <f aca="false">IF(OR(E315="",E315="!!!"),"",IF(NOT(ISNA(VLOOKUP(E315,E$1:E314,1,FALSE()))),"OLD",IF(AND(E315&lt;&gt;"",E315&lt;&gt;"!!!"),"NEW","")))</f>
        <v/>
      </c>
      <c r="G315" s="11" t="str">
        <f aca="false">IF(OR(E315="",E315="!!!"),"",IF(OR(J315=0,AND(J315=1,K315=1),AND(J315=1,I315="SBJ"),AND(J315=1,I315=0)),"?IN_FOCUS",IF(J315&lt;=2,"?ACTIVATED",IF(J315&lt;&gt;"","?FAMILIAR",IF(F315="NEW",IF(ISNA(VLOOKUP(E315,#REF!,1,FALSE())),"?TYPE_IDENTIFIABLE","?REFERENTIAL"),"_")))))</f>
        <v/>
      </c>
      <c r="H315" s="12" t="str">
        <f aca="false">IF(J315&lt;&gt;1,"",IF(I315="SBJ","CB","?"))</f>
        <v/>
      </c>
      <c r="I315" s="13" t="str">
        <f aca="false">IF(OR(E315="",E315="!!!",F315="NEW"),"",INDEX(B$2:B314,-1+SUMPRODUCT(MAX(ROW(E$2:E314)*(E315=E$2:E314)))))</f>
        <v/>
      </c>
      <c r="J315" s="14" t="str">
        <f aca="true">IF(OR(E315="",E315="!!!",F315="NEW"),"",COUNTBLANK(OFFSET(A$1,,,SUMPRODUCT(MAX(ROW(E$2:E315)*(E315=E$2:E315)))))-COUNTBLANK(OFFSET(A$1,,,SUMPRODUCT(MAX(ROW(E$1:E314)*(E315=E$1:E314))))))</f>
        <v/>
      </c>
      <c r="K315" s="14" t="str">
        <f aca="false">IF(OR(E315="",E315="!!!",F315="NEW"),"",INDEX(J$1:J314,SUMPRODUCT(MAX(ROW(E$1:E314)*(E315=E$1:E314)))))</f>
        <v/>
      </c>
      <c r="L315" s="15"/>
    </row>
    <row r="316" customFormat="false" ht="12.75" hidden="false" customHeight="false" outlineLevel="0" collapsed="false">
      <c r="A316" s="0" t="s">
        <v>241</v>
      </c>
      <c r="E316" s="9" t="str">
        <f aca="false">IF(D316="?OLD","!!!","")</f>
        <v/>
      </c>
      <c r="F316" s="10" t="str">
        <f aca="false">IF(OR(E316="",E316="!!!"),"",IF(NOT(ISNA(VLOOKUP(E316,E$1:E315,1,FALSE()))),"OLD",IF(AND(E316&lt;&gt;"",E316&lt;&gt;"!!!"),"NEW","")))</f>
        <v/>
      </c>
      <c r="G316" s="11" t="str">
        <f aca="false">IF(OR(E316="",E316="!!!"),"",IF(OR(J316=0,AND(J316=1,K316=1),AND(J316=1,I316="SBJ"),AND(J316=1,I316=0)),"?IN_FOCUS",IF(J316&lt;=2,"?ACTIVATED",IF(J316&lt;&gt;"","?FAMILIAR",IF(F316="NEW",IF(ISNA(VLOOKUP(E316,#REF!,1,FALSE())),"?TYPE_IDENTIFIABLE","?REFERENTIAL"),"_")))))</f>
        <v/>
      </c>
      <c r="H316" s="12" t="str">
        <f aca="false">IF(J316&lt;&gt;1,"",IF(I316="SBJ","CB","?"))</f>
        <v/>
      </c>
      <c r="I316" s="13" t="str">
        <f aca="false">IF(OR(E316="",E316="!!!",F316="NEW"),"",INDEX(B$2:B315,-1+SUMPRODUCT(MAX(ROW(E$2:E315)*(E316=E$2:E315)))))</f>
        <v/>
      </c>
      <c r="J316" s="14" t="str">
        <f aca="true">IF(OR(E316="",E316="!!!",F316="NEW"),"",COUNTBLANK(OFFSET(A$1,,,SUMPRODUCT(MAX(ROW(E$2:E316)*(E316=E$2:E316)))))-COUNTBLANK(OFFSET(A$1,,,SUMPRODUCT(MAX(ROW(E$1:E315)*(E316=E$1:E315))))))</f>
        <v/>
      </c>
      <c r="K316" s="14" t="str">
        <f aca="false">IF(OR(E316="",E316="!!!",F316="NEW"),"",INDEX(J$1:J315,SUMPRODUCT(MAX(ROW(E$1:E315)*(E316=E$1:E315)))))</f>
        <v/>
      </c>
      <c r="L316" s="15"/>
    </row>
    <row r="317" customFormat="false" ht="12.75" hidden="false" customHeight="false" outlineLevel="0" collapsed="false">
      <c r="A317" s="0" t="s">
        <v>51</v>
      </c>
      <c r="E317" s="9" t="str">
        <f aca="false">IF(D317="?OLD","!!!","")</f>
        <v/>
      </c>
      <c r="F317" s="10" t="str">
        <f aca="false">IF(OR(E317="",E317="!!!"),"",IF(NOT(ISNA(VLOOKUP(E317,E$1:E316,1,FALSE()))),"OLD",IF(AND(E317&lt;&gt;"",E317&lt;&gt;"!!!"),"NEW","")))</f>
        <v/>
      </c>
      <c r="G317" s="11" t="str">
        <f aca="false">IF(OR(E317="",E317="!!!"),"",IF(OR(J317=0,AND(J317=1,K317=1),AND(J317=1,I317="SBJ"),AND(J317=1,I317=0)),"?IN_FOCUS",IF(J317&lt;=2,"?ACTIVATED",IF(J317&lt;&gt;"","?FAMILIAR",IF(F317="NEW",IF(ISNA(VLOOKUP(E317,#REF!,1,FALSE())),"?TYPE_IDENTIFIABLE","?REFERENTIAL"),"_")))))</f>
        <v/>
      </c>
      <c r="H317" s="12" t="str">
        <f aca="false">IF(J317&lt;&gt;1,"",IF(I317="SBJ","CB","?"))</f>
        <v/>
      </c>
      <c r="I317" s="13" t="str">
        <f aca="false">IF(OR(E317="",E317="!!!",F317="NEW"),"",INDEX(B$2:B316,-1+SUMPRODUCT(MAX(ROW(E$2:E316)*(E317=E$2:E316)))))</f>
        <v/>
      </c>
      <c r="J317" s="14" t="str">
        <f aca="true">IF(OR(E317="",E317="!!!",F317="NEW"),"",COUNTBLANK(OFFSET(A$1,,,SUMPRODUCT(MAX(ROW(E$2:E317)*(E317=E$2:E317)))))-COUNTBLANK(OFFSET(A$1,,,SUMPRODUCT(MAX(ROW(E$1:E316)*(E317=E$1:E316))))))</f>
        <v/>
      </c>
      <c r="K317" s="14" t="str">
        <f aca="false">IF(OR(E317="",E317="!!!",F317="NEW"),"",INDEX(J$1:J316,SUMPRODUCT(MAX(ROW(E$1:E316)*(E317=E$1:E316)))))</f>
        <v/>
      </c>
      <c r="L317" s="15"/>
    </row>
    <row r="318" customFormat="false" ht="12.75" hidden="false" customHeight="false" outlineLevel="0" collapsed="false">
      <c r="A318" s="0" t="s">
        <v>66</v>
      </c>
      <c r="E318" s="9" t="str">
        <f aca="false">IF(D318="?OLD","!!!","")</f>
        <v/>
      </c>
      <c r="F318" s="10" t="str">
        <f aca="false">IF(OR(E318="",E318="!!!"),"",IF(NOT(ISNA(VLOOKUP(E318,E$1:E317,1,FALSE()))),"OLD",IF(AND(E318&lt;&gt;"",E318&lt;&gt;"!!!"),"NEW","")))</f>
        <v/>
      </c>
      <c r="G318" s="11" t="str">
        <f aca="false">IF(OR(E318="",E318="!!!"),"",IF(OR(J318=0,AND(J318=1,K318=1),AND(J318=1,I318="SBJ"),AND(J318=1,I318=0)),"?IN_FOCUS",IF(J318&lt;=2,"?ACTIVATED",IF(J318&lt;&gt;"","?FAMILIAR",IF(F318="NEW",IF(ISNA(VLOOKUP(E318,#REF!,1,FALSE())),"?TYPE_IDENTIFIABLE","?REFERENTIAL"),"_")))))</f>
        <v/>
      </c>
      <c r="H318" s="12" t="str">
        <f aca="false">IF(J318&lt;&gt;1,"",IF(I318="SBJ","CB","?"))</f>
        <v/>
      </c>
      <c r="I318" s="13" t="str">
        <f aca="false">IF(OR(E318="",E318="!!!",F318="NEW"),"",INDEX(B$2:B317,-1+SUMPRODUCT(MAX(ROW(E$2:E317)*(E318=E$2:E317)))))</f>
        <v/>
      </c>
      <c r="J318" s="14" t="str">
        <f aca="true">IF(OR(E318="",E318="!!!",F318="NEW"),"",COUNTBLANK(OFFSET(A$1,,,SUMPRODUCT(MAX(ROW(E$2:E318)*(E318=E$2:E318)))))-COUNTBLANK(OFFSET(A$1,,,SUMPRODUCT(MAX(ROW(E$1:E317)*(E318=E$1:E317))))))</f>
        <v/>
      </c>
      <c r="K318" s="14" t="str">
        <f aca="false">IF(OR(E318="",E318="!!!",F318="NEW"),"",INDEX(J$1:J317,SUMPRODUCT(MAX(ROW(E$1:E317)*(E318=E$1:E317)))))</f>
        <v/>
      </c>
      <c r="L318" s="15"/>
    </row>
    <row r="319" customFormat="false" ht="12.75" hidden="false" customHeight="false" outlineLevel="0" collapsed="false">
      <c r="A319" s="0" t="s">
        <v>242</v>
      </c>
      <c r="B319" s="0" t="s">
        <v>62</v>
      </c>
      <c r="C319" s="0" t="s">
        <v>111</v>
      </c>
      <c r="D319" s="0" t="s">
        <v>29</v>
      </c>
      <c r="E319" s="9" t="s">
        <v>68</v>
      </c>
      <c r="F319" s="10" t="s">
        <v>69</v>
      </c>
      <c r="G319" s="11"/>
      <c r="H319" s="12"/>
      <c r="I319" s="13" t="str">
        <f aca="false">IF(OR(E319="",E319="!!!",F319="NEW"),"",INDEX(B$2:B318,-1+SUMPRODUCT(MAX(ROW(E$2:E318)*(E319=E$2:E318)))))</f>
        <v>other_4</v>
      </c>
      <c r="J319" s="14" t="n">
        <f aca="true">IF(OR(E319="",E319="!!!",F319="NEW"),"",COUNTBLANK(OFFSET(A$1,,,SUMPRODUCT(MAX(ROW(E$2:E319)*(E319=E$2:E319)))))-COUNTBLANK(OFFSET(A$1,,,SUMPRODUCT(MAX(ROW(E$1:E318)*(E319=E$1:E318))))))</f>
        <v>1</v>
      </c>
      <c r="K319" s="14" t="n">
        <f aca="false">IF(OR(E319="",E319="!!!",F319="NEW"),"",INDEX(J$1:J318,SUMPRODUCT(MAX(ROW(E$1:E318)*(E319=E$1:E318)))))</f>
        <v>0</v>
      </c>
      <c r="L319" s="15"/>
    </row>
    <row r="320" customFormat="false" ht="12.75" hidden="false" customHeight="false" outlineLevel="0" collapsed="false">
      <c r="A320" s="0" t="s">
        <v>128</v>
      </c>
      <c r="E320" s="9" t="str">
        <f aca="false">IF(D320="?OLD","!!!","")</f>
        <v/>
      </c>
      <c r="F320" s="10" t="str">
        <f aca="false">IF(OR(E320="",E320="!!!"),"",IF(NOT(ISNA(VLOOKUP(E320,E$1:E319,1,FALSE()))),"OLD",IF(AND(E320&lt;&gt;"",E320&lt;&gt;"!!!"),"NEW","")))</f>
        <v/>
      </c>
      <c r="G320" s="11" t="str">
        <f aca="false">IF(OR(E320="",E320="!!!"),"",IF(OR(J320=0,AND(J320=1,K320=1),AND(J320=1,I320="SBJ"),AND(J320=1,I320=0)),"?IN_FOCUS",IF(J320&lt;=2,"?ACTIVATED",IF(J320&lt;&gt;"","?FAMILIAR",IF(F320="NEW",IF(ISNA(VLOOKUP(E320,#REF!,1,FALSE())),"?TYPE_IDENTIFIABLE","?REFERENTIAL"),"_")))))</f>
        <v/>
      </c>
      <c r="H320" s="12" t="str">
        <f aca="false">IF(J320&lt;&gt;1,"",IF(I320="SBJ","CB","?"))</f>
        <v/>
      </c>
      <c r="I320" s="13" t="str">
        <f aca="false">IF(OR(E320="",E320="!!!",F320="NEW"),"",INDEX(B$2:B319,-1+SUMPRODUCT(MAX(ROW(E$2:E319)*(E320=E$2:E319)))))</f>
        <v/>
      </c>
      <c r="J320" s="14" t="str">
        <f aca="true">IF(OR(E320="",E320="!!!",F320="NEW"),"",COUNTBLANK(OFFSET(A$1,,,SUMPRODUCT(MAX(ROW(E$2:E320)*(E320=E$2:E320)))))-COUNTBLANK(OFFSET(A$1,,,SUMPRODUCT(MAX(ROW(E$1:E319)*(E320=E$1:E319))))))</f>
        <v/>
      </c>
      <c r="K320" s="14" t="str">
        <f aca="false">IF(OR(E320="",E320="!!!",F320="NEW"),"",INDEX(J$1:J319,SUMPRODUCT(MAX(ROW(E$1:E319)*(E320=E$1:E319)))))</f>
        <v/>
      </c>
      <c r="L320" s="15"/>
    </row>
    <row r="321" customFormat="false" ht="12.75" hidden="false" customHeight="false" outlineLevel="0" collapsed="false">
      <c r="A321" s="0" t="s">
        <v>243</v>
      </c>
      <c r="E321" s="9" t="str">
        <f aca="false">IF(D321="?OLD","!!!","")</f>
        <v/>
      </c>
      <c r="F321" s="10" t="str">
        <f aca="false">IF(OR(E321="",E321="!!!"),"",IF(NOT(ISNA(VLOOKUP(E321,E$1:E320,1,FALSE()))),"OLD",IF(AND(E321&lt;&gt;"",E321&lt;&gt;"!!!"),"NEW","")))</f>
        <v/>
      </c>
      <c r="G321" s="11" t="str">
        <f aca="false">IF(OR(E321="",E321="!!!"),"",IF(OR(J321=0,AND(J321=1,K321=1),AND(J321=1,I321="SBJ"),AND(J321=1,I321=0)),"?IN_FOCUS",IF(J321&lt;=2,"?ACTIVATED",IF(J321&lt;&gt;"","?FAMILIAR",IF(F321="NEW",IF(ISNA(VLOOKUP(E321,#REF!,1,FALSE())),"?TYPE_IDENTIFIABLE","?REFERENTIAL"),"_")))))</f>
        <v/>
      </c>
      <c r="H321" s="12" t="str">
        <f aca="false">IF(J321&lt;&gt;1,"",IF(I321="SBJ","CB","?"))</f>
        <v/>
      </c>
      <c r="I321" s="13" t="str">
        <f aca="false">IF(OR(E321="",E321="!!!",F321="NEW"),"",INDEX(B$2:B320,-1+SUMPRODUCT(MAX(ROW(E$2:E320)*(E321=E$2:E320)))))</f>
        <v/>
      </c>
      <c r="J321" s="14" t="str">
        <f aca="true">IF(OR(E321="",E321="!!!",F321="NEW"),"",COUNTBLANK(OFFSET(A$1,,,SUMPRODUCT(MAX(ROW(E$2:E321)*(E321=E$2:E321)))))-COUNTBLANK(OFFSET(A$1,,,SUMPRODUCT(MAX(ROW(E$1:E320)*(E321=E$1:E320))))))</f>
        <v/>
      </c>
      <c r="K321" s="14" t="str">
        <f aca="false">IF(OR(E321="",E321="!!!",F321="NEW"),"",INDEX(J$1:J320,SUMPRODUCT(MAX(ROW(E$1:E320)*(E321=E$1:E320)))))</f>
        <v/>
      </c>
      <c r="L321" s="15"/>
    </row>
    <row r="322" customFormat="false" ht="12.75" hidden="false" customHeight="false" outlineLevel="0" collapsed="false">
      <c r="A322" s="0" t="s">
        <v>244</v>
      </c>
      <c r="E322" s="9" t="str">
        <f aca="false">IF(D322="?OLD","!!!","")</f>
        <v/>
      </c>
      <c r="F322" s="10" t="str">
        <f aca="false">IF(OR(E322="",E322="!!!"),"",IF(NOT(ISNA(VLOOKUP(E322,E$1:E321,1,FALSE()))),"OLD",IF(AND(E322&lt;&gt;"",E322&lt;&gt;"!!!"),"NEW","")))</f>
        <v/>
      </c>
      <c r="G322" s="11" t="str">
        <f aca="false">IF(OR(E322="",E322="!!!"),"",IF(OR(J322=0,AND(J322=1,K322=1),AND(J322=1,I322="SBJ"),AND(J322=1,I322=0)),"?IN_FOCUS",IF(J322&lt;=2,"?ACTIVATED",IF(J322&lt;&gt;"","?FAMILIAR",IF(F322="NEW",IF(ISNA(VLOOKUP(E322,#REF!,1,FALSE())),"?TYPE_IDENTIFIABLE","?REFERENTIAL"),"_")))))</f>
        <v/>
      </c>
      <c r="H322" s="12" t="str">
        <f aca="false">IF(J322&lt;&gt;1,"",IF(I322="SBJ","CB","?"))</f>
        <v/>
      </c>
      <c r="I322" s="13" t="str">
        <f aca="false">IF(OR(E322="",E322="!!!",F322="NEW"),"",INDEX(B$2:B321,-1+SUMPRODUCT(MAX(ROW(E$2:E321)*(E322=E$2:E321)))))</f>
        <v/>
      </c>
      <c r="J322" s="14" t="str">
        <f aca="true">IF(OR(E322="",E322="!!!",F322="NEW"),"",COUNTBLANK(OFFSET(A$1,,,SUMPRODUCT(MAX(ROW(E$2:E322)*(E322=E$2:E322)))))-COUNTBLANK(OFFSET(A$1,,,SUMPRODUCT(MAX(ROW(E$1:E321)*(E322=E$1:E321))))))</f>
        <v/>
      </c>
      <c r="K322" s="14" t="str">
        <f aca="false">IF(OR(E322="",E322="!!!",F322="NEW"),"",INDEX(J$1:J321,SUMPRODUCT(MAX(ROW(E$1:E321)*(E322=E$1:E321)))))</f>
        <v/>
      </c>
      <c r="L322" s="15"/>
    </row>
    <row r="323" customFormat="false" ht="12.75" hidden="false" customHeight="false" outlineLevel="0" collapsed="false">
      <c r="A323" s="0" t="s">
        <v>234</v>
      </c>
      <c r="E323" s="9" t="str">
        <f aca="false">IF(D323="?OLD","!!!","")</f>
        <v/>
      </c>
      <c r="F323" s="10" t="str">
        <f aca="false">IF(OR(E323="",E323="!!!"),"",IF(NOT(ISNA(VLOOKUP(E323,E$1:E322,1,FALSE()))),"OLD",IF(AND(E323&lt;&gt;"",E323&lt;&gt;"!!!"),"NEW","")))</f>
        <v/>
      </c>
      <c r="G323" s="11" t="str">
        <f aca="false">IF(OR(E323="",E323="!!!"),"",IF(OR(J323=0,AND(J323=1,K323=1),AND(J323=1,I323="SBJ"),AND(J323=1,I323=0)),"?IN_FOCUS",IF(J323&lt;=2,"?ACTIVATED",IF(J323&lt;&gt;"","?FAMILIAR",IF(F323="NEW",IF(ISNA(VLOOKUP(E323,#REF!,1,FALSE())),"?TYPE_IDENTIFIABLE","?REFERENTIAL"),"_")))))</f>
        <v/>
      </c>
      <c r="H323" s="12" t="str">
        <f aca="false">IF(J323&lt;&gt;1,"",IF(I323="SBJ","CB","?"))</f>
        <v/>
      </c>
      <c r="I323" s="13" t="str">
        <f aca="false">IF(OR(E323="",E323="!!!",F323="NEW"),"",INDEX(B$2:B322,-1+SUMPRODUCT(MAX(ROW(E$2:E322)*(E323=E$2:E322)))))</f>
        <v/>
      </c>
      <c r="J323" s="14" t="str">
        <f aca="true">IF(OR(E323="",E323="!!!",F323="NEW"),"",COUNTBLANK(OFFSET(A$1,,,SUMPRODUCT(MAX(ROW(E$2:E323)*(E323=E$2:E323)))))-COUNTBLANK(OFFSET(A$1,,,SUMPRODUCT(MAX(ROW(E$1:E322)*(E323=E$1:E322))))))</f>
        <v/>
      </c>
      <c r="K323" s="14" t="str">
        <f aca="false">IF(OR(E323="",E323="!!!",F323="NEW"),"",INDEX(J$1:J322,SUMPRODUCT(MAX(ROW(E$1:E322)*(E323=E$1:E322)))))</f>
        <v/>
      </c>
      <c r="L323" s="15"/>
    </row>
    <row r="324" customFormat="false" ht="12.75" hidden="false" customHeight="false" outlineLevel="0" collapsed="false">
      <c r="A324" s="0" t="s">
        <v>66</v>
      </c>
      <c r="E324" s="9" t="str">
        <f aca="false">IF(D324="?OLD","!!!","")</f>
        <v/>
      </c>
      <c r="F324" s="10" t="str">
        <f aca="false">IF(OR(E324="",E324="!!!"),"",IF(NOT(ISNA(VLOOKUP(E324,E$1:E323,1,FALSE()))),"OLD",IF(AND(E324&lt;&gt;"",E324&lt;&gt;"!!!"),"NEW","")))</f>
        <v/>
      </c>
      <c r="G324" s="11" t="str">
        <f aca="false">IF(OR(E324="",E324="!!!"),"",IF(OR(J324=0,AND(J324=1,K324=1),AND(J324=1,I324="SBJ"),AND(J324=1,I324=0)),"?IN_FOCUS",IF(J324&lt;=2,"?ACTIVATED",IF(J324&lt;&gt;"","?FAMILIAR",IF(F324="NEW",IF(ISNA(VLOOKUP(E324,#REF!,1,FALSE())),"?TYPE_IDENTIFIABLE","?REFERENTIAL"),"_")))))</f>
        <v/>
      </c>
      <c r="H324" s="12" t="str">
        <f aca="false">IF(J324&lt;&gt;1,"",IF(I324="SBJ","CB","?"))</f>
        <v/>
      </c>
      <c r="I324" s="13" t="str">
        <f aca="false">IF(OR(E324="",E324="!!!",F324="NEW"),"",INDEX(B$2:B323,-1+SUMPRODUCT(MAX(ROW(E$2:E323)*(E324=E$2:E323)))))</f>
        <v/>
      </c>
      <c r="J324" s="14" t="str">
        <f aca="true">IF(OR(E324="",E324="!!!",F324="NEW"),"",COUNTBLANK(OFFSET(A$1,,,SUMPRODUCT(MAX(ROW(E$2:E324)*(E324=E$2:E324)))))-COUNTBLANK(OFFSET(A$1,,,SUMPRODUCT(MAX(ROW(E$1:E323)*(E324=E$1:E323))))))</f>
        <v/>
      </c>
      <c r="K324" s="14" t="str">
        <f aca="false">IF(OR(E324="",E324="!!!",F324="NEW"),"",INDEX(J$1:J323,SUMPRODUCT(MAX(ROW(E$1:E323)*(E324=E$1:E323)))))</f>
        <v/>
      </c>
      <c r="L324" s="15"/>
    </row>
    <row r="325" customFormat="false" ht="12.75" hidden="false" customHeight="false" outlineLevel="0" collapsed="false">
      <c r="A325" s="0" t="s">
        <v>245</v>
      </c>
      <c r="B325" s="0" t="s">
        <v>28</v>
      </c>
      <c r="C325" s="0" t="s">
        <v>111</v>
      </c>
      <c r="D325" s="0" t="s">
        <v>29</v>
      </c>
      <c r="E325" s="9" t="s">
        <v>68</v>
      </c>
      <c r="F325" s="10" t="s">
        <v>69</v>
      </c>
      <c r="G325" s="11"/>
      <c r="H325" s="12" t="str">
        <f aca="false">IF(J325&lt;&gt;1,"",IF(I325="SBJ","CB","?"))</f>
        <v/>
      </c>
      <c r="I325" s="13" t="str">
        <f aca="false">IF(OR(E325="",E325="!!!",F325="NEW"),"",INDEX(B$2:B324,-1+SUMPRODUCT(MAX(ROW(E$2:E324)*(E325=E$2:E324)))))</f>
        <v>other</v>
      </c>
      <c r="J325" s="14" t="n">
        <f aca="true">IF(OR(E325="",E325="!!!",F325="NEW"),"",COUNTBLANK(OFFSET(A$1,,,SUMPRODUCT(MAX(ROW(E$2:E325)*(E325=E$2:E325)))))-COUNTBLANK(OFFSET(A$1,,,SUMPRODUCT(MAX(ROW(E$1:E324)*(E325=E$1:E324))))))</f>
        <v>0</v>
      </c>
      <c r="K325" s="14" t="n">
        <f aca="false">IF(OR(E325="",E325="!!!",F325="NEW"),"",INDEX(J$1:J324,SUMPRODUCT(MAX(ROW(E$1:E324)*(E325=E$1:E324)))))</f>
        <v>1</v>
      </c>
      <c r="L325" s="15"/>
    </row>
    <row r="326" customFormat="false" ht="12.75" hidden="false" customHeight="false" outlineLevel="0" collapsed="false">
      <c r="A326" s="0" t="s">
        <v>19</v>
      </c>
      <c r="E326" s="9" t="str">
        <f aca="false">IF(D326="?OLD","!!!","")</f>
        <v/>
      </c>
      <c r="F326" s="10" t="str">
        <f aca="false">IF(OR(E326="",E326="!!!"),"",IF(NOT(ISNA(VLOOKUP(E326,E$1:E325,1,FALSE()))),"OLD",IF(AND(E326&lt;&gt;"",E326&lt;&gt;"!!!"),"NEW","")))</f>
        <v/>
      </c>
      <c r="G326" s="11" t="str">
        <f aca="false">IF(OR(E326="",E326="!!!"),"",IF(OR(J326=0,AND(J326=1,K326=1),AND(J326=1,I326="SBJ"),AND(J326=1,I326=0)),"?IN_FOCUS",IF(J326&lt;=2,"?ACTIVATED",IF(J326&lt;&gt;"","?FAMILIAR",IF(F326="NEW",IF(ISNA(VLOOKUP(E326,#REF!,1,FALSE())),"?TYPE_IDENTIFIABLE","?REFERENTIAL"),"_")))))</f>
        <v/>
      </c>
      <c r="H326" s="12" t="str">
        <f aca="false">IF(J326&lt;&gt;1,"",IF(I326="SBJ","CB","?"))</f>
        <v/>
      </c>
      <c r="I326" s="13" t="str">
        <f aca="false">IF(OR(E326="",E326="!!!",F326="NEW"),"",INDEX(B$2:B325,-1+SUMPRODUCT(MAX(ROW(E$2:E325)*(E326=E$2:E325)))))</f>
        <v/>
      </c>
      <c r="J326" s="14" t="str">
        <f aca="true">IF(OR(E326="",E326="!!!",F326="NEW"),"",COUNTBLANK(OFFSET(A$1,,,SUMPRODUCT(MAX(ROW(E$2:E326)*(E326=E$2:E326)))))-COUNTBLANK(OFFSET(A$1,,,SUMPRODUCT(MAX(ROW(E$1:E325)*(E326=E$1:E325))))))</f>
        <v/>
      </c>
      <c r="K326" s="14" t="str">
        <f aca="false">IF(OR(E326="",E326="!!!",F326="NEW"),"",INDEX(J$1:J325,SUMPRODUCT(MAX(ROW(E$1:E325)*(E326=E$1:E325)))))</f>
        <v/>
      </c>
      <c r="L326" s="15"/>
    </row>
    <row r="327" customFormat="false" ht="12.75" hidden="false" customHeight="false" outlineLevel="0" collapsed="false">
      <c r="A327" s="0" t="s">
        <v>66</v>
      </c>
      <c r="E327" s="9" t="str">
        <f aca="false">IF(D327="?OLD","!!!","")</f>
        <v/>
      </c>
      <c r="F327" s="10" t="str">
        <f aca="false">IF(OR(E327="",E327="!!!"),"",IF(NOT(ISNA(VLOOKUP(E327,E$1:E326,1,FALSE()))),"OLD",IF(AND(E327&lt;&gt;"",E327&lt;&gt;"!!!"),"NEW","")))</f>
        <v/>
      </c>
      <c r="G327" s="11" t="str">
        <f aca="false">IF(OR(E327="",E327="!!!"),"",IF(OR(J327=0,AND(J327=1,K327=1),AND(J327=1,I327="SBJ"),AND(J327=1,I327=0)),"?IN_FOCUS",IF(J327&lt;=2,"?ACTIVATED",IF(J327&lt;&gt;"","?FAMILIAR",IF(F327="NEW",IF(ISNA(VLOOKUP(E327,#REF!,1,FALSE())),"?TYPE_IDENTIFIABLE","?REFERENTIAL"),"_")))))</f>
        <v/>
      </c>
      <c r="H327" s="12" t="str">
        <f aca="false">IF(J327&lt;&gt;1,"",IF(I327="SBJ","CB","?"))</f>
        <v/>
      </c>
      <c r="I327" s="13" t="str">
        <f aca="false">IF(OR(E327="",E327="!!!",F327="NEW"),"",INDEX(B$2:B326,-1+SUMPRODUCT(MAX(ROW(E$2:E326)*(E327=E$2:E326)))))</f>
        <v/>
      </c>
      <c r="J327" s="14" t="str">
        <f aca="true">IF(OR(E327="",E327="!!!",F327="NEW"),"",COUNTBLANK(OFFSET(A$1,,,SUMPRODUCT(MAX(ROW(E$2:E327)*(E327=E$2:E327)))))-COUNTBLANK(OFFSET(A$1,,,SUMPRODUCT(MAX(ROW(E$1:E326)*(E327=E$1:E326))))))</f>
        <v/>
      </c>
      <c r="K327" s="14" t="str">
        <f aca="false">IF(OR(E327="",E327="!!!",F327="NEW"),"",INDEX(J$1:J326,SUMPRODUCT(MAX(ROW(E$1:E326)*(E327=E$1:E326)))))</f>
        <v/>
      </c>
      <c r="L327" s="15"/>
    </row>
    <row r="328" customFormat="false" ht="12.75" hidden="false" customHeight="false" outlineLevel="0" collapsed="false">
      <c r="A328" s="0" t="s">
        <v>246</v>
      </c>
      <c r="B328" s="0" t="s">
        <v>22</v>
      </c>
      <c r="C328" s="0" t="s">
        <v>111</v>
      </c>
      <c r="D328" s="0" t="s">
        <v>29</v>
      </c>
      <c r="E328" s="9" t="s">
        <v>68</v>
      </c>
      <c r="F328" s="10" t="s">
        <v>69</v>
      </c>
      <c r="G328" s="11"/>
      <c r="H328" s="12" t="str">
        <f aca="false">IF(J328&lt;&gt;1,"",IF(I328="SBJ","CB","?"))</f>
        <v/>
      </c>
      <c r="I328" s="13" t="str">
        <f aca="false">IF(OR(E328="",E328="!!!",F328="NEW"),"",INDEX(B$2:B327,-1+SUMPRODUCT(MAX(ROW(E$2:E327)*(E328=E$2:E327)))))</f>
        <v>other_2</v>
      </c>
      <c r="J328" s="14" t="n">
        <f aca="true">IF(OR(E328="",E328="!!!",F328="NEW"),"",COUNTBLANK(OFFSET(A$1,,,SUMPRODUCT(MAX(ROW(E$2:E328)*(E328=E$2:E328)))))-COUNTBLANK(OFFSET(A$1,,,SUMPRODUCT(MAX(ROW(E$1:E327)*(E328=E$1:E327))))))</f>
        <v>0</v>
      </c>
      <c r="K328" s="14" t="n">
        <f aca="false">IF(OR(E328="",E328="!!!",F328="NEW"),"",INDEX(J$1:J327,SUMPRODUCT(MAX(ROW(E$1:E327)*(E328=E$1:E327)))))</f>
        <v>0</v>
      </c>
      <c r="L328" s="15"/>
    </row>
    <row r="329" customFormat="false" ht="12.75" hidden="false" customHeight="false" outlineLevel="0" collapsed="false">
      <c r="A329" s="0" t="s">
        <v>73</v>
      </c>
      <c r="E329" s="9" t="str">
        <f aca="false">IF(D329="?OLD","!!!","")</f>
        <v/>
      </c>
      <c r="F329" s="10" t="str">
        <f aca="false">IF(OR(E329="",E329="!!!"),"",IF(NOT(ISNA(VLOOKUP(E329,E$1:E328,1,FALSE()))),"OLD",IF(AND(E329&lt;&gt;"",E329&lt;&gt;"!!!"),"NEW","")))</f>
        <v/>
      </c>
      <c r="G329" s="11" t="str">
        <f aca="false">IF(OR(E329="",E329="!!!"),"",IF(OR(J329=0,AND(J329=1,K329=1),AND(J329=1,I329="SBJ"),AND(J329=1,I329=0)),"?IN_FOCUS",IF(J329&lt;=2,"?ACTIVATED",IF(J329&lt;&gt;"","?FAMILIAR",IF(F329="NEW",IF(ISNA(VLOOKUP(E329,#REF!,1,FALSE())),"?TYPE_IDENTIFIABLE","?REFERENTIAL"),"_")))))</f>
        <v/>
      </c>
      <c r="H329" s="12" t="str">
        <f aca="false">IF(J329&lt;&gt;1,"",IF(I329="SBJ","CB","?"))</f>
        <v/>
      </c>
      <c r="I329" s="13" t="str">
        <f aca="false">IF(OR(E329="",E329="!!!",F329="NEW"),"",INDEX(B$2:B328,-1+SUMPRODUCT(MAX(ROW(E$2:E328)*(E329=E$2:E328)))))</f>
        <v/>
      </c>
      <c r="J329" s="14" t="str">
        <f aca="true">IF(OR(E329="",E329="!!!",F329="NEW"),"",COUNTBLANK(OFFSET(A$1,,,SUMPRODUCT(MAX(ROW(E$2:E329)*(E329=E$2:E329)))))-COUNTBLANK(OFFSET(A$1,,,SUMPRODUCT(MAX(ROW(E$1:E328)*(E329=E$1:E328))))))</f>
        <v/>
      </c>
      <c r="K329" s="14" t="str">
        <f aca="false">IF(OR(E329="",E329="!!!",F329="NEW"),"",INDEX(J$1:J328,SUMPRODUCT(MAX(ROW(E$1:E328)*(E329=E$1:E328)))))</f>
        <v/>
      </c>
      <c r="L329" s="15"/>
    </row>
    <row r="330" customFormat="false" ht="12.75" hidden="false" customHeight="false" outlineLevel="0" collapsed="false">
      <c r="E330" s="9" t="str">
        <f aca="false">IF(D330="?OLD","!!!","")</f>
        <v/>
      </c>
      <c r="F330" s="10" t="str">
        <f aca="false">IF(OR(E330="",E330="!!!"),"",IF(NOT(ISNA(VLOOKUP(E330,E$1:E329,1,FALSE()))),"OLD",IF(AND(E330&lt;&gt;"",E330&lt;&gt;"!!!"),"NEW","")))</f>
        <v/>
      </c>
      <c r="G330" s="11" t="str">
        <f aca="false">IF(OR(E330="",E330="!!!"),"",IF(OR(J330=0,AND(J330=1,K330=1),AND(J330=1,I330="SBJ"),AND(J330=1,I330=0)),"?IN_FOCUS",IF(J330&lt;=2,"?ACTIVATED",IF(J330&lt;&gt;"","?FAMILIAR",IF(F330="NEW",IF(ISNA(VLOOKUP(E330,#REF!,1,FALSE())),"?TYPE_IDENTIFIABLE","?REFERENTIAL"),"_")))))</f>
        <v/>
      </c>
      <c r="H330" s="12" t="str">
        <f aca="false">IF(J330&lt;&gt;1,"",IF(I330="SBJ","CB","?"))</f>
        <v/>
      </c>
      <c r="I330" s="13" t="str">
        <f aca="false">IF(OR(E330="",E330="!!!",F330="NEW"),"",INDEX(B$2:B329,-1+SUMPRODUCT(MAX(ROW(E$2:E329)*(E330=E$2:E329)))))</f>
        <v/>
      </c>
      <c r="J330" s="14" t="str">
        <f aca="true">IF(OR(E330="",E330="!!!",F330="NEW"),"",COUNTBLANK(OFFSET(A$1,,,SUMPRODUCT(MAX(ROW(E$2:E330)*(E330=E$2:E330)))))-COUNTBLANK(OFFSET(A$1,,,SUMPRODUCT(MAX(ROW(E$1:E329)*(E330=E$1:E329))))))</f>
        <v/>
      </c>
      <c r="K330" s="14" t="str">
        <f aca="false">IF(OR(E330="",E330="!!!",F330="NEW"),"",INDEX(J$1:J329,SUMPRODUCT(MAX(ROW(E$1:E329)*(E330=E$1:E329)))))</f>
        <v/>
      </c>
      <c r="L330" s="15"/>
    </row>
    <row r="331" customFormat="false" ht="12.75" hidden="false" customHeight="false" outlineLevel="0" collapsed="false">
      <c r="A331" s="0" t="s">
        <v>247</v>
      </c>
      <c r="E331" s="9" t="str">
        <f aca="false">IF(D331="?OLD","!!!","")</f>
        <v/>
      </c>
      <c r="F331" s="10" t="str">
        <f aca="false">IF(OR(E331="",E331="!!!"),"",IF(NOT(ISNA(VLOOKUP(E331,E$1:E330,1,FALSE()))),"OLD",IF(AND(E331&lt;&gt;"",E331&lt;&gt;"!!!"),"NEW","")))</f>
        <v/>
      </c>
      <c r="G331" s="11" t="str">
        <f aca="false">IF(OR(E331="",E331="!!!"),"",IF(OR(J331=0,AND(J331=1,K331=1),AND(J331=1,I331="SBJ"),AND(J331=1,I331=0)),"?IN_FOCUS",IF(J331&lt;=2,"?ACTIVATED",IF(J331&lt;&gt;"","?FAMILIAR",IF(F331="NEW",IF(ISNA(VLOOKUP(E331,#REF!,1,FALSE())),"?TYPE_IDENTIFIABLE","?REFERENTIAL"),"_")))))</f>
        <v/>
      </c>
      <c r="H331" s="12" t="str">
        <f aca="false">IF(J331&lt;&gt;1,"",IF(I331="SBJ","CB","?"))</f>
        <v/>
      </c>
      <c r="I331" s="13" t="str">
        <f aca="false">IF(OR(E331="",E331="!!!",F331="NEW"),"",INDEX(B$2:B330,-1+SUMPRODUCT(MAX(ROW(E$2:E330)*(E331=E$2:E330)))))</f>
        <v/>
      </c>
      <c r="J331" s="14" t="str">
        <f aca="true">IF(OR(E331="",E331="!!!",F331="NEW"),"",COUNTBLANK(OFFSET(A$1,,,SUMPRODUCT(MAX(ROW(E$2:E331)*(E331=E$2:E331)))))-COUNTBLANK(OFFSET(A$1,,,SUMPRODUCT(MAX(ROW(E$1:E330)*(E331=E$1:E330))))))</f>
        <v/>
      </c>
      <c r="K331" s="14" t="str">
        <f aca="false">IF(OR(E331="",E331="!!!",F331="NEW"),"",INDEX(J$1:J330,SUMPRODUCT(MAX(ROW(E$1:E330)*(E331=E$1:E330)))))</f>
        <v/>
      </c>
      <c r="L331" s="15"/>
    </row>
    <row r="332" customFormat="false" ht="12.75" hidden="false" customHeight="false" outlineLevel="0" collapsed="false">
      <c r="A332" s="0" t="s">
        <v>109</v>
      </c>
      <c r="E332" s="9" t="str">
        <f aca="false">IF(D332="?OLD","!!!","")</f>
        <v/>
      </c>
      <c r="F332" s="10" t="str">
        <f aca="false">IF(OR(E332="",E332="!!!"),"",IF(NOT(ISNA(VLOOKUP(E332,E$1:E331,1,FALSE()))),"OLD",IF(AND(E332&lt;&gt;"",E332&lt;&gt;"!!!"),"NEW","")))</f>
        <v/>
      </c>
      <c r="G332" s="11" t="str">
        <f aca="false">IF(OR(E332="",E332="!!!"),"",IF(OR(J332=0,AND(J332=1,K332=1),AND(J332=1,I332="SBJ"),AND(J332=1,I332=0)),"?IN_FOCUS",IF(J332&lt;=2,"?ACTIVATED",IF(J332&lt;&gt;"","?FAMILIAR",IF(F332="NEW",IF(ISNA(VLOOKUP(E332,#REF!,1,FALSE())),"?TYPE_IDENTIFIABLE","?REFERENTIAL"),"_")))))</f>
        <v/>
      </c>
      <c r="H332" s="12" t="str">
        <f aca="false">IF(J332&lt;&gt;1,"",IF(I332="SBJ","CB","?"))</f>
        <v/>
      </c>
      <c r="I332" s="13" t="str">
        <f aca="false">IF(OR(E332="",E332="!!!",F332="NEW"),"",INDEX(B$2:B331,-1+SUMPRODUCT(MAX(ROW(E$2:E331)*(E332=E$2:E331)))))</f>
        <v/>
      </c>
      <c r="J332" s="14" t="str">
        <f aca="true">IF(OR(E332="",E332="!!!",F332="NEW"),"",COUNTBLANK(OFFSET(A$1,,,SUMPRODUCT(MAX(ROW(E$2:E332)*(E332=E$2:E332)))))-COUNTBLANK(OFFSET(A$1,,,SUMPRODUCT(MAX(ROW(E$1:E331)*(E332=E$1:E331))))))</f>
        <v/>
      </c>
      <c r="K332" s="14" t="str">
        <f aca="false">IF(OR(E332="",E332="!!!",F332="NEW"),"",INDEX(J$1:J331,SUMPRODUCT(MAX(ROW(E$1:E331)*(E332=E$1:E331)))))</f>
        <v/>
      </c>
      <c r="L332" s="15"/>
    </row>
    <row r="333" customFormat="false" ht="12.75" hidden="false" customHeight="false" outlineLevel="0" collapsed="false">
      <c r="A333" s="0" t="s">
        <v>216</v>
      </c>
      <c r="B333" s="0" t="s">
        <v>14</v>
      </c>
      <c r="C333" s="0" t="s">
        <v>111</v>
      </c>
      <c r="D333" s="0" t="s">
        <v>29</v>
      </c>
      <c r="E333" s="9" t="s">
        <v>68</v>
      </c>
      <c r="F333" s="10" t="s">
        <v>69</v>
      </c>
      <c r="G333" s="11"/>
      <c r="H333" s="12"/>
      <c r="I333" s="13" t="str">
        <f aca="false">IF(OR(E333="",E333="!!!",F333="NEW"),"",INDEX(B$2:B332,-1+SUMPRODUCT(MAX(ROW(E$2:E332)*(E333=E$2:E332)))))</f>
        <v>other_3</v>
      </c>
      <c r="J333" s="14" t="n">
        <f aca="true">IF(OR(E333="",E333="!!!",F333="NEW"),"",COUNTBLANK(OFFSET(A$1,,,SUMPRODUCT(MAX(ROW(E$2:E333)*(E333=E$2:E333)))))-COUNTBLANK(OFFSET(A$1,,,SUMPRODUCT(MAX(ROW(E$1:E332)*(E333=E$1:E332))))))</f>
        <v>1</v>
      </c>
      <c r="K333" s="14" t="n">
        <f aca="false">IF(OR(E333="",E333="!!!",F333="NEW"),"",INDEX(J$1:J332,SUMPRODUCT(MAX(ROW(E$1:E332)*(E333=E$1:E332)))))</f>
        <v>0</v>
      </c>
      <c r="L333" s="15"/>
    </row>
    <row r="334" customFormat="false" ht="12.75" hidden="false" customHeight="false" outlineLevel="0" collapsed="false">
      <c r="A334" s="0" t="s">
        <v>48</v>
      </c>
      <c r="E334" s="9" t="str">
        <f aca="false">IF(D334="?OLD","!!!","")</f>
        <v/>
      </c>
      <c r="F334" s="10" t="str">
        <f aca="false">IF(OR(E334="",E334="!!!"),"",IF(NOT(ISNA(VLOOKUP(E334,E$1:E333,1,FALSE()))),"OLD",IF(AND(E334&lt;&gt;"",E334&lt;&gt;"!!!"),"NEW","")))</f>
        <v/>
      </c>
      <c r="G334" s="11" t="str">
        <f aca="false">IF(OR(E334="",E334="!!!"),"",IF(OR(J334=0,AND(J334=1,K334=1),AND(J334=1,I334="SBJ"),AND(J334=1,I334=0)),"?IN_FOCUS",IF(J334&lt;=2,"?ACTIVATED",IF(J334&lt;&gt;"","?FAMILIAR",IF(F334="NEW",IF(ISNA(VLOOKUP(E334,#REF!,1,FALSE())),"?TYPE_IDENTIFIABLE","?REFERENTIAL"),"_")))))</f>
        <v/>
      </c>
      <c r="H334" s="12" t="str">
        <f aca="false">IF(J334&lt;&gt;1,"",IF(I334="SBJ","CB","?"))</f>
        <v/>
      </c>
      <c r="I334" s="13" t="str">
        <f aca="false">IF(OR(E334="",E334="!!!",F334="NEW"),"",INDEX(B$2:B333,-1+SUMPRODUCT(MAX(ROW(E$2:E333)*(E334=E$2:E333)))))</f>
        <v/>
      </c>
      <c r="J334" s="14" t="str">
        <f aca="true">IF(OR(E334="",E334="!!!",F334="NEW"),"",COUNTBLANK(OFFSET(A$1,,,SUMPRODUCT(MAX(ROW(E$2:E334)*(E334=E$2:E334)))))-COUNTBLANK(OFFSET(A$1,,,SUMPRODUCT(MAX(ROW(E$1:E333)*(E334=E$1:E333))))))</f>
        <v/>
      </c>
      <c r="K334" s="14" t="str">
        <f aca="false">IF(OR(E334="",E334="!!!",F334="NEW"),"",INDEX(J$1:J333,SUMPRODUCT(MAX(ROW(E$1:E333)*(E334=E$1:E333)))))</f>
        <v/>
      </c>
      <c r="L334" s="15"/>
    </row>
    <row r="335" customFormat="false" ht="12.75" hidden="false" customHeight="false" outlineLevel="0" collapsed="false">
      <c r="A335" s="0" t="s">
        <v>248</v>
      </c>
      <c r="E335" s="9" t="str">
        <f aca="false">IF(D335="?OLD","!!!","")</f>
        <v/>
      </c>
      <c r="F335" s="10" t="str">
        <f aca="false">IF(OR(E335="",E335="!!!"),"",IF(NOT(ISNA(VLOOKUP(E335,E$1:E334,1,FALSE()))),"OLD",IF(AND(E335&lt;&gt;"",E335&lt;&gt;"!!!"),"NEW","")))</f>
        <v/>
      </c>
      <c r="G335" s="11" t="str">
        <f aca="false">IF(OR(E335="",E335="!!!"),"",IF(OR(J335=0,AND(J335=1,K335=1),AND(J335=1,I335="SBJ"),AND(J335=1,I335=0)),"?IN_FOCUS",IF(J335&lt;=2,"?ACTIVATED",IF(J335&lt;&gt;"","?FAMILIAR",IF(F335="NEW",IF(ISNA(VLOOKUP(E335,#REF!,1,FALSE())),"?TYPE_IDENTIFIABLE","?REFERENTIAL"),"_")))))</f>
        <v/>
      </c>
      <c r="H335" s="12" t="str">
        <f aca="false">IF(J335&lt;&gt;1,"",IF(I335="SBJ","CB","?"))</f>
        <v/>
      </c>
      <c r="I335" s="13" t="str">
        <f aca="false">IF(OR(E335="",E335="!!!",F335="NEW"),"",INDEX(B$2:B334,-1+SUMPRODUCT(MAX(ROW(E$2:E334)*(E335=E$2:E334)))))</f>
        <v/>
      </c>
      <c r="J335" s="14" t="str">
        <f aca="true">IF(OR(E335="",E335="!!!",F335="NEW"),"",COUNTBLANK(OFFSET(A$1,,,SUMPRODUCT(MAX(ROW(E$2:E335)*(E335=E$2:E335)))))-COUNTBLANK(OFFSET(A$1,,,SUMPRODUCT(MAX(ROW(E$1:E334)*(E335=E$1:E334))))))</f>
        <v/>
      </c>
      <c r="K335" s="14" t="str">
        <f aca="false">IF(OR(E335="",E335="!!!",F335="NEW"),"",INDEX(J$1:J334,SUMPRODUCT(MAX(ROW(E$1:E334)*(E335=E$1:E334)))))</f>
        <v/>
      </c>
      <c r="L335" s="15"/>
    </row>
    <row r="336" customFormat="false" ht="12.75" hidden="false" customHeight="false" outlineLevel="0" collapsed="false">
      <c r="A336" s="0" t="s">
        <v>249</v>
      </c>
      <c r="E336" s="9" t="str">
        <f aca="false">IF(D336="?OLD","!!!","")</f>
        <v/>
      </c>
      <c r="F336" s="10" t="str">
        <f aca="false">IF(OR(E336="",E336="!!!"),"",IF(NOT(ISNA(VLOOKUP(E336,E$1:E335,1,FALSE()))),"OLD",IF(AND(E336&lt;&gt;"",E336&lt;&gt;"!!!"),"NEW","")))</f>
        <v/>
      </c>
      <c r="G336" s="11" t="str">
        <f aca="false">IF(OR(E336="",E336="!!!"),"",IF(OR(J336=0,AND(J336=1,K336=1),AND(J336=1,I336="SBJ"),AND(J336=1,I336=0)),"?IN_FOCUS",IF(J336&lt;=2,"?ACTIVATED",IF(J336&lt;&gt;"","?FAMILIAR",IF(F336="NEW",IF(ISNA(VLOOKUP(E336,#REF!,1,FALSE())),"?TYPE_IDENTIFIABLE","?REFERENTIAL"),"_")))))</f>
        <v/>
      </c>
      <c r="H336" s="12" t="str">
        <f aca="false">IF(J336&lt;&gt;1,"",IF(I336="SBJ","CB","?"))</f>
        <v/>
      </c>
      <c r="I336" s="13" t="str">
        <f aca="false">IF(OR(E336="",E336="!!!",F336="NEW"),"",INDEX(B$2:B335,-1+SUMPRODUCT(MAX(ROW(E$2:E335)*(E336=E$2:E335)))))</f>
        <v/>
      </c>
      <c r="J336" s="14" t="str">
        <f aca="true">IF(OR(E336="",E336="!!!",F336="NEW"),"",COUNTBLANK(OFFSET(A$1,,,SUMPRODUCT(MAX(ROW(E$2:E336)*(E336=E$2:E336)))))-COUNTBLANK(OFFSET(A$1,,,SUMPRODUCT(MAX(ROW(E$1:E335)*(E336=E$1:E335))))))</f>
        <v/>
      </c>
      <c r="K336" s="14" t="str">
        <f aca="false">IF(OR(E336="",E336="!!!",F336="NEW"),"",INDEX(J$1:J335,SUMPRODUCT(MAX(ROW(E$1:E335)*(E336=E$1:E335)))))</f>
        <v/>
      </c>
      <c r="L336" s="15"/>
    </row>
    <row r="337" customFormat="false" ht="12.75" hidden="false" customHeight="false" outlineLevel="0" collapsed="false">
      <c r="A337" s="0" t="s">
        <v>88</v>
      </c>
      <c r="E337" s="9" t="str">
        <f aca="false">IF(D337="?OLD","!!!","")</f>
        <v/>
      </c>
      <c r="F337" s="10" t="str">
        <f aca="false">IF(OR(E337="",E337="!!!"),"",IF(NOT(ISNA(VLOOKUP(E337,E$1:E336,1,FALSE()))),"OLD",IF(AND(E337&lt;&gt;"",E337&lt;&gt;"!!!"),"NEW","")))</f>
        <v/>
      </c>
      <c r="G337" s="11" t="str">
        <f aca="false">IF(OR(E337="",E337="!!!"),"",IF(OR(J337=0,AND(J337=1,K337=1),AND(J337=1,I337="SBJ"),AND(J337=1,I337=0)),"?IN_FOCUS",IF(J337&lt;=2,"?ACTIVATED",IF(J337&lt;&gt;"","?FAMILIAR",IF(F337="NEW",IF(ISNA(VLOOKUP(E337,#REF!,1,FALSE())),"?TYPE_IDENTIFIABLE","?REFERENTIAL"),"_")))))</f>
        <v/>
      </c>
      <c r="H337" s="12" t="str">
        <f aca="false">IF(J337&lt;&gt;1,"",IF(I337="SBJ","CB","?"))</f>
        <v/>
      </c>
      <c r="I337" s="13" t="str">
        <f aca="false">IF(OR(E337="",E337="!!!",F337="NEW"),"",INDEX(B$2:B336,-1+SUMPRODUCT(MAX(ROW(E$2:E336)*(E337=E$2:E336)))))</f>
        <v/>
      </c>
      <c r="J337" s="14" t="str">
        <f aca="true">IF(OR(E337="",E337="!!!",F337="NEW"),"",COUNTBLANK(OFFSET(A$1,,,SUMPRODUCT(MAX(ROW(E$2:E337)*(E337=E$2:E337)))))-COUNTBLANK(OFFSET(A$1,,,SUMPRODUCT(MAX(ROW(E$1:E336)*(E337=E$1:E336))))))</f>
        <v/>
      </c>
      <c r="K337" s="14" t="str">
        <f aca="false">IF(OR(E337="",E337="!!!",F337="NEW"),"",INDEX(J$1:J336,SUMPRODUCT(MAX(ROW(E$1:E336)*(E337=E$1:E336)))))</f>
        <v/>
      </c>
      <c r="L337" s="15"/>
    </row>
    <row r="338" customFormat="false" ht="12.75" hidden="false" customHeight="false" outlineLevel="0" collapsed="false">
      <c r="A338" s="0" t="s">
        <v>250</v>
      </c>
      <c r="E338" s="9" t="str">
        <f aca="false">IF(D338="?OLD","!!!","")</f>
        <v/>
      </c>
      <c r="F338" s="10" t="str">
        <f aca="false">IF(OR(E338="",E338="!!!"),"",IF(NOT(ISNA(VLOOKUP(E338,E$1:E337,1,FALSE()))),"OLD",IF(AND(E338&lt;&gt;"",E338&lt;&gt;"!!!"),"NEW","")))</f>
        <v/>
      </c>
      <c r="G338" s="11" t="str">
        <f aca="false">IF(OR(E338="",E338="!!!"),"",IF(OR(J338=0,AND(J338=1,K338=1),AND(J338=1,I338="SBJ"),AND(J338=1,I338=0)),"?IN_FOCUS",IF(J338&lt;=2,"?ACTIVATED",IF(J338&lt;&gt;"","?FAMILIAR",IF(F338="NEW",IF(ISNA(VLOOKUP(E338,#REF!,1,FALSE())),"?TYPE_IDENTIFIABLE","?REFERENTIAL"),"_")))))</f>
        <v/>
      </c>
      <c r="H338" s="12" t="str">
        <f aca="false">IF(J338&lt;&gt;1,"",IF(I338="SBJ","CB","?"))</f>
        <v/>
      </c>
      <c r="I338" s="13" t="str">
        <f aca="false">IF(OR(E338="",E338="!!!",F338="NEW"),"",INDEX(B$2:B337,-1+SUMPRODUCT(MAX(ROW(E$2:E337)*(E338=E$2:E337)))))</f>
        <v/>
      </c>
      <c r="J338" s="14" t="str">
        <f aca="true">IF(OR(E338="",E338="!!!",F338="NEW"),"",COUNTBLANK(OFFSET(A$1,,,SUMPRODUCT(MAX(ROW(E$2:E338)*(E338=E$2:E338)))))-COUNTBLANK(OFFSET(A$1,,,SUMPRODUCT(MAX(ROW(E$1:E337)*(E338=E$1:E337))))))</f>
        <v/>
      </c>
      <c r="K338" s="14" t="str">
        <f aca="false">IF(OR(E338="",E338="!!!",F338="NEW"),"",INDEX(J$1:J337,SUMPRODUCT(MAX(ROW(E$1:E337)*(E338=E$1:E337)))))</f>
        <v/>
      </c>
      <c r="L338" s="15"/>
    </row>
    <row r="339" customFormat="false" ht="12.75" hidden="false" customHeight="false" outlineLevel="0" collapsed="false">
      <c r="A339" s="0" t="s">
        <v>51</v>
      </c>
      <c r="E339" s="9" t="str">
        <f aca="false">IF(D339="?OLD","!!!","")</f>
        <v/>
      </c>
      <c r="F339" s="10" t="str">
        <f aca="false">IF(OR(E339="",E339="!!!"),"",IF(NOT(ISNA(VLOOKUP(E339,E$1:E338,1,FALSE()))),"OLD",IF(AND(E339&lt;&gt;"",E339&lt;&gt;"!!!"),"NEW","")))</f>
        <v/>
      </c>
      <c r="G339" s="11" t="str">
        <f aca="false">IF(OR(E339="",E339="!!!"),"",IF(OR(J339=0,AND(J339=1,K339=1),AND(J339=1,I339="SBJ"),AND(J339=1,I339=0)),"?IN_FOCUS",IF(J339&lt;=2,"?ACTIVATED",IF(J339&lt;&gt;"","?FAMILIAR",IF(F339="NEW",IF(ISNA(VLOOKUP(E339,#REF!,1,FALSE())),"?TYPE_IDENTIFIABLE","?REFERENTIAL"),"_")))))</f>
        <v/>
      </c>
      <c r="H339" s="12" t="str">
        <f aca="false">IF(J339&lt;&gt;1,"",IF(I339="SBJ","CB","?"))</f>
        <v/>
      </c>
      <c r="I339" s="13" t="str">
        <f aca="false">IF(OR(E339="",E339="!!!",F339="NEW"),"",INDEX(B$2:B338,-1+SUMPRODUCT(MAX(ROW(E$2:E338)*(E339=E$2:E338)))))</f>
        <v/>
      </c>
      <c r="J339" s="14" t="str">
        <f aca="true">IF(OR(E339="",E339="!!!",F339="NEW"),"",COUNTBLANK(OFFSET(A$1,,,SUMPRODUCT(MAX(ROW(E$2:E339)*(E339=E$2:E339)))))-COUNTBLANK(OFFSET(A$1,,,SUMPRODUCT(MAX(ROW(E$1:E338)*(E339=E$1:E338))))))</f>
        <v/>
      </c>
      <c r="K339" s="14" t="str">
        <f aca="false">IF(OR(E339="",E339="!!!",F339="NEW"),"",INDEX(J$1:J338,SUMPRODUCT(MAX(ROW(E$1:E338)*(E339=E$1:E338)))))</f>
        <v/>
      </c>
      <c r="L339" s="15"/>
    </row>
    <row r="340" customFormat="false" ht="12.75" hidden="false" customHeight="false" outlineLevel="0" collapsed="false">
      <c r="A340" s="0" t="s">
        <v>251</v>
      </c>
      <c r="E340" s="9" t="str">
        <f aca="false">IF(D340="?OLD","!!!","")</f>
        <v/>
      </c>
      <c r="F340" s="10" t="str">
        <f aca="false">IF(OR(E340="",E340="!!!"),"",IF(NOT(ISNA(VLOOKUP(E340,E$1:E339,1,FALSE()))),"OLD",IF(AND(E340&lt;&gt;"",E340&lt;&gt;"!!!"),"NEW","")))</f>
        <v/>
      </c>
      <c r="G340" s="11" t="str">
        <f aca="false">IF(OR(E340="",E340="!!!"),"",IF(OR(J340=0,AND(J340=1,K340=1),AND(J340=1,I340="SBJ"),AND(J340=1,I340=0)),"?IN_FOCUS",IF(J340&lt;=2,"?ACTIVATED",IF(J340&lt;&gt;"","?FAMILIAR",IF(F340="NEW",IF(ISNA(VLOOKUP(E340,#REF!,1,FALSE())),"?TYPE_IDENTIFIABLE","?REFERENTIAL"),"_")))))</f>
        <v/>
      </c>
      <c r="H340" s="12" t="str">
        <f aca="false">IF(J340&lt;&gt;1,"",IF(I340="SBJ","CB","?"))</f>
        <v/>
      </c>
      <c r="I340" s="13" t="str">
        <f aca="false">IF(OR(E340="",E340="!!!",F340="NEW"),"",INDEX(B$2:B339,-1+SUMPRODUCT(MAX(ROW(E$2:E339)*(E340=E$2:E339)))))</f>
        <v/>
      </c>
      <c r="J340" s="14" t="str">
        <f aca="true">IF(OR(E340="",E340="!!!",F340="NEW"),"",COUNTBLANK(OFFSET(A$1,,,SUMPRODUCT(MAX(ROW(E$2:E340)*(E340=E$2:E340)))))-COUNTBLANK(OFFSET(A$1,,,SUMPRODUCT(MAX(ROW(E$1:E339)*(E340=E$1:E339))))))</f>
        <v/>
      </c>
      <c r="K340" s="14" t="str">
        <f aca="false">IF(OR(E340="",E340="!!!",F340="NEW"),"",INDEX(J$1:J339,SUMPRODUCT(MAX(ROW(E$1:E339)*(E340=E$1:E339)))))</f>
        <v/>
      </c>
      <c r="L340" s="15"/>
    </row>
    <row r="341" customFormat="false" ht="12.75" hidden="false" customHeight="false" outlineLevel="0" collapsed="false">
      <c r="A341" s="0" t="s">
        <v>51</v>
      </c>
      <c r="E341" s="9" t="str">
        <f aca="false">IF(D341="?OLD","!!!","")</f>
        <v/>
      </c>
      <c r="F341" s="10" t="str">
        <f aca="false">IF(OR(E341="",E341="!!!"),"",IF(NOT(ISNA(VLOOKUP(E341,E$1:E340,1,FALSE()))),"OLD",IF(AND(E341&lt;&gt;"",E341&lt;&gt;"!!!"),"NEW","")))</f>
        <v/>
      </c>
      <c r="G341" s="11" t="str">
        <f aca="false">IF(OR(E341="",E341="!!!"),"",IF(OR(J341=0,AND(J341=1,K341=1),AND(J341=1,I341="SBJ"),AND(J341=1,I341=0)),"?IN_FOCUS",IF(J341&lt;=2,"?ACTIVATED",IF(J341&lt;&gt;"","?FAMILIAR",IF(F341="NEW",IF(ISNA(VLOOKUP(E341,#REF!,1,FALSE())),"?TYPE_IDENTIFIABLE","?REFERENTIAL"),"_")))))</f>
        <v/>
      </c>
      <c r="H341" s="12" t="str">
        <f aca="false">IF(J341&lt;&gt;1,"",IF(I341="SBJ","CB","?"))</f>
        <v/>
      </c>
      <c r="I341" s="13" t="str">
        <f aca="false">IF(OR(E341="",E341="!!!",F341="NEW"),"",INDEX(B$2:B340,-1+SUMPRODUCT(MAX(ROW(E$2:E340)*(E341=E$2:E340)))))</f>
        <v/>
      </c>
      <c r="J341" s="14" t="str">
        <f aca="true">IF(OR(E341="",E341="!!!",F341="NEW"),"",COUNTBLANK(OFFSET(A$1,,,SUMPRODUCT(MAX(ROW(E$2:E341)*(E341=E$2:E341)))))-COUNTBLANK(OFFSET(A$1,,,SUMPRODUCT(MAX(ROW(E$1:E340)*(E341=E$1:E340))))))</f>
        <v/>
      </c>
      <c r="K341" s="14" t="str">
        <f aca="false">IF(OR(E341="",E341="!!!",F341="NEW"),"",INDEX(J$1:J340,SUMPRODUCT(MAX(ROW(E$1:E340)*(E341=E$1:E340)))))</f>
        <v/>
      </c>
      <c r="L341" s="15"/>
    </row>
    <row r="342" customFormat="false" ht="12.75" hidden="false" customHeight="false" outlineLevel="0" collapsed="false">
      <c r="A342" s="0" t="s">
        <v>252</v>
      </c>
      <c r="B342" s="0" t="s">
        <v>22</v>
      </c>
      <c r="C342" s="0" t="s">
        <v>23</v>
      </c>
      <c r="D342" s="0" t="s">
        <v>29</v>
      </c>
      <c r="E342" s="9" t="s">
        <v>68</v>
      </c>
      <c r="F342" s="10" t="s">
        <v>69</v>
      </c>
      <c r="G342" s="11"/>
      <c r="H342" s="12" t="str">
        <f aca="false">IF(J342&lt;&gt;1,"",IF(I342="SBJ","CB","?"))</f>
        <v/>
      </c>
      <c r="I342" s="13" t="str">
        <f aca="false">IF(OR(E342="",E342="!!!",F342="NEW"),"",INDEX(B$2:B341,-1+SUMPRODUCT(MAX(ROW(E$2:E341)*(E342=E$2:E341)))))</f>
        <v>SBJ</v>
      </c>
      <c r="J342" s="14" t="n">
        <f aca="true">IF(OR(E342="",E342="!!!",F342="NEW"),"",COUNTBLANK(OFFSET(A$1,,,SUMPRODUCT(MAX(ROW(E$2:E342)*(E342=E$2:E342)))))-COUNTBLANK(OFFSET(A$1,,,SUMPRODUCT(MAX(ROW(E$1:E341)*(E342=E$1:E341))))))</f>
        <v>0</v>
      </c>
      <c r="K342" s="14" t="n">
        <f aca="false">IF(OR(E342="",E342="!!!",F342="NEW"),"",INDEX(J$1:J341,SUMPRODUCT(MAX(ROW(E$1:E341)*(E342=E$1:E341)))))</f>
        <v>1</v>
      </c>
      <c r="L342" s="15"/>
    </row>
    <row r="343" customFormat="false" ht="12.75" hidden="false" customHeight="false" outlineLevel="0" collapsed="false">
      <c r="A343" s="0" t="s">
        <v>253</v>
      </c>
      <c r="E343" s="9" t="str">
        <f aca="false">IF(D343="?OLD","!!!","")</f>
        <v/>
      </c>
      <c r="F343" s="10" t="str">
        <f aca="false">IF(OR(E343="",E343="!!!"),"",IF(NOT(ISNA(VLOOKUP(E343,E$1:E342,1,FALSE()))),"OLD",IF(AND(E343&lt;&gt;"",E343&lt;&gt;"!!!"),"NEW","")))</f>
        <v/>
      </c>
      <c r="G343" s="11" t="str">
        <f aca="false">IF(OR(E343="",E343="!!!"),"",IF(OR(J343=0,AND(J343=1,K343=1),AND(J343=1,I343="SBJ"),AND(J343=1,I343=0)),"?IN_FOCUS",IF(J343&lt;=2,"?ACTIVATED",IF(J343&lt;&gt;"","?FAMILIAR",IF(F343="NEW",IF(ISNA(VLOOKUP(E343,#REF!,1,FALSE())),"?TYPE_IDENTIFIABLE","?REFERENTIAL"),"_")))))</f>
        <v/>
      </c>
      <c r="H343" s="12" t="str">
        <f aca="false">IF(J343&lt;&gt;1,"",IF(I343="SBJ","CB","?"))</f>
        <v/>
      </c>
      <c r="I343" s="13" t="str">
        <f aca="false">IF(OR(E343="",E343="!!!",F343="NEW"),"",INDEX(B$2:B342,-1+SUMPRODUCT(MAX(ROW(E$2:E342)*(E343=E$2:E342)))))</f>
        <v/>
      </c>
      <c r="J343" s="14" t="str">
        <f aca="true">IF(OR(E343="",E343="!!!",F343="NEW"),"",COUNTBLANK(OFFSET(A$1,,,SUMPRODUCT(MAX(ROW(E$2:E343)*(E343=E$2:E343)))))-COUNTBLANK(OFFSET(A$1,,,SUMPRODUCT(MAX(ROW(E$1:E342)*(E343=E$1:E342))))))</f>
        <v/>
      </c>
      <c r="K343" s="14" t="str">
        <f aca="false">IF(OR(E343="",E343="!!!",F343="NEW"),"",INDEX(J$1:J342,SUMPRODUCT(MAX(ROW(E$1:E342)*(E343=E$1:E342)))))</f>
        <v/>
      </c>
      <c r="L343" s="15"/>
    </row>
    <row r="344" customFormat="false" ht="12.75" hidden="false" customHeight="false" outlineLevel="0" collapsed="false">
      <c r="A344" s="0" t="s">
        <v>254</v>
      </c>
      <c r="E344" s="9" t="str">
        <f aca="false">IF(D344="?OLD","!!!","")</f>
        <v/>
      </c>
      <c r="F344" s="10" t="str">
        <f aca="false">IF(OR(E344="",E344="!!!"),"",IF(NOT(ISNA(VLOOKUP(E344,E$1:E343,1,FALSE()))),"OLD",IF(AND(E344&lt;&gt;"",E344&lt;&gt;"!!!"),"NEW","")))</f>
        <v/>
      </c>
      <c r="G344" s="11" t="str">
        <f aca="false">IF(OR(E344="",E344="!!!"),"",IF(OR(J344=0,AND(J344=1,K344=1),AND(J344=1,I344="SBJ"),AND(J344=1,I344=0)),"?IN_FOCUS",IF(J344&lt;=2,"?ACTIVATED",IF(J344&lt;&gt;"","?FAMILIAR",IF(F344="NEW",IF(ISNA(VLOOKUP(E344,#REF!,1,FALSE())),"?TYPE_IDENTIFIABLE","?REFERENTIAL"),"_")))))</f>
        <v/>
      </c>
      <c r="H344" s="12" t="str">
        <f aca="false">IF(J344&lt;&gt;1,"",IF(I344="SBJ","CB","?"))</f>
        <v/>
      </c>
      <c r="I344" s="13" t="str">
        <f aca="false">IF(OR(E344="",E344="!!!",F344="NEW"),"",INDEX(B$2:B343,-1+SUMPRODUCT(MAX(ROW(E$2:E343)*(E344=E$2:E343)))))</f>
        <v/>
      </c>
      <c r="J344" s="14" t="str">
        <f aca="true">IF(OR(E344="",E344="!!!",F344="NEW"),"",COUNTBLANK(OFFSET(A$1,,,SUMPRODUCT(MAX(ROW(E$2:E344)*(E344=E$2:E344)))))-COUNTBLANK(OFFSET(A$1,,,SUMPRODUCT(MAX(ROW(E$1:E343)*(E344=E$1:E343))))))</f>
        <v/>
      </c>
      <c r="K344" s="14" t="str">
        <f aca="false">IF(OR(E344="",E344="!!!",F344="NEW"),"",INDEX(J$1:J343,SUMPRODUCT(MAX(ROW(E$1:E343)*(E344=E$1:E343)))))</f>
        <v/>
      </c>
      <c r="L344" s="15"/>
    </row>
    <row r="345" customFormat="false" ht="12.75" hidden="false" customHeight="false" outlineLevel="0" collapsed="false">
      <c r="A345" s="0" t="s">
        <v>31</v>
      </c>
      <c r="E345" s="9" t="str">
        <f aca="false">IF(D345="?OLD","!!!","")</f>
        <v/>
      </c>
      <c r="F345" s="10" t="str">
        <f aca="false">IF(OR(E345="",E345="!!!"),"",IF(NOT(ISNA(VLOOKUP(E345,E$1:E344,1,FALSE()))),"OLD",IF(AND(E345&lt;&gt;"",E345&lt;&gt;"!!!"),"NEW","")))</f>
        <v/>
      </c>
      <c r="G345" s="11" t="str">
        <f aca="false">IF(OR(E345="",E345="!!!"),"",IF(OR(J345=0,AND(J345=1,K345=1),AND(J345=1,I345="SBJ"),AND(J345=1,I345=0)),"?IN_FOCUS",IF(J345&lt;=2,"?ACTIVATED",IF(J345&lt;&gt;"","?FAMILIAR",IF(F345="NEW",IF(ISNA(VLOOKUP(E345,#REF!,1,FALSE())),"?TYPE_IDENTIFIABLE","?REFERENTIAL"),"_")))))</f>
        <v/>
      </c>
      <c r="H345" s="12" t="str">
        <f aca="false">IF(J345&lt;&gt;1,"",IF(I345="SBJ","CB","?"))</f>
        <v/>
      </c>
      <c r="I345" s="13" t="str">
        <f aca="false">IF(OR(E345="",E345="!!!",F345="NEW"),"",INDEX(B$2:B344,-1+SUMPRODUCT(MAX(ROW(E$2:E344)*(E345=E$2:E344)))))</f>
        <v/>
      </c>
      <c r="J345" s="14" t="str">
        <f aca="true">IF(OR(E345="",E345="!!!",F345="NEW"),"",COUNTBLANK(OFFSET(A$1,,,SUMPRODUCT(MAX(ROW(E$2:E345)*(E345=E$2:E345)))))-COUNTBLANK(OFFSET(A$1,,,SUMPRODUCT(MAX(ROW(E$1:E344)*(E345=E$1:E344))))))</f>
        <v/>
      </c>
      <c r="K345" s="14" t="str">
        <f aca="false">IF(OR(E345="",E345="!!!",F345="NEW"),"",INDEX(J$1:J344,SUMPRODUCT(MAX(ROW(E$1:E344)*(E345=E$1:E344)))))</f>
        <v/>
      </c>
      <c r="L345" s="15"/>
    </row>
    <row r="346" customFormat="false" ht="12.75" hidden="false" customHeight="false" outlineLevel="0" collapsed="false">
      <c r="A346" s="0" t="s">
        <v>255</v>
      </c>
      <c r="E346" s="9" t="str">
        <f aca="false">IF(D346="?OLD","!!!","")</f>
        <v/>
      </c>
      <c r="F346" s="10" t="str">
        <f aca="false">IF(OR(E346="",E346="!!!"),"",IF(NOT(ISNA(VLOOKUP(E346,E$1:E345,1,FALSE()))),"OLD",IF(AND(E346&lt;&gt;"",E346&lt;&gt;"!!!"),"NEW","")))</f>
        <v/>
      </c>
      <c r="G346" s="11" t="str">
        <f aca="false">IF(OR(E346="",E346="!!!"),"",IF(OR(J346=0,AND(J346=1,K346=1),AND(J346=1,I346="SBJ"),AND(J346=1,I346=0)),"?IN_FOCUS",IF(J346&lt;=2,"?ACTIVATED",IF(J346&lt;&gt;"","?FAMILIAR",IF(F346="NEW",IF(ISNA(VLOOKUP(E346,#REF!,1,FALSE())),"?TYPE_IDENTIFIABLE","?REFERENTIAL"),"_")))))</f>
        <v/>
      </c>
      <c r="H346" s="12" t="str">
        <f aca="false">IF(J346&lt;&gt;1,"",IF(I346="SBJ","CB","?"))</f>
        <v/>
      </c>
      <c r="I346" s="13" t="str">
        <f aca="false">IF(OR(E346="",E346="!!!",F346="NEW"),"",INDEX(B$2:B345,-1+SUMPRODUCT(MAX(ROW(E$2:E345)*(E346=E$2:E345)))))</f>
        <v/>
      </c>
      <c r="J346" s="14" t="str">
        <f aca="true">IF(OR(E346="",E346="!!!",F346="NEW"),"",COUNTBLANK(OFFSET(A$1,,,SUMPRODUCT(MAX(ROW(E$2:E346)*(E346=E$2:E346)))))-COUNTBLANK(OFFSET(A$1,,,SUMPRODUCT(MAX(ROW(E$1:E345)*(E346=E$1:E345))))))</f>
        <v/>
      </c>
      <c r="K346" s="14" t="str">
        <f aca="false">IF(OR(E346="",E346="!!!",F346="NEW"),"",INDEX(J$1:J345,SUMPRODUCT(MAX(ROW(E$1:E345)*(E346=E$1:E345)))))</f>
        <v/>
      </c>
      <c r="L346" s="15"/>
    </row>
    <row r="347" customFormat="false" ht="12.75" hidden="false" customHeight="false" outlineLevel="0" collapsed="false">
      <c r="A347" s="0" t="s">
        <v>147</v>
      </c>
      <c r="B347" s="0" t="s">
        <v>42</v>
      </c>
      <c r="C347" s="0" t="s">
        <v>38</v>
      </c>
      <c r="D347" s="0" t="s">
        <v>29</v>
      </c>
      <c r="E347" s="9" t="s">
        <v>143</v>
      </c>
      <c r="F347" s="10" t="str">
        <f aca="false">IF(OR(E347="",E347="!!!"),"",IF(NOT(ISNA(VLOOKUP(E347,E$1:E346,1,FALSE()))),"OLD",IF(AND(E347&lt;&gt;"",E347&lt;&gt;"!!!"),"NEW","")))</f>
        <v>OLD</v>
      </c>
      <c r="G347" s="11" t="s">
        <v>80</v>
      </c>
      <c r="H347" s="12" t="str">
        <f aca="false">IF(J347&lt;&gt;1,"",IF(I347="SBJ","CB","?"))</f>
        <v>CB</v>
      </c>
      <c r="I347" s="13" t="str">
        <f aca="false">IF(OR(E347="",E347="!!!",F347="NEW"),"",INDEX(B$2:B346,-1+SUMPRODUCT(MAX(ROW(E$2:E346)*(E347=E$2:E346)))))</f>
        <v>SBJ</v>
      </c>
      <c r="J347" s="14" t="n">
        <f aca="true">IF(OR(E347="",E347="!!!",F347="NEW"),"",COUNTBLANK(OFFSET(A$1,,,SUMPRODUCT(MAX(ROW(E$2:E347)*(E347=E$2:E347)))))-COUNTBLANK(OFFSET(A$1,,,SUMPRODUCT(MAX(ROW(E$1:E346)*(E347=E$1:E346))))))</f>
        <v>1</v>
      </c>
      <c r="K347" s="14" t="n">
        <f aca="false">IF(OR(E347="",E347="!!!",F347="NEW"),"",INDEX(J$1:J346,SUMPRODUCT(MAX(ROW(E$1:E346)*(E347=E$1:E346)))))</f>
        <v>1</v>
      </c>
      <c r="L347" s="15"/>
    </row>
    <row r="348" customFormat="false" ht="12.75" hidden="false" customHeight="false" outlineLevel="0" collapsed="false">
      <c r="A348" s="0" t="s">
        <v>256</v>
      </c>
      <c r="E348" s="9" t="str">
        <f aca="false">IF(D348="?OLD","!!!","")</f>
        <v/>
      </c>
      <c r="F348" s="10" t="str">
        <f aca="false">IF(OR(E348="",E348="!!!"),"",IF(NOT(ISNA(VLOOKUP(E348,E$1:E347,1,FALSE()))),"OLD",IF(AND(E348&lt;&gt;"",E348&lt;&gt;"!!!"),"NEW","")))</f>
        <v/>
      </c>
      <c r="G348" s="11" t="str">
        <f aca="false">IF(OR(E348="",E348="!!!"),"",IF(OR(J348=0,AND(J348=1,K348=1),AND(J348=1,I348="SBJ"),AND(J348=1,I348=0)),"?IN_FOCUS",IF(J348&lt;=2,"?ACTIVATED",IF(J348&lt;&gt;"","?FAMILIAR",IF(F348="NEW",IF(ISNA(VLOOKUP(E348,#REF!,1,FALSE())),"?TYPE_IDENTIFIABLE","?REFERENTIAL"),"_")))))</f>
        <v/>
      </c>
      <c r="H348" s="12" t="str">
        <f aca="false">IF(J348&lt;&gt;1,"",IF(I348="SBJ","CB","?"))</f>
        <v/>
      </c>
      <c r="I348" s="13" t="str">
        <f aca="false">IF(OR(E348="",E348="!!!",F348="NEW"),"",INDEX(B$2:B347,-1+SUMPRODUCT(MAX(ROW(E$2:E347)*(E348=E$2:E347)))))</f>
        <v/>
      </c>
      <c r="J348" s="14" t="str">
        <f aca="true">IF(OR(E348="",E348="!!!",F348="NEW"),"",COUNTBLANK(OFFSET(A$1,,,SUMPRODUCT(MAX(ROW(E$2:E348)*(E348=E$2:E348)))))-COUNTBLANK(OFFSET(A$1,,,SUMPRODUCT(MAX(ROW(E$1:E347)*(E348=E$1:E347))))))</f>
        <v/>
      </c>
      <c r="K348" s="14" t="str">
        <f aca="false">IF(OR(E348="",E348="!!!",F348="NEW"),"",INDEX(J$1:J347,SUMPRODUCT(MAX(ROW(E$1:E347)*(E348=E$1:E347)))))</f>
        <v/>
      </c>
      <c r="L348" s="15"/>
    </row>
    <row r="349" customFormat="false" ht="12.75" hidden="false" customHeight="false" outlineLevel="0" collapsed="false">
      <c r="A349" s="0" t="s">
        <v>51</v>
      </c>
      <c r="E349" s="9" t="str">
        <f aca="false">IF(D349="?OLD","!!!","")</f>
        <v/>
      </c>
      <c r="F349" s="10" t="str">
        <f aca="false">IF(OR(E349="",E349="!!!"),"",IF(NOT(ISNA(VLOOKUP(E349,E$1:E348,1,FALSE()))),"OLD",IF(AND(E349&lt;&gt;"",E349&lt;&gt;"!!!"),"NEW","")))</f>
        <v/>
      </c>
      <c r="G349" s="11" t="str">
        <f aca="false">IF(OR(E349="",E349="!!!"),"",IF(OR(J349=0,AND(J349=1,K349=1),AND(J349=1,I349="SBJ"),AND(J349=1,I349=0)),"?IN_FOCUS",IF(J349&lt;=2,"?ACTIVATED",IF(J349&lt;&gt;"","?FAMILIAR",IF(F349="NEW",IF(ISNA(VLOOKUP(E349,#REF!,1,FALSE())),"?TYPE_IDENTIFIABLE","?REFERENTIAL"),"_")))))</f>
        <v/>
      </c>
      <c r="H349" s="12" t="str">
        <f aca="false">IF(J349&lt;&gt;1,"",IF(I349="SBJ","CB","?"))</f>
        <v/>
      </c>
      <c r="I349" s="13" t="str">
        <f aca="false">IF(OR(E349="",E349="!!!",F349="NEW"),"",INDEX(B$2:B348,-1+SUMPRODUCT(MAX(ROW(E$2:E348)*(E349=E$2:E348)))))</f>
        <v/>
      </c>
      <c r="J349" s="14" t="str">
        <f aca="true">IF(OR(E349="",E349="!!!",F349="NEW"),"",COUNTBLANK(OFFSET(A$1,,,SUMPRODUCT(MAX(ROW(E$2:E349)*(E349=E$2:E349)))))-COUNTBLANK(OFFSET(A$1,,,SUMPRODUCT(MAX(ROW(E$1:E348)*(E349=E$1:E348))))))</f>
        <v/>
      </c>
      <c r="K349" s="14" t="str">
        <f aca="false">IF(OR(E349="",E349="!!!",F349="NEW"),"",INDEX(J$1:J348,SUMPRODUCT(MAX(ROW(E$1:E348)*(E349=E$1:E348)))))</f>
        <v/>
      </c>
      <c r="L349" s="15"/>
    </row>
    <row r="350" customFormat="false" ht="12.75" hidden="false" customHeight="false" outlineLevel="0" collapsed="false">
      <c r="A350" s="0" t="s">
        <v>257</v>
      </c>
      <c r="E350" s="9" t="str">
        <f aca="false">IF(D350="?OLD","!!!","")</f>
        <v/>
      </c>
      <c r="F350" s="10" t="str">
        <f aca="false">IF(OR(E350="",E350="!!!"),"",IF(NOT(ISNA(VLOOKUP(E350,E$1:E349,1,FALSE()))),"OLD",IF(AND(E350&lt;&gt;"",E350&lt;&gt;"!!!"),"NEW","")))</f>
        <v/>
      </c>
      <c r="G350" s="11" t="str">
        <f aca="false">IF(OR(E350="",E350="!!!"),"",IF(OR(J350=0,AND(J350=1,K350=1),AND(J350=1,I350="SBJ"),AND(J350=1,I350=0)),"?IN_FOCUS",IF(J350&lt;=2,"?ACTIVATED",IF(J350&lt;&gt;"","?FAMILIAR",IF(F350="NEW",IF(ISNA(VLOOKUP(E350,#REF!,1,FALSE())),"?TYPE_IDENTIFIABLE","?REFERENTIAL"),"_")))))</f>
        <v/>
      </c>
      <c r="H350" s="12" t="str">
        <f aca="false">IF(J350&lt;&gt;1,"",IF(I350="SBJ","CB","?"))</f>
        <v/>
      </c>
      <c r="I350" s="13" t="str">
        <f aca="false">IF(OR(E350="",E350="!!!",F350="NEW"),"",INDEX(B$2:B349,-1+SUMPRODUCT(MAX(ROW(E$2:E349)*(E350=E$2:E349)))))</f>
        <v/>
      </c>
      <c r="J350" s="14" t="str">
        <f aca="true">IF(OR(E350="",E350="!!!",F350="NEW"),"",COUNTBLANK(OFFSET(A$1,,,SUMPRODUCT(MAX(ROW(E$2:E350)*(E350=E$2:E350)))))-COUNTBLANK(OFFSET(A$1,,,SUMPRODUCT(MAX(ROW(E$1:E349)*(E350=E$1:E349))))))</f>
        <v/>
      </c>
      <c r="K350" s="14" t="str">
        <f aca="false">IF(OR(E350="",E350="!!!",F350="NEW"),"",INDEX(J$1:J349,SUMPRODUCT(MAX(ROW(E$1:E349)*(E350=E$1:E349)))))</f>
        <v/>
      </c>
      <c r="L350" s="15"/>
    </row>
    <row r="351" customFormat="false" ht="12.75" hidden="false" customHeight="false" outlineLevel="0" collapsed="false">
      <c r="A351" s="0" t="s">
        <v>51</v>
      </c>
      <c r="E351" s="9" t="str">
        <f aca="false">IF(D351="?OLD","!!!","")</f>
        <v/>
      </c>
      <c r="F351" s="10" t="str">
        <f aca="false">IF(OR(E351="",E351="!!!"),"",IF(NOT(ISNA(VLOOKUP(E351,E$1:E350,1,FALSE()))),"OLD",IF(AND(E351&lt;&gt;"",E351&lt;&gt;"!!!"),"NEW","")))</f>
        <v/>
      </c>
      <c r="G351" s="11" t="str">
        <f aca="false">IF(OR(E351="",E351="!!!"),"",IF(OR(J351=0,AND(J351=1,K351=1),AND(J351=1,I351="SBJ"),AND(J351=1,I351=0)),"?IN_FOCUS",IF(J351&lt;=2,"?ACTIVATED",IF(J351&lt;&gt;"","?FAMILIAR",IF(F351="NEW",IF(ISNA(VLOOKUP(E351,#REF!,1,FALSE())),"?TYPE_IDENTIFIABLE","?REFERENTIAL"),"_")))))</f>
        <v/>
      </c>
      <c r="H351" s="12" t="str">
        <f aca="false">IF(J351&lt;&gt;1,"",IF(I351="SBJ","CB","?"))</f>
        <v/>
      </c>
      <c r="I351" s="13" t="str">
        <f aca="false">IF(OR(E351="",E351="!!!",F351="NEW"),"",INDEX(B$2:B350,-1+SUMPRODUCT(MAX(ROW(E$2:E350)*(E351=E$2:E350)))))</f>
        <v/>
      </c>
      <c r="J351" s="14" t="str">
        <f aca="true">IF(OR(E351="",E351="!!!",F351="NEW"),"",COUNTBLANK(OFFSET(A$1,,,SUMPRODUCT(MAX(ROW(E$2:E351)*(E351=E$2:E351)))))-COUNTBLANK(OFFSET(A$1,,,SUMPRODUCT(MAX(ROW(E$1:E350)*(E351=E$1:E350))))))</f>
        <v/>
      </c>
      <c r="K351" s="14" t="str">
        <f aca="false">IF(OR(E351="",E351="!!!",F351="NEW"),"",INDEX(J$1:J350,SUMPRODUCT(MAX(ROW(E$1:E350)*(E351=E$1:E350)))))</f>
        <v/>
      </c>
      <c r="L351" s="15"/>
    </row>
    <row r="352" customFormat="false" ht="12.75" hidden="false" customHeight="false" outlineLevel="0" collapsed="false">
      <c r="A352" s="0" t="s">
        <v>258</v>
      </c>
      <c r="E352" s="9" t="str">
        <f aca="false">IF(D352="?OLD","!!!","")</f>
        <v/>
      </c>
      <c r="F352" s="10" t="str">
        <f aca="false">IF(OR(E352="",E352="!!!"),"",IF(NOT(ISNA(VLOOKUP(E352,E$1:E351,1,FALSE()))),"OLD",IF(AND(E352&lt;&gt;"",E352&lt;&gt;"!!!"),"NEW","")))</f>
        <v/>
      </c>
      <c r="G352" s="11" t="str">
        <f aca="false">IF(OR(E352="",E352="!!!"),"",IF(OR(J352=0,AND(J352=1,K352=1),AND(J352=1,I352="SBJ"),AND(J352=1,I352=0)),"?IN_FOCUS",IF(J352&lt;=2,"?ACTIVATED",IF(J352&lt;&gt;"","?FAMILIAR",IF(F352="NEW",IF(ISNA(VLOOKUP(E352,#REF!,1,FALSE())),"?TYPE_IDENTIFIABLE","?REFERENTIAL"),"_")))))</f>
        <v/>
      </c>
      <c r="H352" s="12" t="str">
        <f aca="false">IF(J352&lt;&gt;1,"",IF(I352="SBJ","CB","?"))</f>
        <v/>
      </c>
      <c r="I352" s="13" t="str">
        <f aca="false">IF(OR(E352="",E352="!!!",F352="NEW"),"",INDEX(B$2:B351,-1+SUMPRODUCT(MAX(ROW(E$2:E351)*(E352=E$2:E351)))))</f>
        <v/>
      </c>
      <c r="J352" s="14" t="str">
        <f aca="true">IF(OR(E352="",E352="!!!",F352="NEW"),"",COUNTBLANK(OFFSET(A$1,,,SUMPRODUCT(MAX(ROW(E$2:E352)*(E352=E$2:E352)))))-COUNTBLANK(OFFSET(A$1,,,SUMPRODUCT(MAX(ROW(E$1:E351)*(E352=E$1:E351))))))</f>
        <v/>
      </c>
      <c r="K352" s="14" t="str">
        <f aca="false">IF(OR(E352="",E352="!!!",F352="NEW"),"",INDEX(J$1:J351,SUMPRODUCT(MAX(ROW(E$1:E351)*(E352=E$1:E351)))))</f>
        <v/>
      </c>
      <c r="L352" s="15"/>
    </row>
    <row r="353" customFormat="false" ht="12.75" hidden="false" customHeight="false" outlineLevel="0" collapsed="false">
      <c r="A353" s="0" t="s">
        <v>259</v>
      </c>
      <c r="B353" s="0" t="s">
        <v>22</v>
      </c>
      <c r="C353" s="0" t="s">
        <v>23</v>
      </c>
      <c r="D353" s="0" t="s">
        <v>29</v>
      </c>
      <c r="E353" s="9" t="s">
        <v>68</v>
      </c>
      <c r="F353" s="10" t="s">
        <v>16</v>
      </c>
      <c r="G353" s="11"/>
      <c r="H353" s="12" t="str">
        <f aca="false">IF(J353&lt;&gt;1,"",IF(I353="SBJ","CB","?"))</f>
        <v/>
      </c>
      <c r="I353" s="13" t="str">
        <f aca="false">IF(OR(E353="",E353="!!!",F353="NEW"),"",INDEX(B$2:B352,-1+SUMPRODUCT(MAX(ROW(E$2:E352)*(E353=E$2:E352)))))</f>
        <v/>
      </c>
      <c r="J353" s="14" t="str">
        <f aca="true">IF(OR(E353="",E353="!!!",F353="NEW"),"",COUNTBLANK(OFFSET(A$1,,,SUMPRODUCT(MAX(ROW(E$2:E353)*(E353=E$2:E353)))))-COUNTBLANK(OFFSET(A$1,,,SUMPRODUCT(MAX(ROW(E$1:E352)*(E353=E$1:E352))))))</f>
        <v/>
      </c>
      <c r="K353" s="14" t="str">
        <f aca="false">IF(OR(E353="",E353="!!!",F353="NEW"),"",INDEX(J$1:J352,SUMPRODUCT(MAX(ROW(E$1:E352)*(E353=E$1:E352)))))</f>
        <v/>
      </c>
      <c r="L353" s="15"/>
    </row>
    <row r="354" customFormat="false" ht="12.75" hidden="false" customHeight="false" outlineLevel="0" collapsed="false">
      <c r="A354" s="0" t="s">
        <v>73</v>
      </c>
      <c r="E354" s="9" t="str">
        <f aca="false">IF(D354="?OLD","!!!","")</f>
        <v/>
      </c>
      <c r="F354" s="10" t="str">
        <f aca="false">IF(OR(E354="",E354="!!!"),"",IF(NOT(ISNA(VLOOKUP(E354,E$1:E353,1,FALSE()))),"OLD",IF(AND(E354&lt;&gt;"",E354&lt;&gt;"!!!"),"NEW","")))</f>
        <v/>
      </c>
      <c r="G354" s="11" t="str">
        <f aca="false">IF(OR(E354="",E354="!!!"),"",IF(OR(J354=0,AND(J354=1,K354=1),AND(J354=1,I354="SBJ"),AND(J354=1,I354=0)),"?IN_FOCUS",IF(J354&lt;=2,"?ACTIVATED",IF(J354&lt;&gt;"","?FAMILIAR",IF(F354="NEW",IF(ISNA(VLOOKUP(E354,#REF!,1,FALSE())),"?TYPE_IDENTIFIABLE","?REFERENTIAL"),"_")))))</f>
        <v/>
      </c>
      <c r="H354" s="12" t="str">
        <f aca="false">IF(J354&lt;&gt;1,"",IF(I354="SBJ","CB","?"))</f>
        <v/>
      </c>
      <c r="I354" s="13" t="str">
        <f aca="false">IF(OR(E354="",E354="!!!",F354="NEW"),"",INDEX(B$2:B353,-1+SUMPRODUCT(MAX(ROW(E$2:E353)*(E354=E$2:E353)))))</f>
        <v/>
      </c>
      <c r="J354" s="14" t="str">
        <f aca="true">IF(OR(E354="",E354="!!!",F354="NEW"),"",COUNTBLANK(OFFSET(A$1,,,SUMPRODUCT(MAX(ROW(E$2:E354)*(E354=E$2:E354)))))-COUNTBLANK(OFFSET(A$1,,,SUMPRODUCT(MAX(ROW(E$1:E353)*(E354=E$1:E353))))))</f>
        <v/>
      </c>
      <c r="K354" s="14" t="str">
        <f aca="false">IF(OR(E354="",E354="!!!",F354="NEW"),"",INDEX(J$1:J353,SUMPRODUCT(MAX(ROW(E$1:E353)*(E354=E$1:E353)))))</f>
        <v/>
      </c>
      <c r="L354" s="15"/>
    </row>
    <row r="355" customFormat="false" ht="12.75" hidden="false" customHeight="false" outlineLevel="0" collapsed="false">
      <c r="E355" s="9" t="str">
        <f aca="false">IF(D355="?OLD","!!!","")</f>
        <v/>
      </c>
      <c r="F355" s="10" t="str">
        <f aca="false">IF(OR(E355="",E355="!!!"),"",IF(NOT(ISNA(VLOOKUP(E355,E$1:E354,1,FALSE()))),"OLD",IF(AND(E355&lt;&gt;"",E355&lt;&gt;"!!!"),"NEW","")))</f>
        <v/>
      </c>
      <c r="G355" s="11" t="str">
        <f aca="false">IF(OR(E355="",E355="!!!"),"",IF(OR(J355=0,AND(J355=1,K355=1),AND(J355=1,I355="SBJ"),AND(J355=1,I355=0)),"?IN_FOCUS",IF(J355&lt;=2,"?ACTIVATED",IF(J355&lt;&gt;"","?FAMILIAR",IF(F355="NEW",IF(ISNA(VLOOKUP(E355,#REF!,1,FALSE())),"?TYPE_IDENTIFIABLE","?REFERENTIAL"),"_")))))</f>
        <v/>
      </c>
      <c r="H355" s="12" t="str">
        <f aca="false">IF(J355&lt;&gt;1,"",IF(I355="SBJ","CB","?"))</f>
        <v/>
      </c>
      <c r="I355" s="13" t="str">
        <f aca="false">IF(OR(E355="",E355="!!!",F355="NEW"),"",INDEX(B$2:B354,-1+SUMPRODUCT(MAX(ROW(E$2:E354)*(E355=E$2:E354)))))</f>
        <v/>
      </c>
      <c r="J355" s="14" t="str">
        <f aca="true">IF(OR(E355="",E355="!!!",F355="NEW"),"",COUNTBLANK(OFFSET(A$1,,,SUMPRODUCT(MAX(ROW(E$2:E355)*(E355=E$2:E355)))))-COUNTBLANK(OFFSET(A$1,,,SUMPRODUCT(MAX(ROW(E$1:E354)*(E355=E$1:E354))))))</f>
        <v/>
      </c>
      <c r="K355" s="14" t="str">
        <f aca="false">IF(OR(E355="",E355="!!!",F355="NEW"),"",INDEX(J$1:J354,SUMPRODUCT(MAX(ROW(E$1:E354)*(E355=E$1:E354)))))</f>
        <v/>
      </c>
      <c r="L355" s="15"/>
    </row>
    <row r="356" customFormat="false" ht="12.75" hidden="false" customHeight="false" outlineLevel="0" collapsed="false">
      <c r="A356" s="0" t="s">
        <v>260</v>
      </c>
      <c r="E356" s="9" t="str">
        <f aca="false">IF(D356="?OLD","!!!","")</f>
        <v/>
      </c>
      <c r="F356" s="10" t="str">
        <f aca="false">IF(OR(E356="",E356="!!!"),"",IF(NOT(ISNA(VLOOKUP(E356,E$1:E355,1,FALSE()))),"OLD",IF(AND(E356&lt;&gt;"",E356&lt;&gt;"!!!"),"NEW","")))</f>
        <v/>
      </c>
      <c r="G356" s="11" t="str">
        <f aca="false">IF(OR(E356="",E356="!!!"),"",IF(OR(J356=0,AND(J356=1,K356=1),AND(J356=1,I356="SBJ"),AND(J356=1,I356=0)),"?IN_FOCUS",IF(J356&lt;=2,"?ACTIVATED",IF(J356&lt;&gt;"","?FAMILIAR",IF(F356="NEW",IF(ISNA(VLOOKUP(E356,#REF!,1,FALSE())),"?TYPE_IDENTIFIABLE","?REFERENTIAL"),"_")))))</f>
        <v/>
      </c>
      <c r="H356" s="12" t="str">
        <f aca="false">IF(J356&lt;&gt;1,"",IF(I356="SBJ","CB","?"))</f>
        <v/>
      </c>
      <c r="I356" s="13" t="str">
        <f aca="false">IF(OR(E356="",E356="!!!",F356="NEW"),"",INDEX(B$2:B355,-1+SUMPRODUCT(MAX(ROW(E$2:E355)*(E356=E$2:E355)))))</f>
        <v/>
      </c>
      <c r="J356" s="14" t="str">
        <f aca="true">IF(OR(E356="",E356="!!!",F356="NEW"),"",COUNTBLANK(OFFSET(A$1,,,SUMPRODUCT(MAX(ROW(E$2:E356)*(E356=E$2:E356)))))-COUNTBLANK(OFFSET(A$1,,,SUMPRODUCT(MAX(ROW(E$1:E355)*(E356=E$1:E355))))))</f>
        <v/>
      </c>
      <c r="K356" s="14" t="str">
        <f aca="false">IF(OR(E356="",E356="!!!",F356="NEW"),"",INDEX(J$1:J355,SUMPRODUCT(MAX(ROW(E$1:E355)*(E356=E$1:E355)))))</f>
        <v/>
      </c>
      <c r="L356" s="15"/>
    </row>
    <row r="357" customFormat="false" ht="12.75" hidden="false" customHeight="false" outlineLevel="0" collapsed="false">
      <c r="A357" s="0" t="s">
        <v>261</v>
      </c>
      <c r="E357" s="9" t="str">
        <f aca="false">IF(D357="?OLD","!!!","")</f>
        <v/>
      </c>
      <c r="F357" s="10" t="str">
        <f aca="false">IF(OR(E357="",E357="!!!"),"",IF(NOT(ISNA(VLOOKUP(E357,E$1:E356,1,FALSE()))),"OLD",IF(AND(E357&lt;&gt;"",E357&lt;&gt;"!!!"),"NEW","")))</f>
        <v/>
      </c>
      <c r="G357" s="11" t="str">
        <f aca="false">IF(OR(E357="",E357="!!!"),"",IF(OR(J357=0,AND(J357=1,K357=1),AND(J357=1,I357="SBJ"),AND(J357=1,I357=0)),"?IN_FOCUS",IF(J357&lt;=2,"?ACTIVATED",IF(J357&lt;&gt;"","?FAMILIAR",IF(F357="NEW",IF(ISNA(VLOOKUP(E357,#REF!,1,FALSE())),"?TYPE_IDENTIFIABLE","?REFERENTIAL"),"_")))))</f>
        <v/>
      </c>
      <c r="H357" s="12" t="str">
        <f aca="false">IF(J357&lt;&gt;1,"",IF(I357="SBJ","CB","?"))</f>
        <v/>
      </c>
      <c r="I357" s="13" t="str">
        <f aca="false">IF(OR(E357="",E357="!!!",F357="NEW"),"",INDEX(B$2:B356,-1+SUMPRODUCT(MAX(ROW(E$2:E356)*(E357=E$2:E356)))))</f>
        <v/>
      </c>
      <c r="J357" s="14" t="str">
        <f aca="true">IF(OR(E357="",E357="!!!",F357="NEW"),"",COUNTBLANK(OFFSET(A$1,,,SUMPRODUCT(MAX(ROW(E$2:E357)*(E357=E$2:E357)))))-COUNTBLANK(OFFSET(A$1,,,SUMPRODUCT(MAX(ROW(E$1:E356)*(E357=E$1:E356))))))</f>
        <v/>
      </c>
      <c r="K357" s="14" t="str">
        <f aca="false">IF(OR(E357="",E357="!!!",F357="NEW"),"",INDEX(J$1:J356,SUMPRODUCT(MAX(ROW(E$1:E356)*(E357=E$1:E356)))))</f>
        <v/>
      </c>
      <c r="L357" s="15"/>
    </row>
    <row r="358" customFormat="false" ht="12.75" hidden="false" customHeight="false" outlineLevel="0" collapsed="false">
      <c r="A358" s="0" t="s">
        <v>262</v>
      </c>
      <c r="E358" s="9" t="str">
        <f aca="false">IF(D358="?OLD","!!!","")</f>
        <v/>
      </c>
      <c r="F358" s="10" t="str">
        <f aca="false">IF(OR(E358="",E358="!!!"),"",IF(NOT(ISNA(VLOOKUP(E358,E$1:E357,1,FALSE()))),"OLD",IF(AND(E358&lt;&gt;"",E358&lt;&gt;"!!!"),"NEW","")))</f>
        <v/>
      </c>
      <c r="G358" s="11" t="str">
        <f aca="false">IF(OR(E358="",E358="!!!"),"",IF(OR(J358=0,AND(J358=1,K358=1),AND(J358=1,I358="SBJ"),AND(J358=1,I358=0)),"?IN_FOCUS",IF(J358&lt;=2,"?ACTIVATED",IF(J358&lt;&gt;"","?FAMILIAR",IF(F358="NEW",IF(ISNA(VLOOKUP(E358,#REF!,1,FALSE())),"?TYPE_IDENTIFIABLE","?REFERENTIAL"),"_")))))</f>
        <v/>
      </c>
      <c r="H358" s="12" t="str">
        <f aca="false">IF(J358&lt;&gt;1,"",IF(I358="SBJ","CB","?"))</f>
        <v/>
      </c>
      <c r="I358" s="13" t="str">
        <f aca="false">IF(OR(E358="",E358="!!!",F358="NEW"),"",INDEX(B$2:B357,-1+SUMPRODUCT(MAX(ROW(E$2:E357)*(E358=E$2:E357)))))</f>
        <v/>
      </c>
      <c r="J358" s="14" t="str">
        <f aca="true">IF(OR(E358="",E358="!!!",F358="NEW"),"",COUNTBLANK(OFFSET(A$1,,,SUMPRODUCT(MAX(ROW(E$2:E358)*(E358=E$2:E358)))))-COUNTBLANK(OFFSET(A$1,,,SUMPRODUCT(MAX(ROW(E$1:E357)*(E358=E$1:E357))))))</f>
        <v/>
      </c>
      <c r="K358" s="14" t="str">
        <f aca="false">IF(OR(E358="",E358="!!!",F358="NEW"),"",INDEX(J$1:J357,SUMPRODUCT(MAX(ROW(E$1:E357)*(E358=E$1:E357)))))</f>
        <v/>
      </c>
      <c r="L358" s="15"/>
    </row>
    <row r="359" customFormat="false" ht="12.75" hidden="false" customHeight="false" outlineLevel="0" collapsed="false">
      <c r="A359" s="0" t="s">
        <v>263</v>
      </c>
      <c r="E359" s="9" t="str">
        <f aca="false">IF(D359="?OLD","!!!","")</f>
        <v/>
      </c>
      <c r="F359" s="10" t="str">
        <f aca="false">IF(OR(E359="",E359="!!!"),"",IF(NOT(ISNA(VLOOKUP(E359,E$1:E358,1,FALSE()))),"OLD",IF(AND(E359&lt;&gt;"",E359&lt;&gt;"!!!"),"NEW","")))</f>
        <v/>
      </c>
      <c r="G359" s="11" t="str">
        <f aca="false">IF(OR(E359="",E359="!!!"),"",IF(OR(J359=0,AND(J359=1,K359=1),AND(J359=1,I359="SBJ"),AND(J359=1,I359=0)),"?IN_FOCUS",IF(J359&lt;=2,"?ACTIVATED",IF(J359&lt;&gt;"","?FAMILIAR",IF(F359="NEW",IF(ISNA(VLOOKUP(E359,#REF!,1,FALSE())),"?TYPE_IDENTIFIABLE","?REFERENTIAL"),"_")))))</f>
        <v/>
      </c>
      <c r="H359" s="12" t="str">
        <f aca="false">IF(J359&lt;&gt;1,"",IF(I359="SBJ","CB","?"))</f>
        <v/>
      </c>
      <c r="I359" s="13" t="str">
        <f aca="false">IF(OR(E359="",E359="!!!",F359="NEW"),"",INDEX(B$2:B358,-1+SUMPRODUCT(MAX(ROW(E$2:E358)*(E359=E$2:E358)))))</f>
        <v/>
      </c>
      <c r="J359" s="14" t="str">
        <f aca="true">IF(OR(E359="",E359="!!!",F359="NEW"),"",COUNTBLANK(OFFSET(A$1,,,SUMPRODUCT(MAX(ROW(E$2:E359)*(E359=E$2:E359)))))-COUNTBLANK(OFFSET(A$1,,,SUMPRODUCT(MAX(ROW(E$1:E358)*(E359=E$1:E358))))))</f>
        <v/>
      </c>
      <c r="K359" s="14" t="str">
        <f aca="false">IF(OR(E359="",E359="!!!",F359="NEW"),"",INDEX(J$1:J358,SUMPRODUCT(MAX(ROW(E$1:E358)*(E359=E$1:E358)))))</f>
        <v/>
      </c>
      <c r="L359" s="15"/>
    </row>
    <row r="360" customFormat="false" ht="12.75" hidden="false" customHeight="false" outlineLevel="0" collapsed="false">
      <c r="A360" s="0" t="s">
        <v>264</v>
      </c>
      <c r="B360" s="0" t="s">
        <v>14</v>
      </c>
      <c r="C360" s="0" t="s">
        <v>38</v>
      </c>
      <c r="D360" s="0" t="s">
        <v>29</v>
      </c>
      <c r="E360" s="9" t="s">
        <v>265</v>
      </c>
      <c r="F360" s="10" t="str">
        <f aca="false">IF(OR(E360="",E360="!!!"),"",IF(NOT(ISNA(VLOOKUP(E360,E$1:E359,1,FALSE()))),"OLD",IF(AND(E360&lt;&gt;"",E360&lt;&gt;"!!!"),"NEW","")))</f>
        <v>NEW</v>
      </c>
      <c r="G360" s="11" t="s">
        <v>266</v>
      </c>
      <c r="H360" s="12" t="str">
        <f aca="false">IF(J360&lt;&gt;1,"",IF(I360="SBJ","CB","?"))</f>
        <v/>
      </c>
      <c r="I360" s="13" t="str">
        <f aca="false">IF(OR(E360="",E360="!!!",F360="NEW"),"",INDEX(B$2:B359,-1+SUMPRODUCT(MAX(ROW(E$2:E359)*(E360=E$2:E359)))))</f>
        <v/>
      </c>
      <c r="J360" s="14" t="str">
        <f aca="true">IF(OR(E360="",E360="!!!",F360="NEW"),"",COUNTBLANK(OFFSET(A$1,,,SUMPRODUCT(MAX(ROW(E$2:E360)*(E360=E$2:E360)))))-COUNTBLANK(OFFSET(A$1,,,SUMPRODUCT(MAX(ROW(E$1:E359)*(E360=E$1:E359))))))</f>
        <v/>
      </c>
      <c r="K360" s="14" t="str">
        <f aca="false">IF(OR(E360="",E360="!!!",F360="NEW"),"",INDEX(J$1:J359,SUMPRODUCT(MAX(ROW(E$1:E359)*(E360=E$1:E359)))))</f>
        <v/>
      </c>
      <c r="L360" s="15"/>
    </row>
    <row r="361" customFormat="false" ht="12.75" hidden="false" customHeight="false" outlineLevel="0" collapsed="false">
      <c r="A361" s="0" t="s">
        <v>267</v>
      </c>
      <c r="E361" s="9" t="str">
        <f aca="false">IF(D361="?OLD","!!!","")</f>
        <v/>
      </c>
      <c r="F361" s="10" t="str">
        <f aca="false">IF(OR(E361="",E361="!!!"),"",IF(NOT(ISNA(VLOOKUP(E361,E$1:E360,1,FALSE()))),"OLD",IF(AND(E361&lt;&gt;"",E361&lt;&gt;"!!!"),"NEW","")))</f>
        <v/>
      </c>
      <c r="G361" s="11" t="str">
        <f aca="false">IF(OR(E361="",E361="!!!"),"",IF(OR(J361=0,AND(J361=1,K361=1),AND(J361=1,I361="SBJ"),AND(J361=1,I361=0)),"?IN_FOCUS",IF(J361&lt;=2,"?ACTIVATED",IF(J361&lt;&gt;"","?FAMILIAR",IF(F361="NEW",IF(ISNA(VLOOKUP(E361,#REF!,1,FALSE())),"?TYPE_IDENTIFIABLE","?REFERENTIAL"),"_")))))</f>
        <v/>
      </c>
      <c r="H361" s="12" t="str">
        <f aca="false">IF(J361&lt;&gt;1,"",IF(I361="SBJ","CB","?"))</f>
        <v/>
      </c>
      <c r="I361" s="13" t="str">
        <f aca="false">IF(OR(E361="",E361="!!!",F361="NEW"),"",INDEX(B$2:B360,-1+SUMPRODUCT(MAX(ROW(E$2:E360)*(E361=E$2:E360)))))</f>
        <v/>
      </c>
      <c r="J361" s="14" t="str">
        <f aca="true">IF(OR(E361="",E361="!!!",F361="NEW"),"",COUNTBLANK(OFFSET(A$1,,,SUMPRODUCT(MAX(ROW(E$2:E361)*(E361=E$2:E361)))))-COUNTBLANK(OFFSET(A$1,,,SUMPRODUCT(MAX(ROW(E$1:E360)*(E361=E$1:E360))))))</f>
        <v/>
      </c>
      <c r="K361" s="14" t="str">
        <f aca="false">IF(OR(E361="",E361="!!!",F361="NEW"),"",INDEX(J$1:J360,SUMPRODUCT(MAX(ROW(E$1:E360)*(E361=E$1:E360)))))</f>
        <v/>
      </c>
      <c r="L361" s="15"/>
    </row>
    <row r="362" customFormat="false" ht="12.75" hidden="false" customHeight="false" outlineLevel="0" collapsed="false">
      <c r="A362" s="0" t="s">
        <v>31</v>
      </c>
      <c r="E362" s="9" t="str">
        <f aca="false">IF(D362="?OLD","!!!","")</f>
        <v/>
      </c>
      <c r="F362" s="10" t="str">
        <f aca="false">IF(OR(E362="",E362="!!!"),"",IF(NOT(ISNA(VLOOKUP(E362,E$1:E361,1,FALSE()))),"OLD",IF(AND(E362&lt;&gt;"",E362&lt;&gt;"!!!"),"NEW","")))</f>
        <v/>
      </c>
      <c r="G362" s="11" t="str">
        <f aca="false">IF(OR(E362="",E362="!!!"),"",IF(OR(J362=0,AND(J362=1,K362=1),AND(J362=1,I362="SBJ"),AND(J362=1,I362=0)),"?IN_FOCUS",IF(J362&lt;=2,"?ACTIVATED",IF(J362&lt;&gt;"","?FAMILIAR",IF(F362="NEW",IF(ISNA(VLOOKUP(E362,#REF!,1,FALSE())),"?TYPE_IDENTIFIABLE","?REFERENTIAL"),"_")))))</f>
        <v/>
      </c>
      <c r="H362" s="12" t="str">
        <f aca="false">IF(J362&lt;&gt;1,"",IF(I362="SBJ","CB","?"))</f>
        <v/>
      </c>
      <c r="I362" s="13" t="str">
        <f aca="false">IF(OR(E362="",E362="!!!",F362="NEW"),"",INDEX(B$2:B361,-1+SUMPRODUCT(MAX(ROW(E$2:E361)*(E362=E$2:E361)))))</f>
        <v/>
      </c>
      <c r="J362" s="14" t="str">
        <f aca="true">IF(OR(E362="",E362="!!!",F362="NEW"),"",COUNTBLANK(OFFSET(A$1,,,SUMPRODUCT(MAX(ROW(E$2:E362)*(E362=E$2:E362)))))-COUNTBLANK(OFFSET(A$1,,,SUMPRODUCT(MAX(ROW(E$1:E361)*(E362=E$1:E361))))))</f>
        <v/>
      </c>
      <c r="K362" s="14" t="str">
        <f aca="false">IF(OR(E362="",E362="!!!",F362="NEW"),"",INDEX(J$1:J361,SUMPRODUCT(MAX(ROW(E$1:E361)*(E362=E$1:E361)))))</f>
        <v/>
      </c>
      <c r="L362" s="15"/>
    </row>
    <row r="363" customFormat="false" ht="12.75" hidden="false" customHeight="false" outlineLevel="0" collapsed="false">
      <c r="A363" s="0" t="s">
        <v>265</v>
      </c>
      <c r="B363" s="0" t="s">
        <v>62</v>
      </c>
      <c r="C363" s="0" t="s">
        <v>23</v>
      </c>
      <c r="D363" s="0" t="s">
        <v>29</v>
      </c>
      <c r="E363" s="9" t="s">
        <v>268</v>
      </c>
      <c r="F363" s="10" t="str">
        <f aca="false">IF(OR(E363="",E363="!!!"),"",IF(NOT(ISNA(VLOOKUP(E363,E$1:E362,1,FALSE()))),"OLD",IF(AND(E363&lt;&gt;"",E363&lt;&gt;"!!!"),"NEW","")))</f>
        <v>NEW</v>
      </c>
      <c r="G363" s="11" t="s">
        <v>25</v>
      </c>
      <c r="H363" s="12" t="str">
        <f aca="false">IF(J363&lt;&gt;1,"",IF(I363="SBJ","CB","?"))</f>
        <v/>
      </c>
      <c r="I363" s="13" t="str">
        <f aca="false">IF(OR(E363="",E363="!!!",F363="NEW"),"",INDEX(B$2:B362,-1+SUMPRODUCT(MAX(ROW(E$2:E362)*(E363=E$2:E362)))))</f>
        <v/>
      </c>
      <c r="J363" s="14" t="str">
        <f aca="true">IF(OR(E363="",E363="!!!",F363="NEW"),"",COUNTBLANK(OFFSET(A$1,,,SUMPRODUCT(MAX(ROW(E$2:E363)*(E363=E$2:E363)))))-COUNTBLANK(OFFSET(A$1,,,SUMPRODUCT(MAX(ROW(E$1:E362)*(E363=E$1:E362))))))</f>
        <v/>
      </c>
      <c r="K363" s="14" t="str">
        <f aca="false">IF(OR(E363="",E363="!!!",F363="NEW"),"",INDEX(J$1:J362,SUMPRODUCT(MAX(ROW(E$1:E362)*(E363=E$1:E362)))))</f>
        <v/>
      </c>
      <c r="L363" s="15"/>
    </row>
    <row r="364" customFormat="false" ht="12.75" hidden="false" customHeight="false" outlineLevel="0" collapsed="false">
      <c r="A364" s="0" t="s">
        <v>269</v>
      </c>
      <c r="E364" s="9" t="str">
        <f aca="false">IF(D364="?OLD","!!!","")</f>
        <v/>
      </c>
      <c r="F364" s="10" t="str">
        <f aca="false">IF(OR(E364="",E364="!!!"),"",IF(NOT(ISNA(VLOOKUP(E364,E$1:E363,1,FALSE()))),"OLD",IF(AND(E364&lt;&gt;"",E364&lt;&gt;"!!!"),"NEW","")))</f>
        <v/>
      </c>
      <c r="G364" s="11" t="str">
        <f aca="false">IF(OR(E364="",E364="!!!"),"",IF(OR(J364=0,AND(J364=1,K364=1),AND(J364=1,I364="SBJ"),AND(J364=1,I364=0)),"?IN_FOCUS",IF(J364&lt;=2,"?ACTIVATED",IF(J364&lt;&gt;"","?FAMILIAR",IF(F364="NEW",IF(ISNA(VLOOKUP(E364,#REF!,1,FALSE())),"?TYPE_IDENTIFIABLE","?REFERENTIAL"),"_")))))</f>
        <v/>
      </c>
      <c r="H364" s="12" t="str">
        <f aca="false">IF(J364&lt;&gt;1,"",IF(I364="SBJ","CB","?"))</f>
        <v/>
      </c>
      <c r="I364" s="13" t="str">
        <f aca="false">IF(OR(E364="",E364="!!!",F364="NEW"),"",INDEX(B$2:B363,-1+SUMPRODUCT(MAX(ROW(E$2:E363)*(E364=E$2:E363)))))</f>
        <v/>
      </c>
      <c r="J364" s="14" t="str">
        <f aca="true">IF(OR(E364="",E364="!!!",F364="NEW"),"",COUNTBLANK(OFFSET(A$1,,,SUMPRODUCT(MAX(ROW(E$2:E364)*(E364=E$2:E364)))))-COUNTBLANK(OFFSET(A$1,,,SUMPRODUCT(MAX(ROW(E$1:E363)*(E364=E$1:E363))))))</f>
        <v/>
      </c>
      <c r="K364" s="14" t="str">
        <f aca="false">IF(OR(E364="",E364="!!!",F364="NEW"),"",INDEX(J$1:J363,SUMPRODUCT(MAX(ROW(E$1:E363)*(E364=E$1:E363)))))</f>
        <v/>
      </c>
      <c r="L364" s="15"/>
    </row>
    <row r="365" customFormat="false" ht="12.75" hidden="false" customHeight="false" outlineLevel="0" collapsed="false">
      <c r="A365" s="0" t="s">
        <v>262</v>
      </c>
      <c r="E365" s="9" t="str">
        <f aca="false">IF(D365="?OLD","!!!","")</f>
        <v/>
      </c>
      <c r="F365" s="10" t="str">
        <f aca="false">IF(OR(E365="",E365="!!!"),"",IF(NOT(ISNA(VLOOKUP(E365,E$1:E364,1,FALSE()))),"OLD",IF(AND(E365&lt;&gt;"",E365&lt;&gt;"!!!"),"NEW","")))</f>
        <v/>
      </c>
      <c r="G365" s="11" t="str">
        <f aca="false">IF(OR(E365="",E365="!!!"),"",IF(OR(J365=0,AND(J365=1,K365=1),AND(J365=1,I365="SBJ"),AND(J365=1,I365=0)),"?IN_FOCUS",IF(J365&lt;=2,"?ACTIVATED",IF(J365&lt;&gt;"","?FAMILIAR",IF(F365="NEW",IF(ISNA(VLOOKUP(E365,#REF!,1,FALSE())),"?TYPE_IDENTIFIABLE","?REFERENTIAL"),"_")))))</f>
        <v/>
      </c>
      <c r="H365" s="12" t="str">
        <f aca="false">IF(J365&lt;&gt;1,"",IF(I365="SBJ","CB","?"))</f>
        <v/>
      </c>
      <c r="I365" s="13" t="str">
        <f aca="false">IF(OR(E365="",E365="!!!",F365="NEW"),"",INDEX(B$2:B364,-1+SUMPRODUCT(MAX(ROW(E$2:E364)*(E365=E$2:E364)))))</f>
        <v/>
      </c>
      <c r="J365" s="14" t="str">
        <f aca="true">IF(OR(E365="",E365="!!!",F365="NEW"),"",COUNTBLANK(OFFSET(A$1,,,SUMPRODUCT(MAX(ROW(E$2:E365)*(E365=E$2:E365)))))-COUNTBLANK(OFFSET(A$1,,,SUMPRODUCT(MAX(ROW(E$1:E364)*(E365=E$1:E364))))))</f>
        <v/>
      </c>
      <c r="K365" s="14" t="str">
        <f aca="false">IF(OR(E365="",E365="!!!",F365="NEW"),"",INDEX(J$1:J364,SUMPRODUCT(MAX(ROW(E$1:E364)*(E365=E$1:E364)))))</f>
        <v/>
      </c>
      <c r="L365" s="15"/>
    </row>
    <row r="366" customFormat="false" ht="12.75" hidden="false" customHeight="false" outlineLevel="0" collapsed="false">
      <c r="E366" s="9" t="str">
        <f aca="false">IF(D366="?OLD","!!!","")</f>
        <v/>
      </c>
      <c r="F366" s="10" t="str">
        <f aca="false">IF(OR(E366="",E366="!!!"),"",IF(NOT(ISNA(VLOOKUP(E366,E$1:E365,1,FALSE()))),"OLD",IF(AND(E366&lt;&gt;"",E366&lt;&gt;"!!!"),"NEW","")))</f>
        <v/>
      </c>
      <c r="G366" s="11" t="str">
        <f aca="false">IF(OR(E366="",E366="!!!"),"",IF(OR(J366=0,AND(J366=1,K366=1),AND(J366=1,I366="SBJ"),AND(J366=1,I366=0)),"?IN_FOCUS",IF(J366&lt;=2,"?ACTIVATED",IF(J366&lt;&gt;"","?FAMILIAR",IF(F366="NEW",IF(ISNA(VLOOKUP(E366,#REF!,1,FALSE())),"?TYPE_IDENTIFIABLE","?REFERENTIAL"),"_")))))</f>
        <v/>
      </c>
      <c r="H366" s="12" t="str">
        <f aca="false">IF(J366&lt;&gt;1,"",IF(I366="SBJ","CB","?"))</f>
        <v/>
      </c>
      <c r="I366" s="13" t="str">
        <f aca="false">IF(OR(E366="",E366="!!!",F366="NEW"),"",INDEX(B$2:B365,-1+SUMPRODUCT(MAX(ROW(E$2:E365)*(E366=E$2:E365)))))</f>
        <v/>
      </c>
      <c r="J366" s="14" t="str">
        <f aca="true">IF(OR(E366="",E366="!!!",F366="NEW"),"",COUNTBLANK(OFFSET(A$1,,,SUMPRODUCT(MAX(ROW(E$2:E366)*(E366=E$2:E366)))))-COUNTBLANK(OFFSET(A$1,,,SUMPRODUCT(MAX(ROW(E$1:E365)*(E366=E$1:E365))))))</f>
        <v/>
      </c>
      <c r="K366" s="14" t="str">
        <f aca="false">IF(OR(E366="",E366="!!!",F366="NEW"),"",INDEX(J$1:J365,SUMPRODUCT(MAX(ROW(E$1:E365)*(E366=E$1:E365)))))</f>
        <v/>
      </c>
      <c r="L366" s="15"/>
    </row>
    <row r="367" customFormat="false" ht="12.75" hidden="false" customHeight="false" outlineLevel="0" collapsed="false">
      <c r="A367" s="0" t="s">
        <v>270</v>
      </c>
      <c r="E367" s="9" t="str">
        <f aca="false">IF(D367="?OLD","!!!","")</f>
        <v/>
      </c>
      <c r="F367" s="10" t="str">
        <f aca="false">IF(OR(E367="",E367="!!!"),"",IF(NOT(ISNA(VLOOKUP(E367,E$1:E366,1,FALSE()))),"OLD",IF(AND(E367&lt;&gt;"",E367&lt;&gt;"!!!"),"NEW","")))</f>
        <v/>
      </c>
      <c r="G367" s="11" t="str">
        <f aca="false">IF(OR(E367="",E367="!!!"),"",IF(OR(J367=0,AND(J367=1,K367=1),AND(J367=1,I367="SBJ"),AND(J367=1,I367=0)),"?IN_FOCUS",IF(J367&lt;=2,"?ACTIVATED",IF(J367&lt;&gt;"","?FAMILIAR",IF(F367="NEW",IF(ISNA(VLOOKUP(E367,#REF!,1,FALSE())),"?TYPE_IDENTIFIABLE","?REFERENTIAL"),"_")))))</f>
        <v/>
      </c>
      <c r="H367" s="12" t="str">
        <f aca="false">IF(J367&lt;&gt;1,"",IF(I367="SBJ","CB","?"))</f>
        <v/>
      </c>
      <c r="I367" s="13" t="str">
        <f aca="false">IF(OR(E367="",E367="!!!",F367="NEW"),"",INDEX(B$2:B366,-1+SUMPRODUCT(MAX(ROW(E$2:E366)*(E367=E$2:E366)))))</f>
        <v/>
      </c>
      <c r="J367" s="14" t="str">
        <f aca="true">IF(OR(E367="",E367="!!!",F367="NEW"),"",COUNTBLANK(OFFSET(A$1,,,SUMPRODUCT(MAX(ROW(E$2:E367)*(E367=E$2:E367)))))-COUNTBLANK(OFFSET(A$1,,,SUMPRODUCT(MAX(ROW(E$1:E366)*(E367=E$1:E366))))))</f>
        <v/>
      </c>
      <c r="K367" s="14" t="str">
        <f aca="false">IF(OR(E367="",E367="!!!",F367="NEW"),"",INDEX(J$1:J366,SUMPRODUCT(MAX(ROW(E$1:E366)*(E367=E$1:E366)))))</f>
        <v/>
      </c>
      <c r="L367" s="15"/>
    </row>
    <row r="368" customFormat="false" ht="12.75" hidden="false" customHeight="false" outlineLevel="0" collapsed="false">
      <c r="A368" s="0" t="s">
        <v>109</v>
      </c>
      <c r="E368" s="9" t="str">
        <f aca="false">IF(D368="?OLD","!!!","")</f>
        <v/>
      </c>
      <c r="F368" s="10" t="str">
        <f aca="false">IF(OR(E368="",E368="!!!"),"",IF(NOT(ISNA(VLOOKUP(E368,E$1:E367,1,FALSE()))),"OLD",IF(AND(E368&lt;&gt;"",E368&lt;&gt;"!!!"),"NEW","")))</f>
        <v/>
      </c>
      <c r="G368" s="11" t="str">
        <f aca="false">IF(OR(E368="",E368="!!!"),"",IF(OR(J368=0,AND(J368=1,K368=1),AND(J368=1,I368="SBJ"),AND(J368=1,I368=0)),"?IN_FOCUS",IF(J368&lt;=2,"?ACTIVATED",IF(J368&lt;&gt;"","?FAMILIAR",IF(F368="NEW",IF(ISNA(VLOOKUP(E368,#REF!,1,FALSE())),"?TYPE_IDENTIFIABLE","?REFERENTIAL"),"_")))))</f>
        <v/>
      </c>
      <c r="H368" s="12" t="str">
        <f aca="false">IF(J368&lt;&gt;1,"",IF(I368="SBJ","CB","?"))</f>
        <v/>
      </c>
      <c r="I368" s="13" t="str">
        <f aca="false">IF(OR(E368="",E368="!!!",F368="NEW"),"",INDEX(B$2:B367,-1+SUMPRODUCT(MAX(ROW(E$2:E367)*(E368=E$2:E367)))))</f>
        <v/>
      </c>
      <c r="J368" s="14" t="str">
        <f aca="true">IF(OR(E368="",E368="!!!",F368="NEW"),"",COUNTBLANK(OFFSET(A$1,,,SUMPRODUCT(MAX(ROW(E$2:E368)*(E368=E$2:E368)))))-COUNTBLANK(OFFSET(A$1,,,SUMPRODUCT(MAX(ROW(E$1:E367)*(E368=E$1:E367))))))</f>
        <v/>
      </c>
      <c r="K368" s="14" t="str">
        <f aca="false">IF(OR(E368="",E368="!!!",F368="NEW"),"",INDEX(J$1:J367,SUMPRODUCT(MAX(ROW(E$1:E367)*(E368=E$1:E367)))))</f>
        <v/>
      </c>
      <c r="L368" s="15"/>
    </row>
    <row r="369" customFormat="false" ht="12.75" hidden="false" customHeight="false" outlineLevel="0" collapsed="false">
      <c r="A369" s="0" t="s">
        <v>271</v>
      </c>
      <c r="E369" s="9" t="str">
        <f aca="false">IF(D369="?OLD","!!!","")</f>
        <v/>
      </c>
      <c r="F369" s="10" t="str">
        <f aca="false">IF(OR(E369="",E369="!!!"),"",IF(NOT(ISNA(VLOOKUP(E369,E$1:E368,1,FALSE()))),"OLD",IF(AND(E369&lt;&gt;"",E369&lt;&gt;"!!!"),"NEW","")))</f>
        <v/>
      </c>
      <c r="G369" s="11" t="str">
        <f aca="false">IF(OR(E369="",E369="!!!"),"",IF(OR(J369=0,AND(J369=1,K369=1),AND(J369=1,I369="SBJ"),AND(J369=1,I369=0)),"?IN_FOCUS",IF(J369&lt;=2,"?ACTIVATED",IF(J369&lt;&gt;"","?FAMILIAR",IF(F369="NEW",IF(ISNA(VLOOKUP(E369,#REF!,1,FALSE())),"?TYPE_IDENTIFIABLE","?REFERENTIAL"),"_")))))</f>
        <v/>
      </c>
      <c r="H369" s="12" t="str">
        <f aca="false">IF(J369&lt;&gt;1,"",IF(I369="SBJ","CB","?"))</f>
        <v/>
      </c>
      <c r="I369" s="13" t="str">
        <f aca="false">IF(OR(E369="",E369="!!!",F369="NEW"),"",INDEX(B$2:B368,-1+SUMPRODUCT(MAX(ROW(E$2:E368)*(E369=E$2:E368)))))</f>
        <v/>
      </c>
      <c r="J369" s="14" t="str">
        <f aca="true">IF(OR(E369="",E369="!!!",F369="NEW"),"",COUNTBLANK(OFFSET(A$1,,,SUMPRODUCT(MAX(ROW(E$2:E369)*(E369=E$2:E369)))))-COUNTBLANK(OFFSET(A$1,,,SUMPRODUCT(MAX(ROW(E$1:E368)*(E369=E$1:E368))))))</f>
        <v/>
      </c>
      <c r="K369" s="14" t="str">
        <f aca="false">IF(OR(E369="",E369="!!!",F369="NEW"),"",INDEX(J$1:J368,SUMPRODUCT(MAX(ROW(E$1:E368)*(E369=E$1:E368)))))</f>
        <v/>
      </c>
      <c r="L369" s="15"/>
    </row>
    <row r="370" customFormat="false" ht="12.75" hidden="false" customHeight="false" outlineLevel="0" collapsed="false">
      <c r="A370" s="0" t="s">
        <v>272</v>
      </c>
      <c r="B370" s="0" t="s">
        <v>62</v>
      </c>
      <c r="C370" s="0" t="s">
        <v>111</v>
      </c>
      <c r="D370" s="0" t="s">
        <v>29</v>
      </c>
      <c r="E370" s="9" t="s">
        <v>265</v>
      </c>
      <c r="F370" s="10" t="str">
        <f aca="false">IF(OR(E370="",E370="!!!"),"",IF(NOT(ISNA(VLOOKUP(E370,E$1:E369,1,FALSE()))),"OLD",IF(AND(E370&lt;&gt;"",E370&lt;&gt;"!!!"),"NEW","")))</f>
        <v>OLD</v>
      </c>
      <c r="G370" s="11" t="s">
        <v>39</v>
      </c>
      <c r="H370" s="12" t="str">
        <f aca="false">IF(J370&lt;&gt;1,"",IF(I370="SBJ","CB","?"))</f>
        <v>CB</v>
      </c>
      <c r="I370" s="13" t="str">
        <f aca="false">IF(OR(E370="",E370="!!!",F370="NEW"),"",INDEX(B$2:B369,-1+SUMPRODUCT(MAX(ROW(E$2:E369)*(E370=E$2:E369)))))</f>
        <v>SBJ</v>
      </c>
      <c r="J370" s="14" t="n">
        <f aca="true">IF(OR(E370="",E370="!!!",F370="NEW"),"",COUNTBLANK(OFFSET(A$1,,,SUMPRODUCT(MAX(ROW(E$2:E370)*(E370=E$2:E370)))))-COUNTBLANK(OFFSET(A$1,,,SUMPRODUCT(MAX(ROW(E$1:E369)*(E370=E$1:E369))))))</f>
        <v>1</v>
      </c>
      <c r="K370" s="14" t="str">
        <f aca="false">IF(OR(E370="",E370="!!!",F370="NEW"),"",INDEX(J$1:J369,SUMPRODUCT(MAX(ROW(E$1:E369)*(E370=E$1:E369)))))</f>
        <v/>
      </c>
      <c r="L370" s="15"/>
    </row>
    <row r="371" customFormat="false" ht="12.75" hidden="false" customHeight="false" outlineLevel="0" collapsed="false">
      <c r="A371" s="0" t="s">
        <v>273</v>
      </c>
      <c r="E371" s="9" t="str">
        <f aca="false">IF(D371="?OLD","!!!","")</f>
        <v/>
      </c>
      <c r="F371" s="10" t="str">
        <f aca="false">IF(OR(E371="",E371="!!!"),"",IF(NOT(ISNA(VLOOKUP(E371,E$1:E370,1,FALSE()))),"OLD",IF(AND(E371&lt;&gt;"",E371&lt;&gt;"!!!"),"NEW","")))</f>
        <v/>
      </c>
      <c r="G371" s="11" t="str">
        <f aca="false">IF(OR(E371="",E371="!!!"),"",IF(OR(J371=0,AND(J371=1,K371=1),AND(J371=1,I371="SBJ"),AND(J371=1,I371=0)),"?IN_FOCUS",IF(J371&lt;=2,"?ACTIVATED",IF(J371&lt;&gt;"","?FAMILIAR",IF(F371="NEW",IF(ISNA(VLOOKUP(E371,#REF!,1,FALSE())),"?TYPE_IDENTIFIABLE","?REFERENTIAL"),"_")))))</f>
        <v/>
      </c>
      <c r="H371" s="12" t="str">
        <f aca="false">IF(J371&lt;&gt;1,"",IF(I371="SBJ","CB","?"))</f>
        <v/>
      </c>
      <c r="I371" s="13" t="str">
        <f aca="false">IF(OR(E371="",E371="!!!",F371="NEW"),"",INDEX(B$2:B370,-1+SUMPRODUCT(MAX(ROW(E$2:E370)*(E371=E$2:E370)))))</f>
        <v/>
      </c>
      <c r="J371" s="14" t="str">
        <f aca="true">IF(OR(E371="",E371="!!!",F371="NEW"),"",COUNTBLANK(OFFSET(A$1,,,SUMPRODUCT(MAX(ROW(E$2:E371)*(E371=E$2:E371)))))-COUNTBLANK(OFFSET(A$1,,,SUMPRODUCT(MAX(ROW(E$1:E370)*(E371=E$1:E370))))))</f>
        <v/>
      </c>
      <c r="K371" s="14" t="str">
        <f aca="false">IF(OR(E371="",E371="!!!",F371="NEW"),"",INDEX(J$1:J370,SUMPRODUCT(MAX(ROW(E$1:E370)*(E371=E$1:E370)))))</f>
        <v/>
      </c>
      <c r="L371" s="15"/>
    </row>
    <row r="372" customFormat="false" ht="12.75" hidden="false" customHeight="false" outlineLevel="0" collapsed="false">
      <c r="A372" s="0" t="s">
        <v>73</v>
      </c>
      <c r="E372" s="9" t="str">
        <f aca="false">IF(D372="?OLD","!!!","")</f>
        <v/>
      </c>
      <c r="F372" s="10" t="str">
        <f aca="false">IF(OR(E372="",E372="!!!"),"",IF(NOT(ISNA(VLOOKUP(E372,E$1:E371,1,FALSE()))),"OLD",IF(AND(E372&lt;&gt;"",E372&lt;&gt;"!!!"),"NEW","")))</f>
        <v/>
      </c>
      <c r="G372" s="11" t="str">
        <f aca="false">IF(OR(E372="",E372="!!!"),"",IF(OR(J372=0,AND(J372=1,K372=1),AND(J372=1,I372="SBJ"),AND(J372=1,I372=0)),"?IN_FOCUS",IF(J372&lt;=2,"?ACTIVATED",IF(J372&lt;&gt;"","?FAMILIAR",IF(F372="NEW",IF(ISNA(VLOOKUP(E372,#REF!,1,FALSE())),"?TYPE_IDENTIFIABLE","?REFERENTIAL"),"_")))))</f>
        <v/>
      </c>
      <c r="H372" s="12" t="str">
        <f aca="false">IF(J372&lt;&gt;1,"",IF(I372="SBJ","CB","?"))</f>
        <v/>
      </c>
      <c r="I372" s="13" t="str">
        <f aca="false">IF(OR(E372="",E372="!!!",F372="NEW"),"",INDEX(B$2:B371,-1+SUMPRODUCT(MAX(ROW(E$2:E371)*(E372=E$2:E371)))))</f>
        <v/>
      </c>
      <c r="J372" s="14" t="str">
        <f aca="true">IF(OR(E372="",E372="!!!",F372="NEW"),"",COUNTBLANK(OFFSET(A$1,,,SUMPRODUCT(MAX(ROW(E$2:E372)*(E372=E$2:E372)))))-COUNTBLANK(OFFSET(A$1,,,SUMPRODUCT(MAX(ROW(E$1:E371)*(E372=E$1:E371))))))</f>
        <v/>
      </c>
      <c r="K372" s="14" t="str">
        <f aca="false">IF(OR(E372="",E372="!!!",F372="NEW"),"",INDEX(J$1:J371,SUMPRODUCT(MAX(ROW(E$1:E371)*(E372=E$1:E371)))))</f>
        <v/>
      </c>
      <c r="L372" s="15"/>
    </row>
    <row r="373" customFormat="false" ht="12.75" hidden="false" customHeight="false" outlineLevel="0" collapsed="false">
      <c r="E373" s="9" t="str">
        <f aca="false">IF(D373="?OLD","!!!","")</f>
        <v/>
      </c>
      <c r="F373" s="10" t="str">
        <f aca="false">IF(OR(E373="",E373="!!!"),"",IF(NOT(ISNA(VLOOKUP(E373,E$1:E372,1,FALSE()))),"OLD",IF(AND(E373&lt;&gt;"",E373&lt;&gt;"!!!"),"NEW","")))</f>
        <v/>
      </c>
      <c r="G373" s="11" t="str">
        <f aca="false">IF(OR(E373="",E373="!!!"),"",IF(OR(J373=0,AND(J373=1,K373=1),AND(J373=1,I373="SBJ"),AND(J373=1,I373=0)),"?IN_FOCUS",IF(J373&lt;=2,"?ACTIVATED",IF(J373&lt;&gt;"","?FAMILIAR",IF(F373="NEW",IF(ISNA(VLOOKUP(E373,#REF!,1,FALSE())),"?TYPE_IDENTIFIABLE","?REFERENTIAL"),"_")))))</f>
        <v/>
      </c>
      <c r="H373" s="12" t="str">
        <f aca="false">IF(J373&lt;&gt;1,"",IF(I373="SBJ","CB","?"))</f>
        <v/>
      </c>
      <c r="I373" s="13" t="str">
        <f aca="false">IF(OR(E373="",E373="!!!",F373="NEW"),"",INDEX(B$2:B372,-1+SUMPRODUCT(MAX(ROW(E$2:E372)*(E373=E$2:E372)))))</f>
        <v/>
      </c>
      <c r="J373" s="14" t="str">
        <f aca="true">IF(OR(E373="",E373="!!!",F373="NEW"),"",COUNTBLANK(OFFSET(A$1,,,SUMPRODUCT(MAX(ROW(E$2:E373)*(E373=E$2:E373)))))-COUNTBLANK(OFFSET(A$1,,,SUMPRODUCT(MAX(ROW(E$1:E372)*(E373=E$1:E372))))))</f>
        <v/>
      </c>
      <c r="K373" s="14" t="str">
        <f aca="false">IF(OR(E373="",E373="!!!",F373="NEW"),"",INDEX(J$1:J372,SUMPRODUCT(MAX(ROW(E$1:E372)*(E373=E$1:E372)))))</f>
        <v/>
      </c>
      <c r="L373" s="15"/>
    </row>
    <row r="374" customFormat="false" ht="12.75" hidden="false" customHeight="false" outlineLevel="0" collapsed="false">
      <c r="A374" s="0" t="s">
        <v>260</v>
      </c>
      <c r="E374" s="9" t="str">
        <f aca="false">IF(D374="?OLD","!!!","")</f>
        <v/>
      </c>
      <c r="F374" s="10" t="str">
        <f aca="false">IF(OR(E374="",E374="!!!"),"",IF(NOT(ISNA(VLOOKUP(E374,E$1:E373,1,FALSE()))),"OLD",IF(AND(E374&lt;&gt;"",E374&lt;&gt;"!!!"),"NEW","")))</f>
        <v/>
      </c>
      <c r="G374" s="11" t="str">
        <f aca="false">IF(OR(E374="",E374="!!!"),"",IF(OR(J374=0,AND(J374=1,K374=1),AND(J374=1,I374="SBJ"),AND(J374=1,I374=0)),"?IN_FOCUS",IF(J374&lt;=2,"?ACTIVATED",IF(J374&lt;&gt;"","?FAMILIAR",IF(F374="NEW",IF(ISNA(VLOOKUP(E374,#REF!,1,FALSE())),"?TYPE_IDENTIFIABLE","?REFERENTIAL"),"_")))))</f>
        <v/>
      </c>
      <c r="H374" s="12" t="str">
        <f aca="false">IF(J374&lt;&gt;1,"",IF(I374="SBJ","CB","?"))</f>
        <v/>
      </c>
      <c r="I374" s="13" t="str">
        <f aca="false">IF(OR(E374="",E374="!!!",F374="NEW"),"",INDEX(B$2:B373,-1+SUMPRODUCT(MAX(ROW(E$2:E373)*(E374=E$2:E373)))))</f>
        <v/>
      </c>
      <c r="J374" s="14" t="str">
        <f aca="true">IF(OR(E374="",E374="!!!",F374="NEW"),"",COUNTBLANK(OFFSET(A$1,,,SUMPRODUCT(MAX(ROW(E$2:E374)*(E374=E$2:E374)))))-COUNTBLANK(OFFSET(A$1,,,SUMPRODUCT(MAX(ROW(E$1:E373)*(E374=E$1:E373))))))</f>
        <v/>
      </c>
      <c r="K374" s="14" t="str">
        <f aca="false">IF(OR(E374="",E374="!!!",F374="NEW"),"",INDEX(J$1:J373,SUMPRODUCT(MAX(ROW(E$1:E373)*(E374=E$1:E373)))))</f>
        <v/>
      </c>
      <c r="L374" s="15"/>
    </row>
    <row r="375" customFormat="false" ht="12.75" hidden="false" customHeight="false" outlineLevel="0" collapsed="false">
      <c r="A375" s="0" t="s">
        <v>274</v>
      </c>
      <c r="E375" s="9" t="str">
        <f aca="false">IF(D375="?OLD","!!!","")</f>
        <v/>
      </c>
      <c r="F375" s="10" t="str">
        <f aca="false">IF(OR(E375="",E375="!!!"),"",IF(NOT(ISNA(VLOOKUP(E375,E$1:E374,1,FALSE()))),"OLD",IF(AND(E375&lt;&gt;"",E375&lt;&gt;"!!!"),"NEW","")))</f>
        <v/>
      </c>
      <c r="G375" s="11" t="str">
        <f aca="false">IF(OR(E375="",E375="!!!"),"",IF(OR(J375=0,AND(J375=1,K375=1),AND(J375=1,I375="SBJ"),AND(J375=1,I375=0)),"?IN_FOCUS",IF(J375&lt;=2,"?ACTIVATED",IF(J375&lt;&gt;"","?FAMILIAR",IF(F375="NEW",IF(ISNA(VLOOKUP(E375,#REF!,1,FALSE())),"?TYPE_IDENTIFIABLE","?REFERENTIAL"),"_")))))</f>
        <v/>
      </c>
      <c r="H375" s="12" t="str">
        <f aca="false">IF(J375&lt;&gt;1,"",IF(I375="SBJ","CB","?"))</f>
        <v/>
      </c>
      <c r="I375" s="13" t="str">
        <f aca="false">IF(OR(E375="",E375="!!!",F375="NEW"),"",INDEX(B$2:B374,-1+SUMPRODUCT(MAX(ROW(E$2:E374)*(E375=E$2:E374)))))</f>
        <v/>
      </c>
      <c r="J375" s="14" t="str">
        <f aca="true">IF(OR(E375="",E375="!!!",F375="NEW"),"",COUNTBLANK(OFFSET(A$1,,,SUMPRODUCT(MAX(ROW(E$2:E375)*(E375=E$2:E375)))))-COUNTBLANK(OFFSET(A$1,,,SUMPRODUCT(MAX(ROW(E$1:E374)*(E375=E$1:E374))))))</f>
        <v/>
      </c>
      <c r="K375" s="14" t="str">
        <f aca="false">IF(OR(E375="",E375="!!!",F375="NEW"),"",INDEX(J$1:J374,SUMPRODUCT(MAX(ROW(E$1:E374)*(E375=E$1:E374)))))</f>
        <v/>
      </c>
      <c r="L375" s="15"/>
    </row>
    <row r="376" customFormat="false" ht="12.75" hidden="false" customHeight="false" outlineLevel="0" collapsed="false">
      <c r="A376" s="0" t="s">
        <v>262</v>
      </c>
      <c r="E376" s="9" t="str">
        <f aca="false">IF(D376="?OLD","!!!","")</f>
        <v/>
      </c>
      <c r="F376" s="10" t="str">
        <f aca="false">IF(OR(E376="",E376="!!!"),"",IF(NOT(ISNA(VLOOKUP(E376,E$1:E375,1,FALSE()))),"OLD",IF(AND(E376&lt;&gt;"",E376&lt;&gt;"!!!"),"NEW","")))</f>
        <v/>
      </c>
      <c r="G376" s="11" t="str">
        <f aca="false">IF(OR(E376="",E376="!!!"),"",IF(OR(J376=0,AND(J376=1,K376=1),AND(J376=1,I376="SBJ"),AND(J376=1,I376=0)),"?IN_FOCUS",IF(J376&lt;=2,"?ACTIVATED",IF(J376&lt;&gt;"","?FAMILIAR",IF(F376="NEW",IF(ISNA(VLOOKUP(E376,#REF!,1,FALSE())),"?TYPE_IDENTIFIABLE","?REFERENTIAL"),"_")))))</f>
        <v/>
      </c>
      <c r="H376" s="12" t="str">
        <f aca="false">IF(J376&lt;&gt;1,"",IF(I376="SBJ","CB","?"))</f>
        <v/>
      </c>
      <c r="I376" s="13" t="str">
        <f aca="false">IF(OR(E376="",E376="!!!",F376="NEW"),"",INDEX(B$2:B375,-1+SUMPRODUCT(MAX(ROW(E$2:E375)*(E376=E$2:E375)))))</f>
        <v/>
      </c>
      <c r="J376" s="14" t="str">
        <f aca="true">IF(OR(E376="",E376="!!!",F376="NEW"),"",COUNTBLANK(OFFSET(A$1,,,SUMPRODUCT(MAX(ROW(E$2:E376)*(E376=E$2:E376)))))-COUNTBLANK(OFFSET(A$1,,,SUMPRODUCT(MAX(ROW(E$1:E375)*(E376=E$1:E375))))))</f>
        <v/>
      </c>
      <c r="K376" s="14" t="str">
        <f aca="false">IF(OR(E376="",E376="!!!",F376="NEW"),"",INDEX(J$1:J375,SUMPRODUCT(MAX(ROW(E$1:E375)*(E376=E$1:E375)))))</f>
        <v/>
      </c>
      <c r="L376" s="15"/>
    </row>
    <row r="377" customFormat="false" ht="12.75" hidden="false" customHeight="false" outlineLevel="0" collapsed="false">
      <c r="A377" s="0" t="s">
        <v>275</v>
      </c>
      <c r="E377" s="9" t="str">
        <f aca="false">IF(D377="?OLD","!!!","")</f>
        <v/>
      </c>
      <c r="F377" s="10" t="str">
        <f aca="false">IF(OR(E377="",E377="!!!"),"",IF(NOT(ISNA(VLOOKUP(E377,E$1:E376,1,FALSE()))),"OLD",IF(AND(E377&lt;&gt;"",E377&lt;&gt;"!!!"),"NEW","")))</f>
        <v/>
      </c>
      <c r="G377" s="11" t="str">
        <f aca="false">IF(OR(E377="",E377="!!!"),"",IF(OR(J377=0,AND(J377=1,K377=1),AND(J377=1,I377="SBJ"),AND(J377=1,I377=0)),"?IN_FOCUS",IF(J377&lt;=2,"?ACTIVATED",IF(J377&lt;&gt;"","?FAMILIAR",IF(F377="NEW",IF(ISNA(VLOOKUP(E377,#REF!,1,FALSE())),"?TYPE_IDENTIFIABLE","?REFERENTIAL"),"_")))))</f>
        <v/>
      </c>
      <c r="H377" s="12" t="str">
        <f aca="false">IF(J377&lt;&gt;1,"",IF(I377="SBJ","CB","?"))</f>
        <v/>
      </c>
      <c r="I377" s="13" t="str">
        <f aca="false">IF(OR(E377="",E377="!!!",F377="NEW"),"",INDEX(B$2:B376,-1+SUMPRODUCT(MAX(ROW(E$2:E376)*(E377=E$2:E376)))))</f>
        <v/>
      </c>
      <c r="J377" s="14" t="str">
        <f aca="true">IF(OR(E377="",E377="!!!",F377="NEW"),"",COUNTBLANK(OFFSET(A$1,,,SUMPRODUCT(MAX(ROW(E$2:E377)*(E377=E$2:E377)))))-COUNTBLANK(OFFSET(A$1,,,SUMPRODUCT(MAX(ROW(E$1:E376)*(E377=E$1:E376))))))</f>
        <v/>
      </c>
      <c r="K377" s="14" t="str">
        <f aca="false">IF(OR(E377="",E377="!!!",F377="NEW"),"",INDEX(J$1:J376,SUMPRODUCT(MAX(ROW(E$1:E376)*(E377=E$1:E376)))))</f>
        <v/>
      </c>
      <c r="L377" s="15"/>
    </row>
    <row r="378" customFormat="false" ht="12.75" hidden="false" customHeight="false" outlineLevel="0" collapsed="false">
      <c r="A378" s="0" t="s">
        <v>133</v>
      </c>
      <c r="E378" s="9" t="str">
        <f aca="false">IF(D378="?OLD","!!!","")</f>
        <v/>
      </c>
      <c r="F378" s="10" t="str">
        <f aca="false">IF(OR(E378="",E378="!!!"),"",IF(NOT(ISNA(VLOOKUP(E378,E$1:E377,1,FALSE()))),"OLD",IF(AND(E378&lt;&gt;"",E378&lt;&gt;"!!!"),"NEW","")))</f>
        <v/>
      </c>
      <c r="G378" s="11" t="str">
        <f aca="false">IF(OR(E378="",E378="!!!"),"",IF(OR(J378=0,AND(J378=1,K378=1),AND(J378=1,I378="SBJ"),AND(J378=1,I378=0)),"?IN_FOCUS",IF(J378&lt;=2,"?ACTIVATED",IF(J378&lt;&gt;"","?FAMILIAR",IF(F378="NEW",IF(ISNA(VLOOKUP(E378,#REF!,1,FALSE())),"?TYPE_IDENTIFIABLE","?REFERENTIAL"),"_")))))</f>
        <v/>
      </c>
      <c r="H378" s="12" t="str">
        <f aca="false">IF(J378&lt;&gt;1,"",IF(I378="SBJ","CB","?"))</f>
        <v/>
      </c>
      <c r="I378" s="13" t="str">
        <f aca="false">IF(OR(E378="",E378="!!!",F378="NEW"),"",INDEX(B$2:B377,-1+SUMPRODUCT(MAX(ROW(E$2:E377)*(E378=E$2:E377)))))</f>
        <v/>
      </c>
      <c r="J378" s="14" t="str">
        <f aca="true">IF(OR(E378="",E378="!!!",F378="NEW"),"",COUNTBLANK(OFFSET(A$1,,,SUMPRODUCT(MAX(ROW(E$2:E378)*(E378=E$2:E378)))))-COUNTBLANK(OFFSET(A$1,,,SUMPRODUCT(MAX(ROW(E$1:E377)*(E378=E$1:E377))))))</f>
        <v/>
      </c>
      <c r="K378" s="14" t="str">
        <f aca="false">IF(OR(E378="",E378="!!!",F378="NEW"),"",INDEX(J$1:J377,SUMPRODUCT(MAX(ROW(E$1:E377)*(E378=E$1:E377)))))</f>
        <v/>
      </c>
      <c r="L378" s="15"/>
    </row>
    <row r="379" customFormat="false" ht="12.75" hidden="false" customHeight="false" outlineLevel="0" collapsed="false">
      <c r="A379" s="0" t="s">
        <v>117</v>
      </c>
      <c r="E379" s="9" t="str">
        <f aca="false">IF(D379="?OLD","!!!","")</f>
        <v/>
      </c>
      <c r="F379" s="10" t="str">
        <f aca="false">IF(OR(E379="",E379="!!!"),"",IF(NOT(ISNA(VLOOKUP(E379,E$1:E378,1,FALSE()))),"OLD",IF(AND(E379&lt;&gt;"",E379&lt;&gt;"!!!"),"NEW","")))</f>
        <v/>
      </c>
      <c r="G379" s="11" t="str">
        <f aca="false">IF(OR(E379="",E379="!!!"),"",IF(OR(J379=0,AND(J379=1,K379=1),AND(J379=1,I379="SBJ"),AND(J379=1,I379=0)),"?IN_FOCUS",IF(J379&lt;=2,"?ACTIVATED",IF(J379&lt;&gt;"","?FAMILIAR",IF(F379="NEW",IF(ISNA(VLOOKUP(E379,#REF!,1,FALSE())),"?TYPE_IDENTIFIABLE","?REFERENTIAL"),"_")))))</f>
        <v/>
      </c>
      <c r="H379" s="12" t="str">
        <f aca="false">IF(J379&lt;&gt;1,"",IF(I379="SBJ","CB","?"))</f>
        <v/>
      </c>
      <c r="I379" s="13" t="str">
        <f aca="false">IF(OR(E379="",E379="!!!",F379="NEW"),"",INDEX(B$2:B378,-1+SUMPRODUCT(MAX(ROW(E$2:E378)*(E379=E$2:E378)))))</f>
        <v/>
      </c>
      <c r="J379" s="14" t="str">
        <f aca="true">IF(OR(E379="",E379="!!!",F379="NEW"),"",COUNTBLANK(OFFSET(A$1,,,SUMPRODUCT(MAX(ROW(E$2:E379)*(E379=E$2:E379)))))-COUNTBLANK(OFFSET(A$1,,,SUMPRODUCT(MAX(ROW(E$1:E378)*(E379=E$1:E378))))))</f>
        <v/>
      </c>
      <c r="K379" s="14" t="str">
        <f aca="false">IF(OR(E379="",E379="!!!",F379="NEW"),"",INDEX(J$1:J378,SUMPRODUCT(MAX(ROW(E$1:E378)*(E379=E$1:E378)))))</f>
        <v/>
      </c>
      <c r="L379" s="15"/>
    </row>
    <row r="380" customFormat="false" ht="12.75" hidden="false" customHeight="false" outlineLevel="0" collapsed="false">
      <c r="A380" s="0" t="s">
        <v>122</v>
      </c>
      <c r="B380" s="0" t="s">
        <v>42</v>
      </c>
      <c r="C380" s="0" t="s">
        <v>38</v>
      </c>
      <c r="D380" s="0" t="s">
        <v>29</v>
      </c>
      <c r="E380" s="9" t="s">
        <v>265</v>
      </c>
      <c r="F380" s="10" t="str">
        <f aca="false">IF(OR(E380="",E380="!!!"),"",IF(NOT(ISNA(VLOOKUP(E380,E$1:E379,1,FALSE()))),"OLD",IF(AND(E380&lt;&gt;"",E380&lt;&gt;"!!!"),"NEW","")))</f>
        <v>OLD</v>
      </c>
      <c r="G380" s="11" t="s">
        <v>39</v>
      </c>
      <c r="H380" s="12" t="s">
        <v>7</v>
      </c>
      <c r="I380" s="13" t="str">
        <f aca="false">IF(OR(E380="",E380="!!!",F380="NEW"),"",INDEX(B$2:B379,-1+SUMPRODUCT(MAX(ROW(E$2:E379)*(E380=E$2:E379)))))</f>
        <v>other</v>
      </c>
      <c r="J380" s="14" t="n">
        <f aca="true">IF(OR(E380="",E380="!!!",F380="NEW"),"",COUNTBLANK(OFFSET(A$1,,,SUMPRODUCT(MAX(ROW(E$2:E380)*(E380=E$2:E380)))))-COUNTBLANK(OFFSET(A$1,,,SUMPRODUCT(MAX(ROW(E$1:E379)*(E380=E$1:E379))))))</f>
        <v>1</v>
      </c>
      <c r="K380" s="14" t="n">
        <f aca="false">IF(OR(E380="",E380="!!!",F380="NEW"),"",INDEX(J$1:J379,SUMPRODUCT(MAX(ROW(E$1:E379)*(E380=E$1:E379)))))</f>
        <v>1</v>
      </c>
      <c r="L380" s="15"/>
    </row>
    <row r="381" customFormat="false" ht="12.75" hidden="false" customHeight="false" outlineLevel="0" collapsed="false">
      <c r="A381" s="0" t="s">
        <v>276</v>
      </c>
      <c r="E381" s="9" t="str">
        <f aca="false">IF(D381="?OLD","!!!","")</f>
        <v/>
      </c>
      <c r="F381" s="10" t="str">
        <f aca="false">IF(OR(E381="",E381="!!!"),"",IF(NOT(ISNA(VLOOKUP(E381,E$1:E380,1,FALSE()))),"OLD",IF(AND(E381&lt;&gt;"",E381&lt;&gt;"!!!"),"NEW","")))</f>
        <v/>
      </c>
      <c r="G381" s="11" t="str">
        <f aca="false">IF(OR(E381="",E381="!!!"),"",IF(OR(J381=0,AND(J381=1,K381=1),AND(J381=1,I381="SBJ"),AND(J381=1,I381=0)),"?IN_FOCUS",IF(J381&lt;=2,"?ACTIVATED",IF(J381&lt;&gt;"","?FAMILIAR",IF(F381="NEW",IF(ISNA(VLOOKUP(E381,#REF!,1,FALSE())),"?TYPE_IDENTIFIABLE","?REFERENTIAL"),"_")))))</f>
        <v/>
      </c>
      <c r="H381" s="12" t="str">
        <f aca="false">IF(J381&lt;&gt;1,"",IF(I381="SBJ","CB","?"))</f>
        <v/>
      </c>
      <c r="I381" s="13" t="str">
        <f aca="false">IF(OR(E381="",E381="!!!",F381="NEW"),"",INDEX(B$2:B380,-1+SUMPRODUCT(MAX(ROW(E$2:E380)*(E381=E$2:E380)))))</f>
        <v/>
      </c>
      <c r="J381" s="14" t="str">
        <f aca="true">IF(OR(E381="",E381="!!!",F381="NEW"),"",COUNTBLANK(OFFSET(A$1,,,SUMPRODUCT(MAX(ROW(E$2:E381)*(E381=E$2:E381)))))-COUNTBLANK(OFFSET(A$1,,,SUMPRODUCT(MAX(ROW(E$1:E380)*(E381=E$1:E380))))))</f>
        <v/>
      </c>
      <c r="K381" s="14" t="str">
        <f aca="false">IF(OR(E381="",E381="!!!",F381="NEW"),"",INDEX(J$1:J380,SUMPRODUCT(MAX(ROW(E$1:E380)*(E381=E$1:E380)))))</f>
        <v/>
      </c>
      <c r="L381" s="15"/>
    </row>
    <row r="382" customFormat="false" ht="12.75" hidden="false" customHeight="false" outlineLevel="0" collapsed="false">
      <c r="A382" s="0" t="s">
        <v>277</v>
      </c>
      <c r="B382" s="0" t="s">
        <v>22</v>
      </c>
      <c r="C382" s="0" t="s">
        <v>55</v>
      </c>
      <c r="D382" s="0" t="s">
        <v>29</v>
      </c>
      <c r="E382" s="9" t="s">
        <v>265</v>
      </c>
      <c r="F382" s="10" t="str">
        <f aca="false">IF(OR(E382="",E382="!!!"),"",IF(NOT(ISNA(VLOOKUP(E382,E$1:E381,1,FALSE()))),"OLD",IF(AND(E382&lt;&gt;"",E382&lt;&gt;"!!!"),"NEW","")))</f>
        <v>OLD</v>
      </c>
      <c r="G382" s="11" t="s">
        <v>39</v>
      </c>
      <c r="H382" s="12" t="str">
        <f aca="false">IF(J382&lt;&gt;1,"",IF(I382="SBJ","CB","?"))</f>
        <v/>
      </c>
      <c r="I382" s="13" t="str">
        <f aca="false">IF(OR(E382="",E382="!!!",F382="NEW"),"",INDEX(B$2:B381,-1+SUMPRODUCT(MAX(ROW(E$2:E381)*(E382=E$2:E381)))))</f>
        <v>SBJ_2</v>
      </c>
      <c r="J382" s="14" t="n">
        <f aca="true">IF(OR(E382="",E382="!!!",F382="NEW"),"",COUNTBLANK(OFFSET(A$1,,,SUMPRODUCT(MAX(ROW(E$2:E382)*(E382=E$2:E382)))))-COUNTBLANK(OFFSET(A$1,,,SUMPRODUCT(MAX(ROW(E$1:E381)*(E382=E$1:E381))))))</f>
        <v>0</v>
      </c>
      <c r="K382" s="14" t="n">
        <f aca="false">IF(OR(E382="",E382="!!!",F382="NEW"),"",INDEX(J$1:J381,SUMPRODUCT(MAX(ROW(E$1:E381)*(E382=E$1:E381)))))</f>
        <v>1</v>
      </c>
      <c r="L382" s="15"/>
    </row>
    <row r="383" customFormat="false" ht="12.75" hidden="false" customHeight="false" outlineLevel="0" collapsed="false">
      <c r="A383" s="0" t="s">
        <v>278</v>
      </c>
      <c r="B383" s="0" t="s">
        <v>103</v>
      </c>
      <c r="C383" s="0" t="s">
        <v>15</v>
      </c>
      <c r="D383" s="0" t="s">
        <v>29</v>
      </c>
      <c r="E383" s="9" t="s">
        <v>279</v>
      </c>
      <c r="F383" s="10" t="s">
        <v>16</v>
      </c>
      <c r="G383" s="11" t="s">
        <v>266</v>
      </c>
      <c r="H383" s="12" t="str">
        <f aca="false">IF(J383&lt;&gt;1,"",IF(I383="SBJ","CB","?"))</f>
        <v/>
      </c>
      <c r="I383" s="13" t="str">
        <f aca="false">IF(OR(E383="",E383="!!!",F383="NEW"),"",INDEX(B$2:B382,-1+SUMPRODUCT(MAX(ROW(E$2:E382)*(E383=E$2:E382)))))</f>
        <v/>
      </c>
      <c r="J383" s="14" t="str">
        <f aca="true">IF(OR(E383="",E383="!!!",F383="NEW"),"",COUNTBLANK(OFFSET(A$1,,,SUMPRODUCT(MAX(ROW(E$2:E383)*(E383=E$2:E383)))))-COUNTBLANK(OFFSET(A$1,,,SUMPRODUCT(MAX(ROW(E$1:E382)*(E383=E$1:E382))))))</f>
        <v/>
      </c>
      <c r="K383" s="14" t="str">
        <f aca="false">IF(OR(E383="",E383="!!!",F383="NEW"),"",INDEX(J$1:J382,SUMPRODUCT(MAX(ROW(E$1:E382)*(E383=E$1:E382)))))</f>
        <v/>
      </c>
      <c r="L383" s="15"/>
    </row>
    <row r="384" customFormat="false" ht="12.75" hidden="false" customHeight="false" outlineLevel="0" collapsed="false">
      <c r="A384" s="0" t="s">
        <v>122</v>
      </c>
      <c r="B384" s="0" t="s">
        <v>157</v>
      </c>
      <c r="C384" s="0" t="s">
        <v>38</v>
      </c>
      <c r="D384" s="0" t="s">
        <v>29</v>
      </c>
      <c r="E384" s="9" t="s">
        <v>265</v>
      </c>
      <c r="F384" s="10" t="str">
        <f aca="false">IF(OR(E384="",E384="!!!"),"",IF(NOT(ISNA(VLOOKUP(E384,E$1:E383,1,FALSE()))),"OLD",IF(AND(E384&lt;&gt;"",E384&lt;&gt;"!!!"),"NEW","")))</f>
        <v>OLD</v>
      </c>
      <c r="G384" s="11" t="s">
        <v>39</v>
      </c>
      <c r="H384" s="12" t="str">
        <f aca="false">IF(J384&lt;&gt;1,"",IF(I384="SBJ","CB","?"))</f>
        <v/>
      </c>
      <c r="I384" s="13" t="str">
        <f aca="false">IF(OR(E384="",E384="!!!",F384="NEW"),"",INDEX(B$2:B383,-1+SUMPRODUCT(MAX(ROW(E$2:E383)*(E384=E$2:E383)))))</f>
        <v>other_3</v>
      </c>
      <c r="J384" s="14" t="n">
        <f aca="true">IF(OR(E384="",E384="!!!",F384="NEW"),"",COUNTBLANK(OFFSET(A$1,,,SUMPRODUCT(MAX(ROW(E$2:E384)*(E384=E$2:E384)))))-COUNTBLANK(OFFSET(A$1,,,SUMPRODUCT(MAX(ROW(E$1:E383)*(E384=E$1:E383))))))</f>
        <v>0</v>
      </c>
      <c r="K384" s="14" t="n">
        <f aca="false">IF(OR(E384="",E384="!!!",F384="NEW"),"",INDEX(J$1:J383,SUMPRODUCT(MAX(ROW(E$1:E383)*(E384=E$1:E383)))))</f>
        <v>0</v>
      </c>
      <c r="L384" s="15"/>
    </row>
    <row r="385" customFormat="false" ht="12.75" hidden="false" customHeight="false" outlineLevel="0" collapsed="false">
      <c r="A385" s="0" t="s">
        <v>276</v>
      </c>
      <c r="E385" s="9" t="str">
        <f aca="false">IF(D385="?OLD","!!!","")</f>
        <v/>
      </c>
      <c r="F385" s="10" t="str">
        <f aca="false">IF(OR(E385="",E385="!!!"),"",IF(NOT(ISNA(VLOOKUP(E385,E$1:E384,1,FALSE()))),"OLD",IF(AND(E385&lt;&gt;"",E385&lt;&gt;"!!!"),"NEW","")))</f>
        <v/>
      </c>
      <c r="G385" s="11" t="str">
        <f aca="false">IF(OR(E385="",E385="!!!"),"",IF(OR(J385=0,AND(J385=1,K385=1),AND(J385=1,I385="SBJ"),AND(J385=1,I385=0)),"?IN_FOCUS",IF(J385&lt;=2,"?ACTIVATED",IF(J385&lt;&gt;"","?FAMILIAR",IF(F385="NEW",IF(ISNA(VLOOKUP(E385,#REF!,1,FALSE())),"?TYPE_IDENTIFIABLE","?REFERENTIAL"),"_")))))</f>
        <v/>
      </c>
      <c r="H385" s="12" t="str">
        <f aca="false">IF(J385&lt;&gt;1,"",IF(I385="SBJ","CB","?"))</f>
        <v/>
      </c>
      <c r="I385" s="13" t="str">
        <f aca="false">IF(OR(E385="",E385="!!!",F385="NEW"),"",INDEX(B$2:B384,-1+SUMPRODUCT(MAX(ROW(E$2:E384)*(E385=E$2:E384)))))</f>
        <v/>
      </c>
      <c r="J385" s="14" t="str">
        <f aca="true">IF(OR(E385="",E385="!!!",F385="NEW"),"",COUNTBLANK(OFFSET(A$1,,,SUMPRODUCT(MAX(ROW(E$2:E385)*(E385=E$2:E385)))))-COUNTBLANK(OFFSET(A$1,,,SUMPRODUCT(MAX(ROW(E$1:E384)*(E385=E$1:E384))))))</f>
        <v/>
      </c>
      <c r="K385" s="14" t="str">
        <f aca="false">IF(OR(E385="",E385="!!!",F385="NEW"),"",INDEX(J$1:J384,SUMPRODUCT(MAX(ROW(E$1:E384)*(E385=E$1:E384)))))</f>
        <v/>
      </c>
      <c r="L385" s="15"/>
    </row>
    <row r="386" customFormat="false" ht="12.75" hidden="false" customHeight="false" outlineLevel="0" collapsed="false">
      <c r="A386" s="0" t="s">
        <v>40</v>
      </c>
      <c r="E386" s="9" t="str">
        <f aca="false">IF(D386="?OLD","!!!","")</f>
        <v/>
      </c>
      <c r="F386" s="10" t="str">
        <f aca="false">IF(OR(E386="",E386="!!!"),"",IF(NOT(ISNA(VLOOKUP(E386,E$1:E385,1,FALSE()))),"OLD",IF(AND(E386&lt;&gt;"",E386&lt;&gt;"!!!"),"NEW","")))</f>
        <v/>
      </c>
      <c r="G386" s="11" t="str">
        <f aca="false">IF(OR(E386="",E386="!!!"),"",IF(OR(J386=0,AND(J386=1,K386=1),AND(J386=1,I386="SBJ"),AND(J386=1,I386=0)),"?IN_FOCUS",IF(J386&lt;=2,"?ACTIVATED",IF(J386&lt;&gt;"","?FAMILIAR",IF(F386="NEW",IF(ISNA(VLOOKUP(E386,#REF!,1,FALSE())),"?TYPE_IDENTIFIABLE","?REFERENTIAL"),"_")))))</f>
        <v/>
      </c>
      <c r="H386" s="12" t="str">
        <f aca="false">IF(J386&lt;&gt;1,"",IF(I386="SBJ","CB","?"))</f>
        <v/>
      </c>
      <c r="I386" s="13" t="str">
        <f aca="false">IF(OR(E386="",E386="!!!",F386="NEW"),"",INDEX(B$2:B385,-1+SUMPRODUCT(MAX(ROW(E$2:E385)*(E386=E$2:E385)))))</f>
        <v/>
      </c>
      <c r="J386" s="14" t="str">
        <f aca="true">IF(OR(E386="",E386="!!!",F386="NEW"),"",COUNTBLANK(OFFSET(A$1,,,SUMPRODUCT(MAX(ROW(E$2:E386)*(E386=E$2:E386)))))-COUNTBLANK(OFFSET(A$1,,,SUMPRODUCT(MAX(ROW(E$1:E385)*(E386=E$1:E385))))))</f>
        <v/>
      </c>
      <c r="K386" s="14" t="str">
        <f aca="false">IF(OR(E386="",E386="!!!",F386="NEW"),"",INDEX(J$1:J385,SUMPRODUCT(MAX(ROW(E$1:E385)*(E386=E$1:E385)))))</f>
        <v/>
      </c>
      <c r="L386" s="15"/>
    </row>
    <row r="387" customFormat="false" ht="12.75" hidden="false" customHeight="false" outlineLevel="0" collapsed="false">
      <c r="A387" s="0" t="s">
        <v>280</v>
      </c>
      <c r="E387" s="9" t="str">
        <f aca="false">IF(D387="?OLD","!!!","")</f>
        <v/>
      </c>
      <c r="F387" s="10" t="str">
        <f aca="false">IF(OR(E387="",E387="!!!"),"",IF(NOT(ISNA(VLOOKUP(E387,E$1:E386,1,FALSE()))),"OLD",IF(AND(E387&lt;&gt;"",E387&lt;&gt;"!!!"),"NEW","")))</f>
        <v/>
      </c>
      <c r="G387" s="11" t="str">
        <f aca="false">IF(OR(E387="",E387="!!!"),"",IF(OR(J387=0,AND(J387=1,K387=1),AND(J387=1,I387="SBJ"),AND(J387=1,I387=0)),"?IN_FOCUS",IF(J387&lt;=2,"?ACTIVATED",IF(J387&lt;&gt;"","?FAMILIAR",IF(F387="NEW",IF(ISNA(VLOOKUP(E387,#REF!,1,FALSE())),"?TYPE_IDENTIFIABLE","?REFERENTIAL"),"_")))))</f>
        <v/>
      </c>
      <c r="H387" s="12" t="str">
        <f aca="false">IF(J387&lt;&gt;1,"",IF(I387="SBJ","CB","?"))</f>
        <v/>
      </c>
      <c r="I387" s="13" t="str">
        <f aca="false">IF(OR(E387="",E387="!!!",F387="NEW"),"",INDEX(B$2:B386,-1+SUMPRODUCT(MAX(ROW(E$2:E386)*(E387=E$2:E386)))))</f>
        <v/>
      </c>
      <c r="J387" s="14" t="str">
        <f aca="true">IF(OR(E387="",E387="!!!",F387="NEW"),"",COUNTBLANK(OFFSET(A$1,,,SUMPRODUCT(MAX(ROW(E$2:E387)*(E387=E$2:E387)))))-COUNTBLANK(OFFSET(A$1,,,SUMPRODUCT(MAX(ROW(E$1:E386)*(E387=E$1:E386))))))</f>
        <v/>
      </c>
      <c r="K387" s="14" t="str">
        <f aca="false">IF(OR(E387="",E387="!!!",F387="NEW"),"",INDEX(J$1:J386,SUMPRODUCT(MAX(ROW(E$1:E386)*(E387=E$1:E386)))))</f>
        <v/>
      </c>
      <c r="L387" s="15"/>
    </row>
    <row r="388" customFormat="false" ht="12.75" hidden="false" customHeight="false" outlineLevel="0" collapsed="false">
      <c r="A388" s="0" t="s">
        <v>68</v>
      </c>
      <c r="E388" s="9" t="str">
        <f aca="false">IF(D388="?OLD","!!!","")</f>
        <v/>
      </c>
      <c r="F388" s="10" t="str">
        <f aca="false">IF(OR(E388="",E388="!!!"),"",IF(NOT(ISNA(VLOOKUP(E388,E$1:E387,1,FALSE()))),"OLD",IF(AND(E388&lt;&gt;"",E388&lt;&gt;"!!!"),"NEW","")))</f>
        <v/>
      </c>
      <c r="G388" s="11" t="str">
        <f aca="false">IF(OR(E388="",E388="!!!"),"",IF(OR(J388=0,AND(J388=1,K388=1),AND(J388=1,I388="SBJ"),AND(J388=1,I388=0)),"?IN_FOCUS",IF(J388&lt;=2,"?ACTIVATED",IF(J388&lt;&gt;"","?FAMILIAR",IF(F388="NEW",IF(ISNA(VLOOKUP(E388,#REF!,1,FALSE())),"?TYPE_IDENTIFIABLE","?REFERENTIAL"),"_")))))</f>
        <v/>
      </c>
      <c r="H388" s="12" t="str">
        <f aca="false">IF(J388&lt;&gt;1,"",IF(I388="SBJ","CB","?"))</f>
        <v/>
      </c>
      <c r="I388" s="13" t="str">
        <f aca="false">IF(OR(E388="",E388="!!!",F388="NEW"),"",INDEX(B$2:B387,-1+SUMPRODUCT(MAX(ROW(E$2:E387)*(E388=E$2:E387)))))</f>
        <v/>
      </c>
      <c r="J388" s="14" t="str">
        <f aca="true">IF(OR(E388="",E388="!!!",F388="NEW"),"",COUNTBLANK(OFFSET(A$1,,,SUMPRODUCT(MAX(ROW(E$2:E388)*(E388=E$2:E388)))))-COUNTBLANK(OFFSET(A$1,,,SUMPRODUCT(MAX(ROW(E$1:E387)*(E388=E$1:E387))))))</f>
        <v/>
      </c>
      <c r="K388" s="14" t="str">
        <f aca="false">IF(OR(E388="",E388="!!!",F388="NEW"),"",INDEX(J$1:J387,SUMPRODUCT(MAX(ROW(E$1:E387)*(E388=E$1:E387)))))</f>
        <v/>
      </c>
      <c r="L388" s="15"/>
    </row>
    <row r="389" customFormat="false" ht="12.75" hidden="false" customHeight="false" outlineLevel="0" collapsed="false">
      <c r="A389" s="0" t="s">
        <v>281</v>
      </c>
      <c r="B389" s="0" t="s">
        <v>59</v>
      </c>
      <c r="C389" s="0" t="s">
        <v>43</v>
      </c>
      <c r="E389" s="9" t="s">
        <v>68</v>
      </c>
      <c r="F389" s="10" t="str">
        <f aca="false">IF(OR(E389="",E389="!!!"),"",IF(NOT(ISNA(VLOOKUP(E389,E$1:E388,1,FALSE()))),"OLD",IF(AND(E389&lt;&gt;"",E389&lt;&gt;"!!!"),"NEW","")))</f>
        <v>OLD</v>
      </c>
      <c r="G389" s="11" t="s">
        <v>60</v>
      </c>
      <c r="H389" s="12" t="str">
        <f aca="false">IF(J389&lt;&gt;1,"",IF(I389="SBJ","CB","?"))</f>
        <v/>
      </c>
      <c r="I389" s="13" t="str">
        <f aca="false">IF(OR(E389="",E389="!!!",F389="NEW"),"",INDEX(B$2:B388,-1+SUMPRODUCT(MAX(ROW(E$2:E388)*(E389=E$2:E388)))))</f>
        <v>other_3</v>
      </c>
      <c r="J389" s="14" t="n">
        <f aca="true">IF(OR(E389="",E389="!!!",F389="NEW"),"",COUNTBLANK(OFFSET(A$1,,,SUMPRODUCT(MAX(ROW(E$2:E389)*(E389=E$2:E389)))))-COUNTBLANK(OFFSET(A$1,,,SUMPRODUCT(MAX(ROW(E$1:E388)*(E389=E$1:E388))))))</f>
        <v>3</v>
      </c>
      <c r="K389" s="14" t="str">
        <f aca="false">IF(OR(E389="",E389="!!!",F389="NEW"),"",INDEX(J$1:J388,SUMPRODUCT(MAX(ROW(E$1:E388)*(E389=E$1:E388)))))</f>
        <v/>
      </c>
      <c r="L389" s="15"/>
    </row>
    <row r="390" customFormat="false" ht="12.75" hidden="false" customHeight="false" outlineLevel="0" collapsed="false">
      <c r="A390" s="0" t="s">
        <v>31</v>
      </c>
      <c r="E390" s="9" t="str">
        <f aca="false">IF(D390="?OLD","!!!","")</f>
        <v/>
      </c>
      <c r="F390" s="10" t="str">
        <f aca="false">IF(OR(E390="",E390="!!!"),"",IF(NOT(ISNA(VLOOKUP(E390,E$1:E389,1,FALSE()))),"OLD",IF(AND(E390&lt;&gt;"",E390&lt;&gt;"!!!"),"NEW","")))</f>
        <v/>
      </c>
      <c r="G390" s="11" t="str">
        <f aca="false">IF(OR(E390="",E390="!!!"),"",IF(OR(J390=0,AND(J390=1,K390=1),AND(J390=1,I390="SBJ"),AND(J390=1,I390=0)),"?IN_FOCUS",IF(J390&lt;=2,"?ACTIVATED",IF(J390&lt;&gt;"","?FAMILIAR",IF(F390="NEW",IF(ISNA(VLOOKUP(E390,#REF!,1,FALSE())),"?TYPE_IDENTIFIABLE","?REFERENTIAL"),"_")))))</f>
        <v/>
      </c>
      <c r="H390" s="12" t="str">
        <f aca="false">IF(J390&lt;&gt;1,"",IF(I390="SBJ","CB","?"))</f>
        <v/>
      </c>
      <c r="I390" s="13" t="str">
        <f aca="false">IF(OR(E390="",E390="!!!",F390="NEW"),"",INDEX(B$2:B389,-1+SUMPRODUCT(MAX(ROW(E$2:E389)*(E390=E$2:E389)))))</f>
        <v/>
      </c>
      <c r="J390" s="14" t="str">
        <f aca="true">IF(OR(E390="",E390="!!!",F390="NEW"),"",COUNTBLANK(OFFSET(A$1,,,SUMPRODUCT(MAX(ROW(E$2:E390)*(E390=E$2:E390)))))-COUNTBLANK(OFFSET(A$1,,,SUMPRODUCT(MAX(ROW(E$1:E389)*(E390=E$1:E389))))))</f>
        <v/>
      </c>
      <c r="K390" s="14" t="str">
        <f aca="false">IF(OR(E390="",E390="!!!",F390="NEW"),"",INDEX(J$1:J389,SUMPRODUCT(MAX(ROW(E$1:E389)*(E390=E$1:E389)))))</f>
        <v/>
      </c>
      <c r="L390" s="15"/>
    </row>
    <row r="391" customFormat="false" ht="12.75" hidden="false" customHeight="false" outlineLevel="0" collapsed="false">
      <c r="A391" s="0" t="s">
        <v>88</v>
      </c>
      <c r="E391" s="9" t="str">
        <f aca="false">IF(D391="?OLD","!!!","")</f>
        <v/>
      </c>
      <c r="F391" s="10" t="str">
        <f aca="false">IF(OR(E391="",E391="!!!"),"",IF(NOT(ISNA(VLOOKUP(E391,E$1:E390,1,FALSE()))),"OLD",IF(AND(E391&lt;&gt;"",E391&lt;&gt;"!!!"),"NEW","")))</f>
        <v/>
      </c>
      <c r="G391" s="11" t="str">
        <f aca="false">IF(OR(E391="",E391="!!!"),"",IF(OR(J391=0,AND(J391=1,K391=1),AND(J391=1,I391="SBJ"),AND(J391=1,I391=0)),"?IN_FOCUS",IF(J391&lt;=2,"?ACTIVATED",IF(J391&lt;&gt;"","?FAMILIAR",IF(F391="NEW",IF(ISNA(VLOOKUP(E391,#REF!,1,FALSE())),"?TYPE_IDENTIFIABLE","?REFERENTIAL"),"_")))))</f>
        <v/>
      </c>
      <c r="H391" s="12" t="str">
        <f aca="false">IF(J391&lt;&gt;1,"",IF(I391="SBJ","CB","?"))</f>
        <v/>
      </c>
      <c r="I391" s="13" t="str">
        <f aca="false">IF(OR(E391="",E391="!!!",F391="NEW"),"",INDEX(B$2:B390,-1+SUMPRODUCT(MAX(ROW(E$2:E390)*(E391=E$2:E390)))))</f>
        <v/>
      </c>
      <c r="J391" s="14" t="str">
        <f aca="true">IF(OR(E391="",E391="!!!",F391="NEW"),"",COUNTBLANK(OFFSET(A$1,,,SUMPRODUCT(MAX(ROW(E$2:E391)*(E391=E$2:E391)))))-COUNTBLANK(OFFSET(A$1,,,SUMPRODUCT(MAX(ROW(E$1:E390)*(E391=E$1:E390))))))</f>
        <v/>
      </c>
      <c r="K391" s="14" t="str">
        <f aca="false">IF(OR(E391="",E391="!!!",F391="NEW"),"",INDEX(J$1:J390,SUMPRODUCT(MAX(ROW(E$1:E390)*(E391=E$1:E390)))))</f>
        <v/>
      </c>
      <c r="L391" s="15"/>
    </row>
    <row r="392" customFormat="false" ht="12.75" hidden="false" customHeight="false" outlineLevel="0" collapsed="false">
      <c r="A392" s="0" t="s">
        <v>117</v>
      </c>
      <c r="E392" s="9" t="str">
        <f aca="false">IF(D392="?OLD","!!!","")</f>
        <v/>
      </c>
      <c r="F392" s="10" t="str">
        <f aca="false">IF(OR(E392="",E392="!!!"),"",IF(NOT(ISNA(VLOOKUP(E392,E$1:E391,1,FALSE()))),"OLD",IF(AND(E392&lt;&gt;"",E392&lt;&gt;"!!!"),"NEW","")))</f>
        <v/>
      </c>
      <c r="G392" s="11" t="str">
        <f aca="false">IF(OR(E392="",E392="!!!"),"",IF(OR(J392=0,AND(J392=1,K392=1),AND(J392=1,I392="SBJ"),AND(J392=1,I392=0)),"?IN_FOCUS",IF(J392&lt;=2,"?ACTIVATED",IF(J392&lt;&gt;"","?FAMILIAR",IF(F392="NEW",IF(ISNA(VLOOKUP(E392,#REF!,1,FALSE())),"?TYPE_IDENTIFIABLE","?REFERENTIAL"),"_")))))</f>
        <v/>
      </c>
      <c r="H392" s="12" t="str">
        <f aca="false">IF(J392&lt;&gt;1,"",IF(I392="SBJ","CB","?"))</f>
        <v/>
      </c>
      <c r="I392" s="13" t="str">
        <f aca="false">IF(OR(E392="",E392="!!!",F392="NEW"),"",INDEX(B$2:B391,-1+SUMPRODUCT(MAX(ROW(E$2:E391)*(E392=E$2:E391)))))</f>
        <v/>
      </c>
      <c r="J392" s="14" t="str">
        <f aca="true">IF(OR(E392="",E392="!!!",F392="NEW"),"",COUNTBLANK(OFFSET(A$1,,,SUMPRODUCT(MAX(ROW(E$2:E392)*(E392=E$2:E392)))))-COUNTBLANK(OFFSET(A$1,,,SUMPRODUCT(MAX(ROW(E$1:E391)*(E392=E$1:E391))))))</f>
        <v/>
      </c>
      <c r="K392" s="14" t="str">
        <f aca="false">IF(OR(E392="",E392="!!!",F392="NEW"),"",INDEX(J$1:J391,SUMPRODUCT(MAX(ROW(E$1:E391)*(E392=E$1:E391)))))</f>
        <v/>
      </c>
      <c r="L392" s="15"/>
    </row>
    <row r="393" customFormat="false" ht="12.75" hidden="false" customHeight="false" outlineLevel="0" collapsed="false">
      <c r="A393" s="0" t="s">
        <v>133</v>
      </c>
      <c r="E393" s="9" t="str">
        <f aca="false">IF(D393="?OLD","!!!","")</f>
        <v/>
      </c>
      <c r="F393" s="10" t="str">
        <f aca="false">IF(OR(E393="",E393="!!!"),"",IF(NOT(ISNA(VLOOKUP(E393,E$1:E392,1,FALSE()))),"OLD",IF(AND(E393&lt;&gt;"",E393&lt;&gt;"!!!"),"NEW","")))</f>
        <v/>
      </c>
      <c r="G393" s="11" t="str">
        <f aca="false">IF(OR(E393="",E393="!!!"),"",IF(OR(J393=0,AND(J393=1,K393=1),AND(J393=1,I393="SBJ"),AND(J393=1,I393=0)),"?IN_FOCUS",IF(J393&lt;=2,"?ACTIVATED",IF(J393&lt;&gt;"","?FAMILIAR",IF(F393="NEW",IF(ISNA(VLOOKUP(E393,#REF!,1,FALSE())),"?TYPE_IDENTIFIABLE","?REFERENTIAL"),"_")))))</f>
        <v/>
      </c>
      <c r="H393" s="12" t="str">
        <f aca="false">IF(J393&lt;&gt;1,"",IF(I393="SBJ","CB","?"))</f>
        <v/>
      </c>
      <c r="I393" s="13" t="str">
        <f aca="false">IF(OR(E393="",E393="!!!",F393="NEW"),"",INDEX(B$2:B392,-1+SUMPRODUCT(MAX(ROW(E$2:E392)*(E393=E$2:E392)))))</f>
        <v/>
      </c>
      <c r="J393" s="14" t="str">
        <f aca="true">IF(OR(E393="",E393="!!!",F393="NEW"),"",COUNTBLANK(OFFSET(A$1,,,SUMPRODUCT(MAX(ROW(E$2:E393)*(E393=E$2:E393)))))-COUNTBLANK(OFFSET(A$1,,,SUMPRODUCT(MAX(ROW(E$1:E392)*(E393=E$1:E392))))))</f>
        <v/>
      </c>
      <c r="K393" s="14" t="str">
        <f aca="false">IF(OR(E393="",E393="!!!",F393="NEW"),"",INDEX(J$1:J392,SUMPRODUCT(MAX(ROW(E$1:E392)*(E393=E$1:E392)))))</f>
        <v/>
      </c>
      <c r="L393" s="15"/>
    </row>
    <row r="394" customFormat="false" ht="12.75" hidden="false" customHeight="false" outlineLevel="0" collapsed="false">
      <c r="A394" s="0" t="s">
        <v>117</v>
      </c>
      <c r="E394" s="9" t="str">
        <f aca="false">IF(D394="?OLD","!!!","")</f>
        <v/>
      </c>
      <c r="F394" s="10" t="str">
        <f aca="false">IF(OR(E394="",E394="!!!"),"",IF(NOT(ISNA(VLOOKUP(E394,E$1:E393,1,FALSE()))),"OLD",IF(AND(E394&lt;&gt;"",E394&lt;&gt;"!!!"),"NEW","")))</f>
        <v/>
      </c>
      <c r="G394" s="11" t="str">
        <f aca="false">IF(OR(E394="",E394="!!!"),"",IF(OR(J394=0,AND(J394=1,K394=1),AND(J394=1,I394="SBJ"),AND(J394=1,I394=0)),"?IN_FOCUS",IF(J394&lt;=2,"?ACTIVATED",IF(J394&lt;&gt;"","?FAMILIAR",IF(F394="NEW",IF(ISNA(VLOOKUP(E394,#REF!,1,FALSE())),"?TYPE_IDENTIFIABLE","?REFERENTIAL"),"_")))))</f>
        <v/>
      </c>
      <c r="H394" s="12" t="str">
        <f aca="false">IF(J394&lt;&gt;1,"",IF(I394="SBJ","CB","?"))</f>
        <v/>
      </c>
      <c r="I394" s="13" t="str">
        <f aca="false">IF(OR(E394="",E394="!!!",F394="NEW"),"",INDEX(B$2:B393,-1+SUMPRODUCT(MAX(ROW(E$2:E393)*(E394=E$2:E393)))))</f>
        <v/>
      </c>
      <c r="J394" s="14" t="str">
        <f aca="true">IF(OR(E394="",E394="!!!",F394="NEW"),"",COUNTBLANK(OFFSET(A$1,,,SUMPRODUCT(MAX(ROW(E$2:E394)*(E394=E$2:E394)))))-COUNTBLANK(OFFSET(A$1,,,SUMPRODUCT(MAX(ROW(E$1:E393)*(E394=E$1:E393))))))</f>
        <v/>
      </c>
      <c r="K394" s="14" t="str">
        <f aca="false">IF(OR(E394="",E394="!!!",F394="NEW"),"",INDEX(J$1:J393,SUMPRODUCT(MAX(ROW(E$1:E393)*(E394=E$1:E393)))))</f>
        <v/>
      </c>
      <c r="L394" s="15"/>
    </row>
    <row r="395" customFormat="false" ht="12.75" hidden="false" customHeight="false" outlineLevel="0" collapsed="false">
      <c r="A395" s="0" t="s">
        <v>122</v>
      </c>
      <c r="B395" s="0" t="s">
        <v>94</v>
      </c>
      <c r="C395" s="0" t="s">
        <v>38</v>
      </c>
      <c r="D395" s="0" t="s">
        <v>29</v>
      </c>
      <c r="E395" s="9" t="s">
        <v>265</v>
      </c>
      <c r="F395" s="10" t="str">
        <f aca="false">IF(OR(E395="",E395="!!!"),"",IF(NOT(ISNA(VLOOKUP(E395,E$1:E394,1,FALSE()))),"OLD",IF(AND(E395&lt;&gt;"",E395&lt;&gt;"!!!"),"NEW","")))</f>
        <v>OLD</v>
      </c>
      <c r="G395" s="11" t="s">
        <v>39</v>
      </c>
      <c r="H395" s="12" t="str">
        <f aca="false">IF(J395&lt;&gt;1,"",IF(I395="SBJ","CB","?"))</f>
        <v/>
      </c>
      <c r="I395" s="13" t="str">
        <f aca="false">IF(OR(E395="",E395="!!!",F395="NEW"),"",INDEX(B$2:B394,-1+SUMPRODUCT(MAX(ROW(E$2:E394)*(E395=E$2:E394)))))</f>
        <v>SBJ_4</v>
      </c>
      <c r="J395" s="14" t="n">
        <f aca="true">IF(OR(E395="",E395="!!!",F395="NEW"),"",COUNTBLANK(OFFSET(A$1,,,SUMPRODUCT(MAX(ROW(E$2:E395)*(E395=E$2:E395)))))-COUNTBLANK(OFFSET(A$1,,,SUMPRODUCT(MAX(ROW(E$1:E394)*(E395=E$1:E394))))))</f>
        <v>0</v>
      </c>
      <c r="K395" s="14" t="n">
        <f aca="false">IF(OR(E395="",E395="!!!",F395="NEW"),"",INDEX(J$1:J394,SUMPRODUCT(MAX(ROW(E$1:E394)*(E395=E$1:E394)))))</f>
        <v>0</v>
      </c>
      <c r="L395" s="15"/>
    </row>
    <row r="396" customFormat="false" ht="12.75" hidden="false" customHeight="false" outlineLevel="0" collapsed="false">
      <c r="A396" s="0" t="s">
        <v>276</v>
      </c>
      <c r="E396" s="9" t="str">
        <f aca="false">IF(D396="?OLD","!!!","")</f>
        <v/>
      </c>
      <c r="F396" s="10" t="str">
        <f aca="false">IF(OR(E396="",E396="!!!"),"",IF(NOT(ISNA(VLOOKUP(E396,E$1:E395,1,FALSE()))),"OLD",IF(AND(E396&lt;&gt;"",E396&lt;&gt;"!!!"),"NEW","")))</f>
        <v/>
      </c>
      <c r="G396" s="11" t="str">
        <f aca="false">IF(OR(E396="",E396="!!!"),"",IF(OR(J396=0,AND(J396=1,K396=1),AND(J396=1,I396="SBJ"),AND(J396=1,I396=0)),"?IN_FOCUS",IF(J396&lt;=2,"?ACTIVATED",IF(J396&lt;&gt;"","?FAMILIAR",IF(F396="NEW",IF(ISNA(VLOOKUP(E396,#REF!,1,FALSE())),"?TYPE_IDENTIFIABLE","?REFERENTIAL"),"_")))))</f>
        <v/>
      </c>
      <c r="H396" s="12" t="str">
        <f aca="false">IF(J396&lt;&gt;1,"",IF(I396="SBJ","CB","?"))</f>
        <v/>
      </c>
      <c r="I396" s="13" t="str">
        <f aca="false">IF(OR(E396="",E396="!!!",F396="NEW"),"",INDEX(B$2:B395,-1+SUMPRODUCT(MAX(ROW(E$2:E395)*(E396=E$2:E395)))))</f>
        <v/>
      </c>
      <c r="J396" s="14" t="str">
        <f aca="true">IF(OR(E396="",E396="!!!",F396="NEW"),"",COUNTBLANK(OFFSET(A$1,,,SUMPRODUCT(MAX(ROW(E$2:E396)*(E396=E$2:E396)))))-COUNTBLANK(OFFSET(A$1,,,SUMPRODUCT(MAX(ROW(E$1:E395)*(E396=E$1:E395))))))</f>
        <v/>
      </c>
      <c r="K396" s="14" t="str">
        <f aca="false">IF(OR(E396="",E396="!!!",F396="NEW"),"",INDEX(J$1:J395,SUMPRODUCT(MAX(ROW(E$1:E395)*(E396=E$1:E395)))))</f>
        <v/>
      </c>
      <c r="L396" s="15"/>
    </row>
    <row r="397" customFormat="false" ht="12.75" hidden="false" customHeight="false" outlineLevel="0" collapsed="false">
      <c r="A397" s="0" t="s">
        <v>277</v>
      </c>
      <c r="B397" s="0" t="s">
        <v>282</v>
      </c>
      <c r="C397" s="0" t="s">
        <v>55</v>
      </c>
      <c r="D397" s="0" t="s">
        <v>29</v>
      </c>
      <c r="E397" s="9" t="s">
        <v>265</v>
      </c>
      <c r="F397" s="10" t="str">
        <f aca="false">IF(OR(E397="",E397="!!!"),"",IF(NOT(ISNA(VLOOKUP(E397,E$1:E396,1,FALSE()))),"OLD",IF(AND(E397&lt;&gt;"",E397&lt;&gt;"!!!"),"NEW","")))</f>
        <v>OLD</v>
      </c>
      <c r="G397" s="11" t="s">
        <v>39</v>
      </c>
      <c r="H397" s="12" t="str">
        <f aca="false">IF(J397&lt;&gt;1,"",IF(I397="SBJ","CB","?"))</f>
        <v/>
      </c>
      <c r="I397" s="13" t="str">
        <f aca="false">IF(OR(E397="",E397="!!!",F397="NEW"),"",INDEX(B$2:B396,-1+SUMPRODUCT(MAX(ROW(E$2:E396)*(E397=E$2:E396)))))</f>
        <v>SBJ_7</v>
      </c>
      <c r="J397" s="14" t="n">
        <f aca="true">IF(OR(E397="",E397="!!!",F397="NEW"),"",COUNTBLANK(OFFSET(A$1,,,SUMPRODUCT(MAX(ROW(E$2:E397)*(E397=E$2:E397)))))-COUNTBLANK(OFFSET(A$1,,,SUMPRODUCT(MAX(ROW(E$1:E396)*(E397=E$1:E396))))))</f>
        <v>0</v>
      </c>
      <c r="K397" s="14" t="n">
        <f aca="false">IF(OR(E397="",E397="!!!",F397="NEW"),"",INDEX(J$1:J396,SUMPRODUCT(MAX(ROW(E$1:E396)*(E397=E$1:E396)))))</f>
        <v>0</v>
      </c>
      <c r="L397" s="15"/>
    </row>
    <row r="398" customFormat="false" ht="12.75" hidden="false" customHeight="false" outlineLevel="0" collapsed="false">
      <c r="A398" s="0" t="s">
        <v>280</v>
      </c>
      <c r="E398" s="9" t="str">
        <f aca="false">IF(D398="?OLD","!!!","")</f>
        <v/>
      </c>
      <c r="F398" s="10" t="str">
        <f aca="false">IF(OR(E398="",E398="!!!"),"",IF(NOT(ISNA(VLOOKUP(E398,E$1:E397,1,FALSE()))),"OLD",IF(AND(E398&lt;&gt;"",E398&lt;&gt;"!!!"),"NEW","")))</f>
        <v/>
      </c>
      <c r="G398" s="11" t="str">
        <f aca="false">IF(OR(E398="",E398="!!!"),"",IF(OR(J398=0,AND(J398=1,K398=1),AND(J398=1,I398="SBJ"),AND(J398=1,I398=0)),"?IN_FOCUS",IF(J398&lt;=2,"?ACTIVATED",IF(J398&lt;&gt;"","?FAMILIAR",IF(F398="NEW",IF(ISNA(VLOOKUP(E398,#REF!,1,FALSE())),"?TYPE_IDENTIFIABLE","?REFERENTIAL"),"_")))))</f>
        <v/>
      </c>
      <c r="H398" s="12" t="str">
        <f aca="false">IF(J398&lt;&gt;1,"",IF(I398="SBJ","CB","?"))</f>
        <v/>
      </c>
      <c r="I398" s="13" t="str">
        <f aca="false">IF(OR(E398="",E398="!!!",F398="NEW"),"",INDEX(B$2:B397,-1+SUMPRODUCT(MAX(ROW(E$2:E397)*(E398=E$2:E397)))))</f>
        <v/>
      </c>
      <c r="J398" s="14" t="str">
        <f aca="true">IF(OR(E398="",E398="!!!",F398="NEW"),"",COUNTBLANK(OFFSET(A$1,,,SUMPRODUCT(MAX(ROW(E$2:E398)*(E398=E$2:E398)))))-COUNTBLANK(OFFSET(A$1,,,SUMPRODUCT(MAX(ROW(E$1:E397)*(E398=E$1:E397))))))</f>
        <v/>
      </c>
      <c r="K398" s="14" t="str">
        <f aca="false">IF(OR(E398="",E398="!!!",F398="NEW"),"",INDEX(J$1:J397,SUMPRODUCT(MAX(ROW(E$1:E397)*(E398=E$1:E397)))))</f>
        <v/>
      </c>
      <c r="L398" s="15"/>
    </row>
    <row r="399" customFormat="false" ht="12.75" hidden="false" customHeight="false" outlineLevel="0" collapsed="false">
      <c r="A399" s="0" t="s">
        <v>68</v>
      </c>
      <c r="E399" s="9" t="str">
        <f aca="false">IF(D399="?OLD","!!!","")</f>
        <v/>
      </c>
      <c r="F399" s="10" t="str">
        <f aca="false">IF(OR(E399="",E399="!!!"),"",IF(NOT(ISNA(VLOOKUP(E399,E$1:E398,1,FALSE()))),"OLD",IF(AND(E399&lt;&gt;"",E399&lt;&gt;"!!!"),"NEW","")))</f>
        <v/>
      </c>
      <c r="G399" s="11" t="str">
        <f aca="false">IF(OR(E399="",E399="!!!"),"",IF(OR(J399=0,AND(J399=1,K399=1),AND(J399=1,I399="SBJ"),AND(J399=1,I399=0)),"?IN_FOCUS",IF(J399&lt;=2,"?ACTIVATED",IF(J399&lt;&gt;"","?FAMILIAR",IF(F399="NEW",IF(ISNA(VLOOKUP(E399,#REF!,1,FALSE())),"?TYPE_IDENTIFIABLE","?REFERENTIAL"),"_")))))</f>
        <v/>
      </c>
      <c r="H399" s="12" t="str">
        <f aca="false">IF(J399&lt;&gt;1,"",IF(I399="SBJ","CB","?"))</f>
        <v/>
      </c>
      <c r="I399" s="13" t="str">
        <f aca="false">IF(OR(E399="",E399="!!!",F399="NEW"),"",INDEX(B$2:B398,-1+SUMPRODUCT(MAX(ROW(E$2:E398)*(E399=E$2:E398)))))</f>
        <v/>
      </c>
      <c r="J399" s="14" t="str">
        <f aca="true">IF(OR(E399="",E399="!!!",F399="NEW"),"",COUNTBLANK(OFFSET(A$1,,,SUMPRODUCT(MAX(ROW(E$2:E399)*(E399=E$2:E399)))))-COUNTBLANK(OFFSET(A$1,,,SUMPRODUCT(MAX(ROW(E$1:E398)*(E399=E$1:E398))))))</f>
        <v/>
      </c>
      <c r="K399" s="14" t="str">
        <f aca="false">IF(OR(E399="",E399="!!!",F399="NEW"),"",INDEX(J$1:J398,SUMPRODUCT(MAX(ROW(E$1:E398)*(E399=E$1:E398)))))</f>
        <v/>
      </c>
      <c r="L399" s="15"/>
    </row>
    <row r="400" customFormat="false" ht="12.75" hidden="false" customHeight="false" outlineLevel="0" collapsed="false">
      <c r="A400" s="0" t="s">
        <v>281</v>
      </c>
      <c r="B400" s="0" t="s">
        <v>283</v>
      </c>
      <c r="C400" s="0" t="s">
        <v>120</v>
      </c>
      <c r="E400" s="9" t="s">
        <v>36</v>
      </c>
      <c r="F400" s="10" t="str">
        <f aca="false">IF(OR(E400="",E400="!!!"),"",IF(NOT(ISNA(VLOOKUP(E400,E$1:E399,1,FALSE()))),"OLD",IF(AND(E400&lt;&gt;"",E400&lt;&gt;"!!!"),"NEW","")))</f>
        <v>NEW</v>
      </c>
      <c r="G400" s="11" t="str">
        <f aca="false">IF(OR(E400="",E400="!!!"),"",IF(OR(J400=0,AND(J400=1,K400=1),AND(J400=1,I400="SBJ"),AND(J400=1,I400=0)),"?IN_FOCUS",IF(J400&lt;=2,"?ACTIVATED",IF(J400&lt;&gt;"","?FAMILIAR",IF(F400="NEW",IF(ISNA(VLOOKUP(E400,#REF!,1,FALSE())),"?TYPE_IDENTIFIABLE","?REFERENTIAL"),"_")))))</f>
        <v>?REFERENTIAL</v>
      </c>
      <c r="H400" s="12" t="str">
        <f aca="false">IF(J400&lt;&gt;1,"",IF(I400="SBJ","CB","?"))</f>
        <v/>
      </c>
      <c r="I400" s="13" t="str">
        <f aca="false">IF(OR(E400="",E400="!!!",F400="NEW"),"",INDEX(B$2:B399,-1+SUMPRODUCT(MAX(ROW(E$2:E399)*(E400=E$2:E399)))))</f>
        <v/>
      </c>
      <c r="J400" s="14" t="str">
        <f aca="true">IF(OR(E400="",E400="!!!",F400="NEW"),"",COUNTBLANK(OFFSET(A$1,,,SUMPRODUCT(MAX(ROW(E$2:E400)*(E400=E$2:E400)))))-COUNTBLANK(OFFSET(A$1,,,SUMPRODUCT(MAX(ROW(E$1:E399)*(E400=E$1:E399))))))</f>
        <v/>
      </c>
      <c r="K400" s="14" t="str">
        <f aca="false">IF(OR(E400="",E400="!!!",F400="NEW"),"",INDEX(J$1:J399,SUMPRODUCT(MAX(ROW(E$1:E399)*(E400=E$1:E399)))))</f>
        <v/>
      </c>
      <c r="L400" s="15"/>
    </row>
    <row r="401" customFormat="false" ht="12.75" hidden="false" customHeight="false" outlineLevel="0" collapsed="false">
      <c r="A401" s="0" t="s">
        <v>122</v>
      </c>
      <c r="B401" s="0" t="s">
        <v>284</v>
      </c>
      <c r="C401" s="0" t="s">
        <v>38</v>
      </c>
      <c r="D401" s="0" t="s">
        <v>29</v>
      </c>
      <c r="E401" s="9" t="s">
        <v>265</v>
      </c>
      <c r="F401" s="10" t="str">
        <f aca="false">IF(OR(E401="",E401="!!!"),"",IF(NOT(ISNA(VLOOKUP(E401,E$1:E400,1,FALSE()))),"OLD",IF(AND(E401&lt;&gt;"",E401&lt;&gt;"!!!"),"NEW","")))</f>
        <v>OLD</v>
      </c>
      <c r="G401" s="11" t="s">
        <v>39</v>
      </c>
      <c r="H401" s="12" t="str">
        <f aca="false">IF(J401&lt;&gt;1,"",IF(I401="SBJ","CB","?"))</f>
        <v/>
      </c>
      <c r="I401" s="13" t="str">
        <f aca="false">IF(OR(E401="",E401="!!!",F401="NEW"),"",INDEX(B$2:B400,-1+SUMPRODUCT(MAX(ROW(E$2:E400)*(E401=E$2:E400)))))</f>
        <v>other_9</v>
      </c>
      <c r="J401" s="14" t="n">
        <f aca="true">IF(OR(E401="",E401="!!!",F401="NEW"),"",COUNTBLANK(OFFSET(A$1,,,SUMPRODUCT(MAX(ROW(E$2:E401)*(E401=E$2:E401)))))-COUNTBLANK(OFFSET(A$1,,,SUMPRODUCT(MAX(ROW(E$1:E400)*(E401=E$1:E400))))))</f>
        <v>0</v>
      </c>
      <c r="K401" s="14" t="n">
        <f aca="false">IF(OR(E401="",E401="!!!",F401="NEW"),"",INDEX(J$1:J400,SUMPRODUCT(MAX(ROW(E$1:E400)*(E401=E$1:E400)))))</f>
        <v>0</v>
      </c>
      <c r="L401" s="15"/>
    </row>
    <row r="402" customFormat="false" ht="12.75" hidden="false" customHeight="false" outlineLevel="0" collapsed="false">
      <c r="A402" s="0" t="s">
        <v>276</v>
      </c>
      <c r="E402" s="9" t="str">
        <f aca="false">IF(D402="?OLD","!!!","")</f>
        <v/>
      </c>
      <c r="F402" s="10" t="str">
        <f aca="false">IF(OR(E402="",E402="!!!"),"",IF(NOT(ISNA(VLOOKUP(E402,E$1:E401,1,FALSE()))),"OLD",IF(AND(E402&lt;&gt;"",E402&lt;&gt;"!!!"),"NEW","")))</f>
        <v/>
      </c>
      <c r="G402" s="11" t="str">
        <f aca="false">IF(OR(E402="",E402="!!!"),"",IF(OR(J402=0,AND(J402=1,K402=1),AND(J402=1,I402="SBJ"),AND(J402=1,I402=0)),"?IN_FOCUS",IF(J402&lt;=2,"?ACTIVATED",IF(J402&lt;&gt;"","?FAMILIAR",IF(F402="NEW",IF(ISNA(VLOOKUP(E402,#REF!,1,FALSE())),"?TYPE_IDENTIFIABLE","?REFERENTIAL"),"_")))))</f>
        <v/>
      </c>
      <c r="H402" s="12" t="str">
        <f aca="false">IF(J402&lt;&gt;1,"",IF(I402="SBJ","CB","?"))</f>
        <v/>
      </c>
      <c r="I402" s="13" t="str">
        <f aca="false">IF(OR(E402="",E402="!!!",F402="NEW"),"",INDEX(B$2:B401,-1+SUMPRODUCT(MAX(ROW(E$2:E401)*(E402=E$2:E401)))))</f>
        <v/>
      </c>
      <c r="J402" s="14" t="str">
        <f aca="true">IF(OR(E402="",E402="!!!",F402="NEW"),"",COUNTBLANK(OFFSET(A$1,,,SUMPRODUCT(MAX(ROW(E$2:E402)*(E402=E$2:E402)))))-COUNTBLANK(OFFSET(A$1,,,SUMPRODUCT(MAX(ROW(E$1:E401)*(E402=E$1:E401))))))</f>
        <v/>
      </c>
      <c r="K402" s="14" t="str">
        <f aca="false">IF(OR(E402="",E402="!!!",F402="NEW"),"",INDEX(J$1:J401,SUMPRODUCT(MAX(ROW(E$1:E401)*(E402=E$1:E401)))))</f>
        <v/>
      </c>
      <c r="L402" s="15"/>
    </row>
    <row r="403" customFormat="false" ht="12.75" hidden="false" customHeight="false" outlineLevel="0" collapsed="false">
      <c r="A403" s="0" t="s">
        <v>285</v>
      </c>
      <c r="B403" s="0" t="s">
        <v>286</v>
      </c>
      <c r="C403" s="0" t="s">
        <v>156</v>
      </c>
      <c r="D403" s="0" t="s">
        <v>29</v>
      </c>
      <c r="E403" s="9" t="s">
        <v>68</v>
      </c>
      <c r="F403" s="10" t="s">
        <v>69</v>
      </c>
      <c r="G403" s="11"/>
      <c r="H403" s="12" t="str">
        <f aca="false">IF(J403&lt;&gt;1,"",IF(I403="SBJ","CB","?"))</f>
        <v/>
      </c>
      <c r="I403" s="13" t="str">
        <f aca="false">IF(OR(E403="",E403="!!!",F403="NEW"),"",INDEX(B$2:B402,-1+SUMPRODUCT(MAX(ROW(E$2:E402)*(E403=E$2:E402)))))</f>
        <v>OBJ_4</v>
      </c>
      <c r="J403" s="14" t="n">
        <f aca="true">IF(OR(E403="",E403="!!!",F403="NEW"),"",COUNTBLANK(OFFSET(A$1,,,SUMPRODUCT(MAX(ROW(E$2:E403)*(E403=E$2:E403)))))-COUNTBLANK(OFFSET(A$1,,,SUMPRODUCT(MAX(ROW(E$1:E402)*(E403=E$1:E402))))))</f>
        <v>0</v>
      </c>
      <c r="K403" s="14" t="n">
        <f aca="false">IF(OR(E403="",E403="!!!",F403="NEW"),"",INDEX(J$1:J402,SUMPRODUCT(MAX(ROW(E$1:E402)*(E403=E$1:E402)))))</f>
        <v>3</v>
      </c>
      <c r="L403" s="15"/>
    </row>
    <row r="404" customFormat="false" ht="12.75" hidden="false" customHeight="false" outlineLevel="0" collapsed="false">
      <c r="A404" s="0" t="s">
        <v>136</v>
      </c>
      <c r="E404" s="9" t="str">
        <f aca="false">IF(D404="?OLD","!!!","")</f>
        <v/>
      </c>
      <c r="F404" s="10" t="str">
        <f aca="false">IF(OR(E404="",E404="!!!"),"",IF(NOT(ISNA(VLOOKUP(E404,E$1:E403,1,FALSE()))),"OLD",IF(AND(E404&lt;&gt;"",E404&lt;&gt;"!!!"),"NEW","")))</f>
        <v/>
      </c>
      <c r="G404" s="11" t="str">
        <f aca="false">IF(OR(E404="",E404="!!!"),"",IF(OR(J404=0,AND(J404=1,K404=1),AND(J404=1,I404="SBJ"),AND(J404=1,I404=0)),"?IN_FOCUS",IF(J404&lt;=2,"?ACTIVATED",IF(J404&lt;&gt;"","?FAMILIAR",IF(F404="NEW",IF(ISNA(VLOOKUP(E404,#REF!,1,FALSE())),"?TYPE_IDENTIFIABLE","?REFERENTIAL"),"_")))))</f>
        <v/>
      </c>
      <c r="H404" s="12" t="str">
        <f aca="false">IF(J404&lt;&gt;1,"",IF(I404="SBJ","CB","?"))</f>
        <v/>
      </c>
      <c r="I404" s="13" t="str">
        <f aca="false">IF(OR(E404="",E404="!!!",F404="NEW"),"",INDEX(B$2:B403,-1+SUMPRODUCT(MAX(ROW(E$2:E403)*(E404=E$2:E403)))))</f>
        <v/>
      </c>
      <c r="J404" s="14" t="str">
        <f aca="true">IF(OR(E404="",E404="!!!",F404="NEW"),"",COUNTBLANK(OFFSET(A$1,,,SUMPRODUCT(MAX(ROW(E$2:E404)*(E404=E$2:E404)))))-COUNTBLANK(OFFSET(A$1,,,SUMPRODUCT(MAX(ROW(E$1:E403)*(E404=E$1:E403))))))</f>
        <v/>
      </c>
      <c r="K404" s="14" t="str">
        <f aca="false">IF(OR(E404="",E404="!!!",F404="NEW"),"",INDEX(J$1:J403,SUMPRODUCT(MAX(ROW(E$1:E403)*(E404=E$1:E403)))))</f>
        <v/>
      </c>
      <c r="L404" s="15"/>
    </row>
    <row r="405" customFormat="false" ht="12.75" hidden="false" customHeight="false" outlineLevel="0" collapsed="false">
      <c r="A405" s="0" t="s">
        <v>36</v>
      </c>
      <c r="B405" s="0" t="s">
        <v>287</v>
      </c>
      <c r="C405" s="0" t="s">
        <v>38</v>
      </c>
      <c r="D405" s="0" t="s">
        <v>29</v>
      </c>
      <c r="E405" s="9" t="s">
        <v>288</v>
      </c>
      <c r="F405" s="10" t="str">
        <f aca="false">IF(OR(E405="",E405="!!!"),"",IF(NOT(ISNA(VLOOKUP(E405,E$1:E404,1,FALSE()))),"OLD",IF(AND(E405&lt;&gt;"",E405&lt;&gt;"!!!"),"NEW","")))</f>
        <v>NEW</v>
      </c>
      <c r="G405" s="11" t="s">
        <v>39</v>
      </c>
      <c r="H405" s="12" t="str">
        <f aca="false">IF(J405&lt;&gt;1,"",IF(I405="SBJ","CB","?"))</f>
        <v/>
      </c>
      <c r="I405" s="13" t="str">
        <f aca="false">IF(OR(E405="",E405="!!!",F405="NEW"),"",INDEX(B$2:B404,-1+SUMPRODUCT(MAX(ROW(E$2:E404)*(E405=E$2:E404)))))</f>
        <v/>
      </c>
      <c r="J405" s="14" t="str">
        <f aca="true">IF(OR(E405="",E405="!!!",F405="NEW"),"",COUNTBLANK(OFFSET(A$1,,,SUMPRODUCT(MAX(ROW(E$2:E405)*(E405=E$2:E405)))))-COUNTBLANK(OFFSET(A$1,,,SUMPRODUCT(MAX(ROW(E$1:E404)*(E405=E$1:E404))))))</f>
        <v/>
      </c>
      <c r="K405" s="14" t="str">
        <f aca="false">IF(OR(E405="",E405="!!!",F405="NEW"),"",INDEX(J$1:J404,SUMPRODUCT(MAX(ROW(E$1:E404)*(E405=E$1:E404)))))</f>
        <v/>
      </c>
      <c r="L405" s="15"/>
    </row>
    <row r="406" customFormat="false" ht="12.75" hidden="false" customHeight="false" outlineLevel="0" collapsed="false">
      <c r="A406" s="0" t="s">
        <v>73</v>
      </c>
      <c r="E406" s="9" t="str">
        <f aca="false">IF(D406="?OLD","!!!","")</f>
        <v/>
      </c>
      <c r="F406" s="10" t="str">
        <f aca="false">IF(OR(E406="",E406="!!!"),"",IF(NOT(ISNA(VLOOKUP(E406,E$1:E405,1,FALSE()))),"OLD",IF(AND(E406&lt;&gt;"",E406&lt;&gt;"!!!"),"NEW","")))</f>
        <v/>
      </c>
      <c r="G406" s="11" t="str">
        <f aca="false">IF(OR(E406="",E406="!!!"),"",IF(OR(J406=0,AND(J406=1,K406=1),AND(J406=1,I406="SBJ"),AND(J406=1,I406=0)),"?IN_FOCUS",IF(J406&lt;=2,"?ACTIVATED",IF(J406&lt;&gt;"","?FAMILIAR",IF(F406="NEW",IF(ISNA(VLOOKUP(E406,#REF!,1,FALSE())),"?TYPE_IDENTIFIABLE","?REFERENTIAL"),"_")))))</f>
        <v/>
      </c>
      <c r="H406" s="12" t="str">
        <f aca="false">IF(J406&lt;&gt;1,"",IF(I406="SBJ","CB","?"))</f>
        <v/>
      </c>
      <c r="I406" s="13" t="str">
        <f aca="false">IF(OR(E406="",E406="!!!",F406="NEW"),"",INDEX(B$2:B405,-1+SUMPRODUCT(MAX(ROW(E$2:E405)*(E406=E$2:E405)))))</f>
        <v/>
      </c>
      <c r="J406" s="14" t="str">
        <f aca="true">IF(OR(E406="",E406="!!!",F406="NEW"),"",COUNTBLANK(OFFSET(A$1,,,SUMPRODUCT(MAX(ROW(E$2:E406)*(E406=E$2:E406)))))-COUNTBLANK(OFFSET(A$1,,,SUMPRODUCT(MAX(ROW(E$1:E405)*(E406=E$1:E405))))))</f>
        <v/>
      </c>
      <c r="K406" s="14" t="str">
        <f aca="false">IF(OR(E406="",E406="!!!",F406="NEW"),"",INDEX(J$1:J405,SUMPRODUCT(MAX(ROW(E$1:E405)*(E406=E$1:E405)))))</f>
        <v/>
      </c>
      <c r="L406" s="15"/>
    </row>
    <row r="407" customFormat="false" ht="12.75" hidden="false" customHeight="false" outlineLevel="0" collapsed="false">
      <c r="A407" s="0" t="s">
        <v>262</v>
      </c>
      <c r="E407" s="9" t="str">
        <f aca="false">IF(D407="?OLD","!!!","")</f>
        <v/>
      </c>
      <c r="F407" s="10" t="str">
        <f aca="false">IF(OR(E407="",E407="!!!"),"",IF(NOT(ISNA(VLOOKUP(E407,E$1:E406,1,FALSE()))),"OLD",IF(AND(E407&lt;&gt;"",E407&lt;&gt;"!!!"),"NEW","")))</f>
        <v/>
      </c>
      <c r="G407" s="11" t="str">
        <f aca="false">IF(OR(E407="",E407="!!!"),"",IF(OR(J407=0,AND(J407=1,K407=1),AND(J407=1,I407="SBJ"),AND(J407=1,I407=0)),"?IN_FOCUS",IF(J407&lt;=2,"?ACTIVATED",IF(J407&lt;&gt;"","?FAMILIAR",IF(F407="NEW",IF(ISNA(VLOOKUP(E407,#REF!,1,FALSE())),"?TYPE_IDENTIFIABLE","?REFERENTIAL"),"_")))))</f>
        <v/>
      </c>
      <c r="H407" s="12" t="str">
        <f aca="false">IF(J407&lt;&gt;1,"",IF(I407="SBJ","CB","?"))</f>
        <v/>
      </c>
      <c r="I407" s="13" t="str">
        <f aca="false">IF(OR(E407="",E407="!!!",F407="NEW"),"",INDEX(B$2:B406,-1+SUMPRODUCT(MAX(ROW(E$2:E406)*(E407=E$2:E406)))))</f>
        <v/>
      </c>
      <c r="J407" s="14" t="str">
        <f aca="true">IF(OR(E407="",E407="!!!",F407="NEW"),"",COUNTBLANK(OFFSET(A$1,,,SUMPRODUCT(MAX(ROW(E$2:E407)*(E407=E$2:E407)))))-COUNTBLANK(OFFSET(A$1,,,SUMPRODUCT(MAX(ROW(E$1:E406)*(E407=E$1:E406))))))</f>
        <v/>
      </c>
      <c r="K407" s="14" t="str">
        <f aca="false">IF(OR(E407="",E407="!!!",F407="NEW"),"",INDEX(J$1:J406,SUMPRODUCT(MAX(ROW(E$1:E406)*(E407=E$1:E406)))))</f>
        <v/>
      </c>
      <c r="L407" s="15"/>
    </row>
    <row r="408" customFormat="false" ht="12.75" hidden="false" customHeight="false" outlineLevel="0" collapsed="false">
      <c r="E408" s="9" t="str">
        <f aca="false">IF(D408="?OLD","!!!","")</f>
        <v/>
      </c>
      <c r="F408" s="10" t="str">
        <f aca="false">IF(OR(E408="",E408="!!!"),"",IF(NOT(ISNA(VLOOKUP(E408,E$1:E407,1,FALSE()))),"OLD",IF(AND(E408&lt;&gt;"",E408&lt;&gt;"!!!"),"NEW","")))</f>
        <v/>
      </c>
      <c r="G408" s="11" t="str">
        <f aca="false">IF(OR(E408="",E408="!!!"),"",IF(OR(J408=0,AND(J408=1,K408=1),AND(J408=1,I408="SBJ"),AND(J408=1,I408=0)),"?IN_FOCUS",IF(J408&lt;=2,"?ACTIVATED",IF(J408&lt;&gt;"","?FAMILIAR",IF(F408="NEW",IF(ISNA(VLOOKUP(E408,#REF!,1,FALSE())),"?TYPE_IDENTIFIABLE","?REFERENTIAL"),"_")))))</f>
        <v/>
      </c>
      <c r="H408" s="12" t="str">
        <f aca="false">IF(J408&lt;&gt;1,"",IF(I408="SBJ","CB","?"))</f>
        <v/>
      </c>
      <c r="I408" s="13" t="str">
        <f aca="false">IF(OR(E408="",E408="!!!",F408="NEW"),"",INDEX(B$2:B407,-1+SUMPRODUCT(MAX(ROW(E$2:E407)*(E408=E$2:E407)))))</f>
        <v/>
      </c>
      <c r="J408" s="14" t="str">
        <f aca="true">IF(OR(E408="",E408="!!!",F408="NEW"),"",COUNTBLANK(OFFSET(A$1,,,SUMPRODUCT(MAX(ROW(E$2:E408)*(E408=E$2:E408)))))-COUNTBLANK(OFFSET(A$1,,,SUMPRODUCT(MAX(ROW(E$1:E407)*(E408=E$1:E407))))))</f>
        <v/>
      </c>
      <c r="K408" s="14" t="str">
        <f aca="false">IF(OR(E408="",E408="!!!",F408="NEW"),"",INDEX(J$1:J407,SUMPRODUCT(MAX(ROW(E$1:E407)*(E408=E$1:E407)))))</f>
        <v/>
      </c>
      <c r="L408" s="15"/>
    </row>
    <row r="409" customFormat="false" ht="12.75" hidden="false" customHeight="false" outlineLevel="0" collapsed="false">
      <c r="A409" s="0" t="s">
        <v>260</v>
      </c>
      <c r="E409" s="9" t="str">
        <f aca="false">IF(D409="?OLD","!!!","")</f>
        <v/>
      </c>
      <c r="F409" s="10" t="str">
        <f aca="false">IF(OR(E409="",E409="!!!"),"",IF(NOT(ISNA(VLOOKUP(E409,E$1:E408,1,FALSE()))),"OLD",IF(AND(E409&lt;&gt;"",E409&lt;&gt;"!!!"),"NEW","")))</f>
        <v/>
      </c>
      <c r="G409" s="11" t="str">
        <f aca="false">IF(OR(E409="",E409="!!!"),"",IF(OR(J409=0,AND(J409=1,K409=1),AND(J409=1,I409="SBJ"),AND(J409=1,I409=0)),"?IN_FOCUS",IF(J409&lt;=2,"?ACTIVATED",IF(J409&lt;&gt;"","?FAMILIAR",IF(F409="NEW",IF(ISNA(VLOOKUP(E409,#REF!,1,FALSE())),"?TYPE_IDENTIFIABLE","?REFERENTIAL"),"_")))))</f>
        <v/>
      </c>
      <c r="H409" s="12" t="str">
        <f aca="false">IF(J409&lt;&gt;1,"",IF(I409="SBJ","CB","?"))</f>
        <v/>
      </c>
      <c r="I409" s="13" t="str">
        <f aca="false">IF(OR(E409="",E409="!!!",F409="NEW"),"",INDEX(B$2:B408,-1+SUMPRODUCT(MAX(ROW(E$2:E408)*(E409=E$2:E408)))))</f>
        <v/>
      </c>
      <c r="J409" s="14" t="str">
        <f aca="true">IF(OR(E409="",E409="!!!",F409="NEW"),"",COUNTBLANK(OFFSET(A$1,,,SUMPRODUCT(MAX(ROW(E$2:E409)*(E409=E$2:E409)))))-COUNTBLANK(OFFSET(A$1,,,SUMPRODUCT(MAX(ROW(E$1:E408)*(E409=E$1:E408))))))</f>
        <v/>
      </c>
      <c r="K409" s="14" t="str">
        <f aca="false">IF(OR(E409="",E409="!!!",F409="NEW"),"",INDEX(J$1:J408,SUMPRODUCT(MAX(ROW(E$1:E408)*(E409=E$1:E408)))))</f>
        <v/>
      </c>
      <c r="L409" s="15"/>
    </row>
    <row r="410" customFormat="false" ht="12.75" hidden="false" customHeight="false" outlineLevel="0" collapsed="false">
      <c r="A410" s="0" t="s">
        <v>289</v>
      </c>
      <c r="E410" s="9" t="str">
        <f aca="false">IF(D410="?OLD","!!!","")</f>
        <v/>
      </c>
      <c r="F410" s="10" t="str">
        <f aca="false">IF(OR(E410="",E410="!!!"),"",IF(NOT(ISNA(VLOOKUP(E410,E$1:E409,1,FALSE()))),"OLD",IF(AND(E410&lt;&gt;"",E410&lt;&gt;"!!!"),"NEW","")))</f>
        <v/>
      </c>
      <c r="G410" s="11" t="str">
        <f aca="false">IF(OR(E410="",E410="!!!"),"",IF(OR(J410=0,AND(J410=1,K410=1),AND(J410=1,I410="SBJ"),AND(J410=1,I410=0)),"?IN_FOCUS",IF(J410&lt;=2,"?ACTIVATED",IF(J410&lt;&gt;"","?FAMILIAR",IF(F410="NEW",IF(ISNA(VLOOKUP(E410,#REF!,1,FALSE())),"?TYPE_IDENTIFIABLE","?REFERENTIAL"),"_")))))</f>
        <v/>
      </c>
      <c r="H410" s="12" t="str">
        <f aca="false">IF(J410&lt;&gt;1,"",IF(I410="SBJ","CB","?"))</f>
        <v/>
      </c>
      <c r="I410" s="13" t="str">
        <f aca="false">IF(OR(E410="",E410="!!!",F410="NEW"),"",INDEX(B$2:B409,-1+SUMPRODUCT(MAX(ROW(E$2:E409)*(E410=E$2:E409)))))</f>
        <v/>
      </c>
      <c r="J410" s="14" t="str">
        <f aca="true">IF(OR(E410="",E410="!!!",F410="NEW"),"",COUNTBLANK(OFFSET(A$1,,,SUMPRODUCT(MAX(ROW(E$2:E410)*(E410=E$2:E410)))))-COUNTBLANK(OFFSET(A$1,,,SUMPRODUCT(MAX(ROW(E$1:E409)*(E410=E$1:E409))))))</f>
        <v/>
      </c>
      <c r="K410" s="14" t="str">
        <f aca="false">IF(OR(E410="",E410="!!!",F410="NEW"),"",INDEX(J$1:J409,SUMPRODUCT(MAX(ROW(E$1:E409)*(E410=E$1:E409)))))</f>
        <v/>
      </c>
      <c r="L410" s="15"/>
    </row>
    <row r="411" customFormat="false" ht="12.75" hidden="false" customHeight="false" outlineLevel="0" collapsed="false">
      <c r="A411" s="0" t="s">
        <v>262</v>
      </c>
      <c r="E411" s="9" t="str">
        <f aca="false">IF(D411="?OLD","!!!","")</f>
        <v/>
      </c>
      <c r="F411" s="10" t="str">
        <f aca="false">IF(OR(E411="",E411="!!!"),"",IF(NOT(ISNA(VLOOKUP(E411,E$1:E410,1,FALSE()))),"OLD",IF(AND(E411&lt;&gt;"",E411&lt;&gt;"!!!"),"NEW","")))</f>
        <v/>
      </c>
      <c r="G411" s="11" t="str">
        <f aca="false">IF(OR(E411="",E411="!!!"),"",IF(OR(J411=0,AND(J411=1,K411=1),AND(J411=1,I411="SBJ"),AND(J411=1,I411=0)),"?IN_FOCUS",IF(J411&lt;=2,"?ACTIVATED",IF(J411&lt;&gt;"","?FAMILIAR",IF(F411="NEW",IF(ISNA(VLOOKUP(E411,#REF!,1,FALSE())),"?TYPE_IDENTIFIABLE","?REFERENTIAL"),"_")))))</f>
        <v/>
      </c>
      <c r="H411" s="12" t="str">
        <f aca="false">IF(J411&lt;&gt;1,"",IF(I411="SBJ","CB","?"))</f>
        <v/>
      </c>
      <c r="I411" s="13" t="str">
        <f aca="false">IF(OR(E411="",E411="!!!",F411="NEW"),"",INDEX(B$2:B410,-1+SUMPRODUCT(MAX(ROW(E$2:E410)*(E411=E$2:E410)))))</f>
        <v/>
      </c>
      <c r="J411" s="14" t="str">
        <f aca="true">IF(OR(E411="",E411="!!!",F411="NEW"),"",COUNTBLANK(OFFSET(A$1,,,SUMPRODUCT(MAX(ROW(E$2:E411)*(E411=E$2:E411)))))-COUNTBLANK(OFFSET(A$1,,,SUMPRODUCT(MAX(ROW(E$1:E410)*(E411=E$1:E410))))))</f>
        <v/>
      </c>
      <c r="K411" s="14" t="str">
        <f aca="false">IF(OR(E411="",E411="!!!",F411="NEW"),"",INDEX(J$1:J410,SUMPRODUCT(MAX(ROW(E$1:E410)*(E411=E$1:E410)))))</f>
        <v/>
      </c>
      <c r="L411" s="15"/>
    </row>
    <row r="412" customFormat="false" ht="12.75" hidden="false" customHeight="false" outlineLevel="0" collapsed="false">
      <c r="A412" s="0" t="s">
        <v>290</v>
      </c>
      <c r="E412" s="9" t="str">
        <f aca="false">IF(D412="?OLD","!!!","")</f>
        <v/>
      </c>
      <c r="F412" s="10" t="str">
        <f aca="false">IF(OR(E412="",E412="!!!"),"",IF(NOT(ISNA(VLOOKUP(E412,E$1:E411,1,FALSE()))),"OLD",IF(AND(E412&lt;&gt;"",E412&lt;&gt;"!!!"),"NEW","")))</f>
        <v/>
      </c>
      <c r="G412" s="11" t="str">
        <f aca="false">IF(OR(E412="",E412="!!!"),"",IF(OR(J412=0,AND(J412=1,K412=1),AND(J412=1,I412="SBJ"),AND(J412=1,I412=0)),"?IN_FOCUS",IF(J412&lt;=2,"?ACTIVATED",IF(J412&lt;&gt;"","?FAMILIAR",IF(F412="NEW",IF(ISNA(VLOOKUP(E412,#REF!,1,FALSE())),"?TYPE_IDENTIFIABLE","?REFERENTIAL"),"_")))))</f>
        <v/>
      </c>
      <c r="H412" s="12" t="str">
        <f aca="false">IF(J412&lt;&gt;1,"",IF(I412="SBJ","CB","?"))</f>
        <v/>
      </c>
      <c r="I412" s="13" t="str">
        <f aca="false">IF(OR(E412="",E412="!!!",F412="NEW"),"",INDEX(B$2:B411,-1+SUMPRODUCT(MAX(ROW(E$2:E411)*(E412=E$2:E411)))))</f>
        <v/>
      </c>
      <c r="J412" s="14" t="str">
        <f aca="true">IF(OR(E412="",E412="!!!",F412="NEW"),"",COUNTBLANK(OFFSET(A$1,,,SUMPRODUCT(MAX(ROW(E$2:E412)*(E412=E$2:E412)))))-COUNTBLANK(OFFSET(A$1,,,SUMPRODUCT(MAX(ROW(E$1:E411)*(E412=E$1:E411))))))</f>
        <v/>
      </c>
      <c r="K412" s="14" t="str">
        <f aca="false">IF(OR(E412="",E412="!!!",F412="NEW"),"",INDEX(J$1:J411,SUMPRODUCT(MAX(ROW(E$1:E411)*(E412=E$1:E411)))))</f>
        <v/>
      </c>
      <c r="L412" s="15"/>
    </row>
    <row r="413" customFormat="false" ht="12.75" hidden="false" customHeight="false" outlineLevel="0" collapsed="false">
      <c r="A413" s="0" t="s">
        <v>291</v>
      </c>
      <c r="E413" s="9" t="str">
        <f aca="false">IF(D413="?OLD","!!!","")</f>
        <v/>
      </c>
      <c r="F413" s="10" t="str">
        <f aca="false">IF(OR(E413="",E413="!!!"),"",IF(NOT(ISNA(VLOOKUP(E413,E$1:E412,1,FALSE()))),"OLD",IF(AND(E413&lt;&gt;"",E413&lt;&gt;"!!!"),"NEW","")))</f>
        <v/>
      </c>
      <c r="G413" s="11" t="str">
        <f aca="false">IF(OR(E413="",E413="!!!"),"",IF(OR(J413=0,AND(J413=1,K413=1),AND(J413=1,I413="SBJ"),AND(J413=1,I413=0)),"?IN_FOCUS",IF(J413&lt;=2,"?ACTIVATED",IF(J413&lt;&gt;"","?FAMILIAR",IF(F413="NEW",IF(ISNA(VLOOKUP(E413,#REF!,1,FALSE())),"?TYPE_IDENTIFIABLE","?REFERENTIAL"),"_")))))</f>
        <v/>
      </c>
      <c r="H413" s="12" t="str">
        <f aca="false">IF(J413&lt;&gt;1,"",IF(I413="SBJ","CB","?"))</f>
        <v/>
      </c>
      <c r="I413" s="13" t="str">
        <f aca="false">IF(OR(E413="",E413="!!!",F413="NEW"),"",INDEX(B$2:B412,-1+SUMPRODUCT(MAX(ROW(E$2:E412)*(E413=E$2:E412)))))</f>
        <v/>
      </c>
      <c r="J413" s="14" t="str">
        <f aca="true">IF(OR(E413="",E413="!!!",F413="NEW"),"",COUNTBLANK(OFFSET(A$1,,,SUMPRODUCT(MAX(ROW(E$2:E413)*(E413=E$2:E413)))))-COUNTBLANK(OFFSET(A$1,,,SUMPRODUCT(MAX(ROW(E$1:E412)*(E413=E$1:E412))))))</f>
        <v/>
      </c>
      <c r="K413" s="14" t="str">
        <f aca="false">IF(OR(E413="",E413="!!!",F413="NEW"),"",INDEX(J$1:J412,SUMPRODUCT(MAX(ROW(E$1:E412)*(E413=E$1:E412)))))</f>
        <v/>
      </c>
      <c r="L413" s="15"/>
    </row>
    <row r="414" customFormat="false" ht="12.75" hidden="false" customHeight="false" outlineLevel="0" collapsed="false">
      <c r="E414" s="9" t="str">
        <f aca="false">IF(D414="?OLD","!!!","")</f>
        <v/>
      </c>
      <c r="F414" s="10" t="str">
        <f aca="false">IF(OR(E414="",E414="!!!"),"",IF(NOT(ISNA(VLOOKUP(E414,E$1:E413,1,FALSE()))),"OLD",IF(AND(E414&lt;&gt;"",E414&lt;&gt;"!!!"),"NEW","")))</f>
        <v/>
      </c>
      <c r="G414" s="11" t="str">
        <f aca="false">IF(OR(E414="",E414="!!!"),"",IF(OR(J414=0,AND(J414=1,K414=1),AND(J414=1,I414="SBJ"),AND(J414=1,I414=0)),"?IN_FOCUS",IF(J414&lt;=2,"?ACTIVATED",IF(J414&lt;&gt;"","?FAMILIAR",IF(F414="NEW",IF(ISNA(VLOOKUP(E414,#REF!,1,FALSE())),"?TYPE_IDENTIFIABLE","?REFERENTIAL"),"_")))))</f>
        <v/>
      </c>
      <c r="H414" s="12" t="str">
        <f aca="false">IF(J414&lt;&gt;1,"",IF(I414="SBJ","CB","?"))</f>
        <v/>
      </c>
      <c r="I414" s="13" t="str">
        <f aca="false">IF(OR(E414="",E414="!!!",F414="NEW"),"",INDEX(B$2:B413,-1+SUMPRODUCT(MAX(ROW(E$2:E413)*(E414=E$2:E413)))))</f>
        <v/>
      </c>
      <c r="J414" s="14" t="str">
        <f aca="true">IF(OR(E414="",E414="!!!",F414="NEW"),"",COUNTBLANK(OFFSET(A$1,,,SUMPRODUCT(MAX(ROW(E$2:E414)*(E414=E$2:E414)))))-COUNTBLANK(OFFSET(A$1,,,SUMPRODUCT(MAX(ROW(E$1:E413)*(E414=E$1:E413))))))</f>
        <v/>
      </c>
      <c r="K414" s="14" t="str">
        <f aca="false">IF(OR(E414="",E414="!!!",F414="NEW"),"",INDEX(J$1:J413,SUMPRODUCT(MAX(ROW(E$1:E413)*(E414=E$1:E413)))))</f>
        <v/>
      </c>
      <c r="L414" s="15"/>
    </row>
    <row r="415" customFormat="false" ht="12.75" hidden="false" customHeight="false" outlineLevel="0" collapsed="false">
      <c r="A415" s="0" t="s">
        <v>260</v>
      </c>
      <c r="E415" s="9" t="str">
        <f aca="false">IF(D415="?OLD","!!!","")</f>
        <v/>
      </c>
      <c r="F415" s="10" t="str">
        <f aca="false">IF(OR(E415="",E415="!!!"),"",IF(NOT(ISNA(VLOOKUP(E415,E$1:E414,1,FALSE()))),"OLD",IF(AND(E415&lt;&gt;"",E415&lt;&gt;"!!!"),"NEW","")))</f>
        <v/>
      </c>
      <c r="G415" s="11" t="str">
        <f aca="false">IF(OR(E415="",E415="!!!"),"",IF(OR(J415=0,AND(J415=1,K415=1),AND(J415=1,I415="SBJ"),AND(J415=1,I415=0)),"?IN_FOCUS",IF(J415&lt;=2,"?ACTIVATED",IF(J415&lt;&gt;"","?FAMILIAR",IF(F415="NEW",IF(ISNA(VLOOKUP(E415,#REF!,1,FALSE())),"?TYPE_IDENTIFIABLE","?REFERENTIAL"),"_")))))</f>
        <v/>
      </c>
      <c r="H415" s="12" t="str">
        <f aca="false">IF(J415&lt;&gt;1,"",IF(I415="SBJ","CB","?"))</f>
        <v/>
      </c>
      <c r="I415" s="13" t="str">
        <f aca="false">IF(OR(E415="",E415="!!!",F415="NEW"),"",INDEX(B$2:B414,-1+SUMPRODUCT(MAX(ROW(E$2:E414)*(E415=E$2:E414)))))</f>
        <v/>
      </c>
      <c r="J415" s="14" t="str">
        <f aca="true">IF(OR(E415="",E415="!!!",F415="NEW"),"",COUNTBLANK(OFFSET(A$1,,,SUMPRODUCT(MAX(ROW(E$2:E415)*(E415=E$2:E415)))))-COUNTBLANK(OFFSET(A$1,,,SUMPRODUCT(MAX(ROW(E$1:E414)*(E415=E$1:E414))))))</f>
        <v/>
      </c>
      <c r="K415" s="14" t="str">
        <f aca="false">IF(OR(E415="",E415="!!!",F415="NEW"),"",INDEX(J$1:J414,SUMPRODUCT(MAX(ROW(E$1:E414)*(E415=E$1:E414)))))</f>
        <v/>
      </c>
      <c r="L415" s="15"/>
    </row>
    <row r="416" customFormat="false" ht="12.75" hidden="false" customHeight="false" outlineLevel="0" collapsed="false">
      <c r="A416" s="0" t="s">
        <v>292</v>
      </c>
      <c r="E416" s="9" t="str">
        <f aca="false">IF(D416="?OLD","!!!","")</f>
        <v/>
      </c>
      <c r="F416" s="10" t="str">
        <f aca="false">IF(OR(E416="",E416="!!!"),"",IF(NOT(ISNA(VLOOKUP(E416,E$1:E415,1,FALSE()))),"OLD",IF(AND(E416&lt;&gt;"",E416&lt;&gt;"!!!"),"NEW","")))</f>
        <v/>
      </c>
      <c r="G416" s="11" t="str">
        <f aca="false">IF(OR(E416="",E416="!!!"),"",IF(OR(J416=0,AND(J416=1,K416=1),AND(J416=1,I416="SBJ"),AND(J416=1,I416=0)),"?IN_FOCUS",IF(J416&lt;=2,"?ACTIVATED",IF(J416&lt;&gt;"","?FAMILIAR",IF(F416="NEW",IF(ISNA(VLOOKUP(E416,#REF!,1,FALSE())),"?TYPE_IDENTIFIABLE","?REFERENTIAL"),"_")))))</f>
        <v/>
      </c>
      <c r="H416" s="12" t="str">
        <f aca="false">IF(J416&lt;&gt;1,"",IF(I416="SBJ","CB","?"))</f>
        <v/>
      </c>
      <c r="I416" s="13" t="str">
        <f aca="false">IF(OR(E416="",E416="!!!",F416="NEW"),"",INDEX(B$2:B415,-1+SUMPRODUCT(MAX(ROW(E$2:E415)*(E416=E$2:E415)))))</f>
        <v/>
      </c>
      <c r="J416" s="14" t="str">
        <f aca="true">IF(OR(E416="",E416="!!!",F416="NEW"),"",COUNTBLANK(OFFSET(A$1,,,SUMPRODUCT(MAX(ROW(E$2:E416)*(E416=E$2:E416)))))-COUNTBLANK(OFFSET(A$1,,,SUMPRODUCT(MAX(ROW(E$1:E415)*(E416=E$1:E415))))))</f>
        <v/>
      </c>
      <c r="K416" s="14" t="str">
        <f aca="false">IF(OR(E416="",E416="!!!",F416="NEW"),"",INDEX(J$1:J415,SUMPRODUCT(MAX(ROW(E$1:E415)*(E416=E$1:E415)))))</f>
        <v/>
      </c>
      <c r="L416" s="15"/>
    </row>
    <row r="417" customFormat="false" ht="12.75" hidden="false" customHeight="false" outlineLevel="0" collapsed="false">
      <c r="A417" s="0" t="s">
        <v>170</v>
      </c>
      <c r="B417" s="0" t="s">
        <v>28</v>
      </c>
      <c r="C417" s="0" t="s">
        <v>55</v>
      </c>
      <c r="D417" s="0" t="s">
        <v>29</v>
      </c>
      <c r="E417" s="9" t="s">
        <v>24</v>
      </c>
      <c r="F417" s="10" t="str">
        <f aca="false">IF(OR(E417="",E417="!!!"),"",IF(NOT(ISNA(VLOOKUP(E417,E$1:E416,1,FALSE()))),"OLD",IF(AND(E417&lt;&gt;"",E417&lt;&gt;"!!!"),"NEW","")))</f>
        <v>OLD</v>
      </c>
      <c r="G417" s="11" t="s">
        <v>25</v>
      </c>
      <c r="H417" s="12" t="str">
        <f aca="false">IF(J417&lt;&gt;1,"",IF(I417="SBJ","CB","?"))</f>
        <v/>
      </c>
      <c r="I417" s="13" t="str">
        <f aca="false">IF(OR(E417="",E417="!!!",F417="NEW"),"",INDEX(B$2:B416,-1+SUMPRODUCT(MAX(ROW(E$2:E416)*(E417=E$2:E416)))))</f>
        <v>other_7</v>
      </c>
      <c r="J417" s="14" t="n">
        <f aca="true">IF(OR(E417="",E417="!!!",F417="NEW"),"",COUNTBLANK(OFFSET(A$1,,,SUMPRODUCT(MAX(ROW(E$2:E417)*(E417=E$2:E417)))))-COUNTBLANK(OFFSET(A$1,,,SUMPRODUCT(MAX(ROW(E$1:E416)*(E417=E$1:E416))))))</f>
        <v>11</v>
      </c>
      <c r="K417" s="14" t="n">
        <f aca="false">IF(OR(E417="",E417="!!!",F417="NEW"),"",INDEX(J$1:J416,SUMPRODUCT(MAX(ROW(E$1:E416)*(E417=E$1:E416)))))</f>
        <v>2</v>
      </c>
      <c r="L417" s="15"/>
    </row>
    <row r="418" customFormat="false" ht="12.75" hidden="false" customHeight="false" outlineLevel="0" collapsed="false">
      <c r="A418" s="0" t="s">
        <v>293</v>
      </c>
      <c r="B418" s="0" t="s">
        <v>14</v>
      </c>
      <c r="C418" s="0" t="s">
        <v>15</v>
      </c>
      <c r="D418" s="0" t="s">
        <v>29</v>
      </c>
      <c r="E418" s="9" t="s">
        <v>123</v>
      </c>
      <c r="F418" s="10" t="str">
        <f aca="false">IF(OR(E418="",E418="!!!"),"",IF(NOT(ISNA(VLOOKUP(E418,E$1:E417,1,FALSE()))),"OLD",IF(AND(E418&lt;&gt;"",E418&lt;&gt;"!!!"),"NEW","")))</f>
        <v>OLD</v>
      </c>
      <c r="G418" s="11" t="s">
        <v>39</v>
      </c>
      <c r="H418" s="12" t="str">
        <f aca="false">IF(J418&lt;&gt;1,"",IF(I418="SBJ","CB","?"))</f>
        <v/>
      </c>
      <c r="I418" s="13" t="str">
        <f aca="false">IF(OR(E418="",E418="!!!",F418="NEW"),"",INDEX(B$2:B417,-1+SUMPRODUCT(MAX(ROW(E$2:E417)*(E418=E$2:E417)))))</f>
        <v>other</v>
      </c>
      <c r="J418" s="14" t="n">
        <f aca="true">IF(OR(E418="",E418="!!!",F418="NEW"),"",COUNTBLANK(OFFSET(A$1,,,SUMPRODUCT(MAX(ROW(E$2:E418)*(E418=E$2:E418)))))-COUNTBLANK(OFFSET(A$1,,,SUMPRODUCT(MAX(ROW(E$1:E417)*(E418=E$1:E417))))))</f>
        <v>7</v>
      </c>
      <c r="K418" s="14" t="n">
        <f aca="false">IF(OR(E418="",E418="!!!",F418="NEW"),"",INDEX(J$1:J417,SUMPRODUCT(MAX(ROW(E$1:E417)*(E418=E$1:E417)))))</f>
        <v>3</v>
      </c>
      <c r="L418" s="15"/>
    </row>
    <row r="419" customFormat="false" ht="12.75" hidden="false" customHeight="false" outlineLevel="0" collapsed="false">
      <c r="A419" s="0" t="s">
        <v>88</v>
      </c>
      <c r="E419" s="9" t="str">
        <f aca="false">IF(D419="?OLD","!!!","")</f>
        <v/>
      </c>
      <c r="F419" s="10" t="str">
        <f aca="false">IF(OR(E419="",E419="!!!"),"",IF(NOT(ISNA(VLOOKUP(E419,E$1:E418,1,FALSE()))),"OLD",IF(AND(E419&lt;&gt;"",E419&lt;&gt;"!!!"),"NEW","")))</f>
        <v/>
      </c>
      <c r="G419" s="11" t="str">
        <f aca="false">IF(OR(E419="",E419="!!!"),"",IF(OR(J419=0,AND(J419=1,K419=1),AND(J419=1,I419="SBJ"),AND(J419=1,I419=0)),"?IN_FOCUS",IF(J419&lt;=2,"?ACTIVATED",IF(J419&lt;&gt;"","?FAMILIAR",IF(F419="NEW",IF(ISNA(VLOOKUP(E419,#REF!,1,FALSE())),"?TYPE_IDENTIFIABLE","?REFERENTIAL"),"_")))))</f>
        <v/>
      </c>
      <c r="H419" s="12" t="str">
        <f aca="false">IF(J419&lt;&gt;1,"",IF(I419="SBJ","CB","?"))</f>
        <v/>
      </c>
      <c r="I419" s="13" t="str">
        <f aca="false">IF(OR(E419="",E419="!!!",F419="NEW"),"",INDEX(B$2:B418,-1+SUMPRODUCT(MAX(ROW(E$2:E418)*(E419=E$2:E418)))))</f>
        <v/>
      </c>
      <c r="J419" s="14" t="str">
        <f aca="true">IF(OR(E419="",E419="!!!",F419="NEW"),"",COUNTBLANK(OFFSET(A$1,,,SUMPRODUCT(MAX(ROW(E$2:E419)*(E419=E$2:E419)))))-COUNTBLANK(OFFSET(A$1,,,SUMPRODUCT(MAX(ROW(E$1:E418)*(E419=E$1:E418))))))</f>
        <v/>
      </c>
      <c r="K419" s="14" t="str">
        <f aca="false">IF(OR(E419="",E419="!!!",F419="NEW"),"",INDEX(J$1:J418,SUMPRODUCT(MAX(ROW(E$1:E418)*(E419=E$1:E418)))))</f>
        <v/>
      </c>
      <c r="L419" s="15"/>
    </row>
    <row r="420" customFormat="false" ht="12.75" hidden="false" customHeight="false" outlineLevel="0" collapsed="false">
      <c r="A420" s="0" t="s">
        <v>122</v>
      </c>
      <c r="B420" s="0" t="s">
        <v>28</v>
      </c>
      <c r="C420" s="0" t="s">
        <v>38</v>
      </c>
      <c r="D420" s="0" t="s">
        <v>29</v>
      </c>
      <c r="E420" s="9" t="s">
        <v>24</v>
      </c>
      <c r="F420" s="10" t="str">
        <f aca="false">IF(OR(E420="",E420="!!!"),"",IF(NOT(ISNA(VLOOKUP(E420,E$1:E419,1,FALSE()))),"OLD",IF(AND(E420&lt;&gt;"",E420&lt;&gt;"!!!"),"NEW","")))</f>
        <v>OLD</v>
      </c>
      <c r="G420" s="11" t="s">
        <v>39</v>
      </c>
      <c r="H420" s="12" t="str">
        <f aca="false">IF(J420&lt;&gt;1,"",IF(I420="SBJ","CB","?"))</f>
        <v/>
      </c>
      <c r="I420" s="13" t="str">
        <f aca="false">IF(OR(E420="",E420="!!!",F420="NEW"),"",INDEX(B$2:B419,-1+SUMPRODUCT(MAX(ROW(E$2:E419)*(E420=E$2:E419)))))</f>
        <v>other_2</v>
      </c>
      <c r="J420" s="14" t="n">
        <f aca="true">IF(OR(E420="",E420="!!!",F420="NEW"),"",COUNTBLANK(OFFSET(A$1,,,SUMPRODUCT(MAX(ROW(E$2:E420)*(E420=E$2:E420)))))-COUNTBLANK(OFFSET(A$1,,,SUMPRODUCT(MAX(ROW(E$1:E419)*(E420=E$1:E419))))))</f>
        <v>0</v>
      </c>
      <c r="K420" s="14" t="n">
        <f aca="false">IF(OR(E420="",E420="!!!",F420="NEW"),"",INDEX(J$1:J419,SUMPRODUCT(MAX(ROW(E$1:E419)*(E420=E$1:E419)))))</f>
        <v>11</v>
      </c>
      <c r="L420" s="15"/>
    </row>
    <row r="421" customFormat="false" ht="12.75" hidden="false" customHeight="false" outlineLevel="0" collapsed="false">
      <c r="A421" s="0" t="s">
        <v>294</v>
      </c>
      <c r="E421" s="9" t="str">
        <f aca="false">IF(D421="?OLD","!!!","")</f>
        <v/>
      </c>
      <c r="F421" s="10" t="str">
        <f aca="false">IF(OR(E421="",E421="!!!"),"",IF(NOT(ISNA(VLOOKUP(E421,E$1:E420,1,FALSE()))),"OLD",IF(AND(E421&lt;&gt;"",E421&lt;&gt;"!!!"),"NEW","")))</f>
        <v/>
      </c>
      <c r="G421" s="11" t="str">
        <f aca="false">IF(OR(E421="",E421="!!!"),"",IF(OR(J421=0,AND(J421=1,K421=1),AND(J421=1,I421="SBJ"),AND(J421=1,I421=0)),"?IN_FOCUS",IF(J421&lt;=2,"?ACTIVATED",IF(J421&lt;&gt;"","?FAMILIAR",IF(F421="NEW",IF(ISNA(VLOOKUP(E421,#REF!,1,FALSE())),"?TYPE_IDENTIFIABLE","?REFERENTIAL"),"_")))))</f>
        <v/>
      </c>
      <c r="H421" s="12" t="str">
        <f aca="false">IF(J421&lt;&gt;1,"",IF(I421="SBJ","CB","?"))</f>
        <v/>
      </c>
      <c r="I421" s="13" t="str">
        <f aca="false">IF(OR(E421="",E421="!!!",F421="NEW"),"",INDEX(B$2:B420,-1+SUMPRODUCT(MAX(ROW(E$2:E420)*(E421=E$2:E420)))))</f>
        <v/>
      </c>
      <c r="J421" s="14" t="str">
        <f aca="true">IF(OR(E421="",E421="!!!",F421="NEW"),"",COUNTBLANK(OFFSET(A$1,,,SUMPRODUCT(MAX(ROW(E$2:E421)*(E421=E$2:E421)))))-COUNTBLANK(OFFSET(A$1,,,SUMPRODUCT(MAX(ROW(E$1:E420)*(E421=E$1:E420))))))</f>
        <v/>
      </c>
      <c r="K421" s="14" t="str">
        <f aca="false">IF(OR(E421="",E421="!!!",F421="NEW"),"",INDEX(J$1:J420,SUMPRODUCT(MAX(ROW(E$1:E420)*(E421=E$1:E420)))))</f>
        <v/>
      </c>
      <c r="L421" s="15"/>
    </row>
    <row r="422" customFormat="false" ht="12.75" hidden="false" customHeight="false" outlineLevel="0" collapsed="false">
      <c r="A422" s="0" t="s">
        <v>99</v>
      </c>
      <c r="E422" s="9" t="str">
        <f aca="false">IF(D422="?OLD","!!!","")</f>
        <v/>
      </c>
      <c r="F422" s="10" t="str">
        <f aca="false">IF(OR(E422="",E422="!!!"),"",IF(NOT(ISNA(VLOOKUP(E422,E$1:E421,1,FALSE()))),"OLD",IF(AND(E422&lt;&gt;"",E422&lt;&gt;"!!!"),"NEW","")))</f>
        <v/>
      </c>
      <c r="G422" s="11" t="str">
        <f aca="false">IF(OR(E422="",E422="!!!"),"",IF(OR(J422=0,AND(J422=1,K422=1),AND(J422=1,I422="SBJ"),AND(J422=1,I422=0)),"?IN_FOCUS",IF(J422&lt;=2,"?ACTIVATED",IF(J422&lt;&gt;"","?FAMILIAR",IF(F422="NEW",IF(ISNA(VLOOKUP(E422,#REF!,1,FALSE())),"?TYPE_IDENTIFIABLE","?REFERENTIAL"),"_")))))</f>
        <v/>
      </c>
      <c r="H422" s="12" t="str">
        <f aca="false">IF(J422&lt;&gt;1,"",IF(I422="SBJ","CB","?"))</f>
        <v/>
      </c>
      <c r="I422" s="13" t="str">
        <f aca="false">IF(OR(E422="",E422="!!!",F422="NEW"),"",INDEX(B$2:B421,-1+SUMPRODUCT(MAX(ROW(E$2:E421)*(E422=E$2:E421)))))</f>
        <v/>
      </c>
      <c r="J422" s="14" t="str">
        <f aca="true">IF(OR(E422="",E422="!!!",F422="NEW"),"",COUNTBLANK(OFFSET(A$1,,,SUMPRODUCT(MAX(ROW(E$2:E422)*(E422=E$2:E422)))))-COUNTBLANK(OFFSET(A$1,,,SUMPRODUCT(MAX(ROW(E$1:E421)*(E422=E$1:E421))))))</f>
        <v/>
      </c>
      <c r="K422" s="14" t="str">
        <f aca="false">IF(OR(E422="",E422="!!!",F422="NEW"),"",INDEX(J$1:J421,SUMPRODUCT(MAX(ROW(E$1:E421)*(E422=E$1:E421)))))</f>
        <v/>
      </c>
      <c r="L422" s="15"/>
    </row>
    <row r="423" customFormat="false" ht="12.75" hidden="false" customHeight="false" outlineLevel="0" collapsed="false">
      <c r="A423" s="0" t="s">
        <v>295</v>
      </c>
      <c r="E423" s="9" t="str">
        <f aca="false">IF(D423="?OLD","!!!","")</f>
        <v/>
      </c>
      <c r="F423" s="10" t="str">
        <f aca="false">IF(OR(E423="",E423="!!!"),"",IF(NOT(ISNA(VLOOKUP(E423,E$1:E422,1,FALSE()))),"OLD",IF(AND(E423&lt;&gt;"",E423&lt;&gt;"!!!"),"NEW","")))</f>
        <v/>
      </c>
      <c r="G423" s="11" t="str">
        <f aca="false">IF(OR(E423="",E423="!!!"),"",IF(OR(J423=0,AND(J423=1,K423=1),AND(J423=1,I423="SBJ"),AND(J423=1,I423=0)),"?IN_FOCUS",IF(J423&lt;=2,"?ACTIVATED",IF(J423&lt;&gt;"","?FAMILIAR",IF(F423="NEW",IF(ISNA(VLOOKUP(E423,#REF!,1,FALSE())),"?TYPE_IDENTIFIABLE","?REFERENTIAL"),"_")))))</f>
        <v/>
      </c>
      <c r="H423" s="12" t="str">
        <f aca="false">IF(J423&lt;&gt;1,"",IF(I423="SBJ","CB","?"))</f>
        <v/>
      </c>
      <c r="I423" s="13" t="str">
        <f aca="false">IF(OR(E423="",E423="!!!",F423="NEW"),"",INDEX(B$2:B422,-1+SUMPRODUCT(MAX(ROW(E$2:E422)*(E423=E$2:E422)))))</f>
        <v/>
      </c>
      <c r="J423" s="14" t="str">
        <f aca="true">IF(OR(E423="",E423="!!!",F423="NEW"),"",COUNTBLANK(OFFSET(A$1,,,SUMPRODUCT(MAX(ROW(E$2:E423)*(E423=E$2:E423)))))-COUNTBLANK(OFFSET(A$1,,,SUMPRODUCT(MAX(ROW(E$1:E422)*(E423=E$1:E422))))))</f>
        <v/>
      </c>
      <c r="K423" s="14" t="str">
        <f aca="false">IF(OR(E423="",E423="!!!",F423="NEW"),"",INDEX(J$1:J422,SUMPRODUCT(MAX(ROW(E$1:E422)*(E423=E$1:E422)))))</f>
        <v/>
      </c>
      <c r="L423" s="15"/>
    </row>
    <row r="424" customFormat="false" ht="12.75" hidden="false" customHeight="false" outlineLevel="0" collapsed="false">
      <c r="A424" s="0" t="s">
        <v>115</v>
      </c>
      <c r="E424" s="9" t="str">
        <f aca="false">IF(D424="?OLD","!!!","")</f>
        <v/>
      </c>
      <c r="F424" s="10" t="str">
        <f aca="false">IF(OR(E424="",E424="!!!"),"",IF(NOT(ISNA(VLOOKUP(E424,E$1:E423,1,FALSE()))),"OLD",IF(AND(E424&lt;&gt;"",E424&lt;&gt;"!!!"),"NEW","")))</f>
        <v/>
      </c>
      <c r="G424" s="11" t="str">
        <f aca="false">IF(OR(E424="",E424="!!!"),"",IF(OR(J424=0,AND(J424=1,K424=1),AND(J424=1,I424="SBJ"),AND(J424=1,I424=0)),"?IN_FOCUS",IF(J424&lt;=2,"?ACTIVATED",IF(J424&lt;&gt;"","?FAMILIAR",IF(F424="NEW",IF(ISNA(VLOOKUP(E424,#REF!,1,FALSE())),"?TYPE_IDENTIFIABLE","?REFERENTIAL"),"_")))))</f>
        <v/>
      </c>
      <c r="H424" s="12" t="str">
        <f aca="false">IF(J424&lt;&gt;1,"",IF(I424="SBJ","CB","?"))</f>
        <v/>
      </c>
      <c r="I424" s="13" t="str">
        <f aca="false">IF(OR(E424="",E424="!!!",F424="NEW"),"",INDEX(B$2:B423,-1+SUMPRODUCT(MAX(ROW(E$2:E423)*(E424=E$2:E423)))))</f>
        <v/>
      </c>
      <c r="J424" s="14" t="str">
        <f aca="true">IF(OR(E424="",E424="!!!",F424="NEW"),"",COUNTBLANK(OFFSET(A$1,,,SUMPRODUCT(MAX(ROW(E$2:E424)*(E424=E$2:E424)))))-COUNTBLANK(OFFSET(A$1,,,SUMPRODUCT(MAX(ROW(E$1:E423)*(E424=E$1:E423))))))</f>
        <v/>
      </c>
      <c r="K424" s="14" t="str">
        <f aca="false">IF(OR(E424="",E424="!!!",F424="NEW"),"",INDEX(J$1:J423,SUMPRODUCT(MAX(ROW(E$1:E423)*(E424=E$1:E423)))))</f>
        <v/>
      </c>
      <c r="L424" s="15"/>
    </row>
    <row r="425" customFormat="false" ht="12.75" hidden="false" customHeight="false" outlineLevel="0" collapsed="false">
      <c r="A425" s="0" t="s">
        <v>296</v>
      </c>
      <c r="B425" s="0" t="s">
        <v>62</v>
      </c>
      <c r="C425" s="0" t="s">
        <v>120</v>
      </c>
      <c r="E425" s="9" t="str">
        <f aca="false">IF(D425="?OLD","!!!","")</f>
        <v/>
      </c>
      <c r="F425" s="10" t="str">
        <f aca="false">IF(OR(E425="",E425="!!!"),"",IF(NOT(ISNA(VLOOKUP(E425,E$1:E424,1,FALSE()))),"OLD",IF(AND(E425&lt;&gt;"",E425&lt;&gt;"!!!"),"NEW","")))</f>
        <v/>
      </c>
      <c r="G425" s="11" t="str">
        <f aca="false">IF(OR(E425="",E425="!!!"),"",IF(OR(J425=0,AND(J425=1,K425=1),AND(J425=1,I425="SBJ"),AND(J425=1,I425=0)),"?IN_FOCUS",IF(J425&lt;=2,"?ACTIVATED",IF(J425&lt;&gt;"","?FAMILIAR",IF(F425="NEW",IF(ISNA(VLOOKUP(E425,#REF!,1,FALSE())),"?TYPE_IDENTIFIABLE","?REFERENTIAL"),"_")))))</f>
        <v/>
      </c>
      <c r="H425" s="12" t="str">
        <f aca="false">IF(J425&lt;&gt;1,"",IF(I425="SBJ","CB","?"))</f>
        <v/>
      </c>
      <c r="I425" s="13" t="str">
        <f aca="false">IF(OR(E425="",E425="!!!",F425="NEW"),"",INDEX(B$2:B424,-1+SUMPRODUCT(MAX(ROW(E$2:E424)*(E425=E$2:E424)))))</f>
        <v/>
      </c>
      <c r="J425" s="14" t="str">
        <f aca="true">IF(OR(E425="",E425="!!!",F425="NEW"),"",COUNTBLANK(OFFSET(A$1,,,SUMPRODUCT(MAX(ROW(E$2:E425)*(E425=E$2:E425)))))-COUNTBLANK(OFFSET(A$1,,,SUMPRODUCT(MAX(ROW(E$1:E424)*(E425=E$1:E424))))))</f>
        <v/>
      </c>
      <c r="K425" s="14" t="str">
        <f aca="false">IF(OR(E425="",E425="!!!",F425="NEW"),"",INDEX(J$1:J424,SUMPRODUCT(MAX(ROW(E$1:E424)*(E425=E$1:E424)))))</f>
        <v/>
      </c>
      <c r="L425" s="15"/>
    </row>
    <row r="426" customFormat="false" ht="12.75" hidden="false" customHeight="false" outlineLevel="0" collapsed="false">
      <c r="A426" s="0" t="s">
        <v>73</v>
      </c>
      <c r="E426" s="9" t="str">
        <f aca="false">IF(D426="?OLD","!!!","")</f>
        <v/>
      </c>
      <c r="F426" s="10" t="str">
        <f aca="false">IF(OR(E426="",E426="!!!"),"",IF(NOT(ISNA(VLOOKUP(E426,E$1:E425,1,FALSE()))),"OLD",IF(AND(E426&lt;&gt;"",E426&lt;&gt;"!!!"),"NEW","")))</f>
        <v/>
      </c>
      <c r="G426" s="11" t="str">
        <f aca="false">IF(OR(E426="",E426="!!!"),"",IF(OR(J426=0,AND(J426=1,K426=1),AND(J426=1,I426="SBJ"),AND(J426=1,I426=0)),"?IN_FOCUS",IF(J426&lt;=2,"?ACTIVATED",IF(J426&lt;&gt;"","?FAMILIAR",IF(F426="NEW",IF(ISNA(VLOOKUP(E426,#REF!,1,FALSE())),"?TYPE_IDENTIFIABLE","?REFERENTIAL"),"_")))))</f>
        <v/>
      </c>
      <c r="H426" s="12" t="str">
        <f aca="false">IF(J426&lt;&gt;1,"",IF(I426="SBJ","CB","?"))</f>
        <v/>
      </c>
      <c r="I426" s="13" t="str">
        <f aca="false">IF(OR(E426="",E426="!!!",F426="NEW"),"",INDEX(B$2:B425,-1+SUMPRODUCT(MAX(ROW(E$2:E425)*(E426=E$2:E425)))))</f>
        <v/>
      </c>
      <c r="J426" s="14" t="str">
        <f aca="true">IF(OR(E426="",E426="!!!",F426="NEW"),"",COUNTBLANK(OFFSET(A$1,,,SUMPRODUCT(MAX(ROW(E$2:E426)*(E426=E$2:E426)))))-COUNTBLANK(OFFSET(A$1,,,SUMPRODUCT(MAX(ROW(E$1:E425)*(E426=E$1:E425))))))</f>
        <v/>
      </c>
      <c r="K426" s="14" t="str">
        <f aca="false">IF(OR(E426="",E426="!!!",F426="NEW"),"",INDEX(J$1:J425,SUMPRODUCT(MAX(ROW(E$1:E425)*(E426=E$1:E425)))))</f>
        <v/>
      </c>
      <c r="L426" s="15"/>
    </row>
    <row r="427" customFormat="false" ht="12.75" hidden="false" customHeight="false" outlineLevel="0" collapsed="false">
      <c r="A427" s="0" t="s">
        <v>262</v>
      </c>
      <c r="E427" s="9" t="str">
        <f aca="false">IF(D427="?OLD","!!!","")</f>
        <v/>
      </c>
      <c r="F427" s="10" t="str">
        <f aca="false">IF(OR(E427="",E427="!!!"),"",IF(NOT(ISNA(VLOOKUP(E427,E$1:E426,1,FALSE()))),"OLD",IF(AND(E427&lt;&gt;"",E427&lt;&gt;"!!!"),"NEW","")))</f>
        <v/>
      </c>
      <c r="G427" s="11" t="str">
        <f aca="false">IF(OR(E427="",E427="!!!"),"",IF(OR(J427=0,AND(J427=1,K427=1),AND(J427=1,I427="SBJ"),AND(J427=1,I427=0)),"?IN_FOCUS",IF(J427&lt;=2,"?ACTIVATED",IF(J427&lt;&gt;"","?FAMILIAR",IF(F427="NEW",IF(ISNA(VLOOKUP(E427,#REF!,1,FALSE())),"?TYPE_IDENTIFIABLE","?REFERENTIAL"),"_")))))</f>
        <v/>
      </c>
      <c r="H427" s="12" t="str">
        <f aca="false">IF(J427&lt;&gt;1,"",IF(I427="SBJ","CB","?"))</f>
        <v/>
      </c>
      <c r="I427" s="13" t="str">
        <f aca="false">IF(OR(E427="",E427="!!!",F427="NEW"),"",INDEX(B$2:B426,-1+SUMPRODUCT(MAX(ROW(E$2:E426)*(E427=E$2:E426)))))</f>
        <v/>
      </c>
      <c r="J427" s="14" t="str">
        <f aca="true">IF(OR(E427="",E427="!!!",F427="NEW"),"",COUNTBLANK(OFFSET(A$1,,,SUMPRODUCT(MAX(ROW(E$2:E427)*(E427=E$2:E427)))))-COUNTBLANK(OFFSET(A$1,,,SUMPRODUCT(MAX(ROW(E$1:E426)*(E427=E$1:E426))))))</f>
        <v/>
      </c>
      <c r="K427" s="14" t="str">
        <f aca="false">IF(OR(E427="",E427="!!!",F427="NEW"),"",INDEX(J$1:J426,SUMPRODUCT(MAX(ROW(E$1:E426)*(E427=E$1:E426)))))</f>
        <v/>
      </c>
      <c r="L427" s="15"/>
    </row>
    <row r="428" customFormat="false" ht="12.75" hidden="false" customHeight="false" outlineLevel="0" collapsed="false">
      <c r="E428" s="9" t="str">
        <f aca="false">IF(D428="?OLD","!!!","")</f>
        <v/>
      </c>
      <c r="F428" s="10" t="str">
        <f aca="false">IF(OR(E428="",E428="!!!"),"",IF(NOT(ISNA(VLOOKUP(E428,E$1:E427,1,FALSE()))),"OLD",IF(AND(E428&lt;&gt;"",E428&lt;&gt;"!!!"),"NEW","")))</f>
        <v/>
      </c>
      <c r="G428" s="11" t="str">
        <f aca="false">IF(OR(E428="",E428="!!!"),"",IF(OR(J428=0,AND(J428=1,K428=1),AND(J428=1,I428="SBJ"),AND(J428=1,I428=0)),"?IN_FOCUS",IF(J428&lt;=2,"?ACTIVATED",IF(J428&lt;&gt;"","?FAMILIAR",IF(F428="NEW",IF(ISNA(VLOOKUP(E428,#REF!,1,FALSE())),"?TYPE_IDENTIFIABLE","?REFERENTIAL"),"_")))))</f>
        <v/>
      </c>
      <c r="H428" s="12" t="str">
        <f aca="false">IF(J428&lt;&gt;1,"",IF(I428="SBJ","CB","?"))</f>
        <v/>
      </c>
      <c r="I428" s="13" t="str">
        <f aca="false">IF(OR(E428="",E428="!!!",F428="NEW"),"",INDEX(B$2:B427,-1+SUMPRODUCT(MAX(ROW(E$2:E427)*(E428=E$2:E427)))))</f>
        <v/>
      </c>
      <c r="J428" s="14" t="str">
        <f aca="true">IF(OR(E428="",E428="!!!",F428="NEW"),"",COUNTBLANK(OFFSET(A$1,,,SUMPRODUCT(MAX(ROW(E$2:E428)*(E428=E$2:E428)))))-COUNTBLANK(OFFSET(A$1,,,SUMPRODUCT(MAX(ROW(E$1:E427)*(E428=E$1:E427))))))</f>
        <v/>
      </c>
      <c r="K428" s="14" t="str">
        <f aca="false">IF(OR(E428="",E428="!!!",F428="NEW"),"",INDEX(J$1:J427,SUMPRODUCT(MAX(ROW(E$1:E427)*(E428=E$1:E427)))))</f>
        <v/>
      </c>
      <c r="L428" s="15"/>
    </row>
    <row r="429" customFormat="false" ht="12.75" hidden="false" customHeight="false" outlineLevel="0" collapsed="false">
      <c r="A429" s="0" t="s">
        <v>260</v>
      </c>
      <c r="E429" s="9" t="str">
        <f aca="false">IF(D429="?OLD","!!!","")</f>
        <v/>
      </c>
      <c r="F429" s="10" t="str">
        <f aca="false">IF(OR(E429="",E429="!!!"),"",IF(NOT(ISNA(VLOOKUP(E429,E$1:E428,1,FALSE()))),"OLD",IF(AND(E429&lt;&gt;"",E429&lt;&gt;"!!!"),"NEW","")))</f>
        <v/>
      </c>
      <c r="G429" s="11" t="str">
        <f aca="false">IF(OR(E429="",E429="!!!"),"",IF(OR(J429=0,AND(J429=1,K429=1),AND(J429=1,I429="SBJ"),AND(J429=1,I429=0)),"?IN_FOCUS",IF(J429&lt;=2,"?ACTIVATED",IF(J429&lt;&gt;"","?FAMILIAR",IF(F429="NEW",IF(ISNA(VLOOKUP(E429,#REF!,1,FALSE())),"?TYPE_IDENTIFIABLE","?REFERENTIAL"),"_")))))</f>
        <v/>
      </c>
      <c r="H429" s="12" t="str">
        <f aca="false">IF(J429&lt;&gt;1,"",IF(I429="SBJ","CB","?"))</f>
        <v/>
      </c>
      <c r="I429" s="13" t="str">
        <f aca="false">IF(OR(E429="",E429="!!!",F429="NEW"),"",INDEX(B$2:B428,-1+SUMPRODUCT(MAX(ROW(E$2:E428)*(E429=E$2:E428)))))</f>
        <v/>
      </c>
      <c r="J429" s="14" t="str">
        <f aca="true">IF(OR(E429="",E429="!!!",F429="NEW"),"",COUNTBLANK(OFFSET(A$1,,,SUMPRODUCT(MAX(ROW(E$2:E429)*(E429=E$2:E429)))))-COUNTBLANK(OFFSET(A$1,,,SUMPRODUCT(MAX(ROW(E$1:E428)*(E429=E$1:E428))))))</f>
        <v/>
      </c>
      <c r="K429" s="14" t="str">
        <f aca="false">IF(OR(E429="",E429="!!!",F429="NEW"),"",INDEX(J$1:J428,SUMPRODUCT(MAX(ROW(E$1:E428)*(E429=E$1:E428)))))</f>
        <v/>
      </c>
      <c r="L429" s="15"/>
    </row>
    <row r="430" customFormat="false" ht="12.75" hidden="false" customHeight="false" outlineLevel="0" collapsed="false">
      <c r="A430" s="0" t="s">
        <v>297</v>
      </c>
      <c r="E430" s="9" t="str">
        <f aca="false">IF(D430="?OLD","!!!","")</f>
        <v/>
      </c>
      <c r="F430" s="10" t="str">
        <f aca="false">IF(OR(E430="",E430="!!!"),"",IF(NOT(ISNA(VLOOKUP(E430,E$1:E429,1,FALSE()))),"OLD",IF(AND(E430&lt;&gt;"",E430&lt;&gt;"!!!"),"NEW","")))</f>
        <v/>
      </c>
      <c r="G430" s="11" t="str">
        <f aca="false">IF(OR(E430="",E430="!!!"),"",IF(OR(J430=0,AND(J430=1,K430=1),AND(J430=1,I430="SBJ"),AND(J430=1,I430=0)),"?IN_FOCUS",IF(J430&lt;=2,"?ACTIVATED",IF(J430&lt;&gt;"","?FAMILIAR",IF(F430="NEW",IF(ISNA(VLOOKUP(E430,#REF!,1,FALSE())),"?TYPE_IDENTIFIABLE","?REFERENTIAL"),"_")))))</f>
        <v/>
      </c>
      <c r="H430" s="12" t="str">
        <f aca="false">IF(J430&lt;&gt;1,"",IF(I430="SBJ","CB","?"))</f>
        <v/>
      </c>
      <c r="I430" s="13" t="str">
        <f aca="false">IF(OR(E430="",E430="!!!",F430="NEW"),"",INDEX(B$2:B429,-1+SUMPRODUCT(MAX(ROW(E$2:E429)*(E430=E$2:E429)))))</f>
        <v/>
      </c>
      <c r="J430" s="14" t="str">
        <f aca="true">IF(OR(E430="",E430="!!!",F430="NEW"),"",COUNTBLANK(OFFSET(A$1,,,SUMPRODUCT(MAX(ROW(E$2:E430)*(E430=E$2:E430)))))-COUNTBLANK(OFFSET(A$1,,,SUMPRODUCT(MAX(ROW(E$1:E429)*(E430=E$1:E429))))))</f>
        <v/>
      </c>
      <c r="K430" s="14" t="str">
        <f aca="false">IF(OR(E430="",E430="!!!",F430="NEW"),"",INDEX(J$1:J429,SUMPRODUCT(MAX(ROW(E$1:E429)*(E430=E$1:E429)))))</f>
        <v/>
      </c>
      <c r="L430" s="15"/>
    </row>
    <row r="431" customFormat="false" ht="12.75" hidden="false" customHeight="false" outlineLevel="0" collapsed="false">
      <c r="A431" s="0" t="s">
        <v>262</v>
      </c>
      <c r="E431" s="9" t="str">
        <f aca="false">IF(D431="?OLD","!!!","")</f>
        <v/>
      </c>
      <c r="F431" s="10" t="str">
        <f aca="false">IF(OR(E431="",E431="!!!"),"",IF(NOT(ISNA(VLOOKUP(E431,E$1:E430,1,FALSE()))),"OLD",IF(AND(E431&lt;&gt;"",E431&lt;&gt;"!!!"),"NEW","")))</f>
        <v/>
      </c>
      <c r="G431" s="11" t="str">
        <f aca="false">IF(OR(E431="",E431="!!!"),"",IF(OR(J431=0,AND(J431=1,K431=1),AND(J431=1,I431="SBJ"),AND(J431=1,I431=0)),"?IN_FOCUS",IF(J431&lt;=2,"?ACTIVATED",IF(J431&lt;&gt;"","?FAMILIAR",IF(F431="NEW",IF(ISNA(VLOOKUP(E431,#REF!,1,FALSE())),"?TYPE_IDENTIFIABLE","?REFERENTIAL"),"_")))))</f>
        <v/>
      </c>
      <c r="H431" s="12" t="str">
        <f aca="false">IF(J431&lt;&gt;1,"",IF(I431="SBJ","CB","?"))</f>
        <v/>
      </c>
      <c r="I431" s="13" t="str">
        <f aca="false">IF(OR(E431="",E431="!!!",F431="NEW"),"",INDEX(B$2:B430,-1+SUMPRODUCT(MAX(ROW(E$2:E430)*(E431=E$2:E430)))))</f>
        <v/>
      </c>
      <c r="J431" s="14" t="str">
        <f aca="true">IF(OR(E431="",E431="!!!",F431="NEW"),"",COUNTBLANK(OFFSET(A$1,,,SUMPRODUCT(MAX(ROW(E$2:E431)*(E431=E$2:E431)))))-COUNTBLANK(OFFSET(A$1,,,SUMPRODUCT(MAX(ROW(E$1:E430)*(E431=E$1:E430))))))</f>
        <v/>
      </c>
      <c r="K431" s="14" t="str">
        <f aca="false">IF(OR(E431="",E431="!!!",F431="NEW"),"",INDEX(J$1:J430,SUMPRODUCT(MAX(ROW(E$1:E430)*(E431=E$1:E430)))))</f>
        <v/>
      </c>
      <c r="L431" s="15"/>
    </row>
    <row r="432" customFormat="false" ht="12.75" hidden="false" customHeight="false" outlineLevel="0" collapsed="false">
      <c r="A432" s="0" t="s">
        <v>298</v>
      </c>
      <c r="B432" s="0" t="s">
        <v>42</v>
      </c>
      <c r="C432" s="0" t="s">
        <v>38</v>
      </c>
      <c r="D432" s="0" t="s">
        <v>29</v>
      </c>
      <c r="E432" s="9" t="s">
        <v>24</v>
      </c>
      <c r="F432" s="10" t="str">
        <f aca="false">IF(OR(E432="",E432="!!!"),"",IF(NOT(ISNA(VLOOKUP(E432,E$1:E431,1,FALSE()))),"OLD",IF(AND(E432&lt;&gt;"",E432&lt;&gt;"!!!"),"NEW","")))</f>
        <v>OLD</v>
      </c>
      <c r="G432" s="11" t="s">
        <v>25</v>
      </c>
      <c r="H432" s="12" t="s">
        <v>7</v>
      </c>
      <c r="I432" s="13" t="str">
        <f aca="false">IF(OR(E432="",E432="!!!",F432="NEW"),"",INDEX(B$2:B431,-1+SUMPRODUCT(MAX(ROW(E$2:E431)*(E432=E$2:E431)))))</f>
        <v>other_2</v>
      </c>
      <c r="J432" s="14" t="n">
        <f aca="true">IF(OR(E432="",E432="!!!",F432="NEW"),"",COUNTBLANK(OFFSET(A$1,,,SUMPRODUCT(MAX(ROW(E$2:E432)*(E432=E$2:E432)))))-COUNTBLANK(OFFSET(A$1,,,SUMPRODUCT(MAX(ROW(E$1:E431)*(E432=E$1:E431))))))</f>
        <v>1</v>
      </c>
      <c r="K432" s="14" t="n">
        <f aca="false">IF(OR(E432="",E432="!!!",F432="NEW"),"",INDEX(J$1:J431,SUMPRODUCT(MAX(ROW(E$1:E431)*(E432=E$1:E431)))))</f>
        <v>0</v>
      </c>
      <c r="L432" s="15"/>
    </row>
    <row r="433" customFormat="false" ht="12.75" hidden="false" customHeight="false" outlineLevel="0" collapsed="false">
      <c r="A433" s="0" t="s">
        <v>299</v>
      </c>
      <c r="E433" s="9" t="str">
        <f aca="false">IF(D433="?OLD","!!!","")</f>
        <v/>
      </c>
      <c r="F433" s="10" t="str">
        <f aca="false">IF(OR(E433="",E433="!!!"),"",IF(NOT(ISNA(VLOOKUP(E433,E$1:E432,1,FALSE()))),"OLD",IF(AND(E433&lt;&gt;"",E433&lt;&gt;"!!!"),"NEW","")))</f>
        <v/>
      </c>
      <c r="G433" s="11" t="str">
        <f aca="false">IF(OR(E433="",E433="!!!"),"",IF(OR(J433=0,AND(J433=1,K433=1),AND(J433=1,I433="SBJ"),AND(J433=1,I433=0)),"?IN_FOCUS",IF(J433&lt;=2,"?ACTIVATED",IF(J433&lt;&gt;"","?FAMILIAR",IF(F433="NEW",IF(ISNA(VLOOKUP(E433,#REF!,1,FALSE())),"?TYPE_IDENTIFIABLE","?REFERENTIAL"),"_")))))</f>
        <v/>
      </c>
      <c r="H433" s="12" t="str">
        <f aca="false">IF(J433&lt;&gt;1,"",IF(I433="SBJ","CB","?"))</f>
        <v/>
      </c>
      <c r="I433" s="13" t="str">
        <f aca="false">IF(OR(E433="",E433="!!!",F433="NEW"),"",INDEX(B$2:B432,-1+SUMPRODUCT(MAX(ROW(E$2:E432)*(E433=E$2:E432)))))</f>
        <v/>
      </c>
      <c r="J433" s="14" t="str">
        <f aca="true">IF(OR(E433="",E433="!!!",F433="NEW"),"",COUNTBLANK(OFFSET(A$1,,,SUMPRODUCT(MAX(ROW(E$2:E433)*(E433=E$2:E433)))))-COUNTBLANK(OFFSET(A$1,,,SUMPRODUCT(MAX(ROW(E$1:E432)*(E433=E$1:E432))))))</f>
        <v/>
      </c>
      <c r="K433" s="14" t="str">
        <f aca="false">IF(OR(E433="",E433="!!!",F433="NEW"),"",INDEX(J$1:J432,SUMPRODUCT(MAX(ROW(E$1:E432)*(E433=E$1:E432)))))</f>
        <v/>
      </c>
      <c r="L433" s="15"/>
    </row>
    <row r="434" customFormat="false" ht="12.75" hidden="false" customHeight="false" outlineLevel="0" collapsed="false">
      <c r="A434" s="0" t="s">
        <v>300</v>
      </c>
      <c r="E434" s="9" t="str">
        <f aca="false">IF(D434="?OLD","!!!","")</f>
        <v/>
      </c>
      <c r="F434" s="10" t="str">
        <f aca="false">IF(OR(E434="",E434="!!!"),"",IF(NOT(ISNA(VLOOKUP(E434,E$1:E433,1,FALSE()))),"OLD",IF(AND(E434&lt;&gt;"",E434&lt;&gt;"!!!"),"NEW","")))</f>
        <v/>
      </c>
      <c r="G434" s="11" t="str">
        <f aca="false">IF(OR(E434="",E434="!!!"),"",IF(OR(J434=0,AND(J434=1,K434=1),AND(J434=1,I434="SBJ"),AND(J434=1,I434=0)),"?IN_FOCUS",IF(J434&lt;=2,"?ACTIVATED",IF(J434&lt;&gt;"","?FAMILIAR",IF(F434="NEW",IF(ISNA(VLOOKUP(E434,#REF!,1,FALSE())),"?TYPE_IDENTIFIABLE","?REFERENTIAL"),"_")))))</f>
        <v/>
      </c>
      <c r="H434" s="12" t="str">
        <f aca="false">IF(J434&lt;&gt;1,"",IF(I434="SBJ","CB","?"))</f>
        <v/>
      </c>
      <c r="I434" s="13" t="str">
        <f aca="false">IF(OR(E434="",E434="!!!",F434="NEW"),"",INDEX(B$2:B433,-1+SUMPRODUCT(MAX(ROW(E$2:E433)*(E434=E$2:E433)))))</f>
        <v/>
      </c>
      <c r="J434" s="14" t="str">
        <f aca="true">IF(OR(E434="",E434="!!!",F434="NEW"),"",COUNTBLANK(OFFSET(A$1,,,SUMPRODUCT(MAX(ROW(E$2:E434)*(E434=E$2:E434)))))-COUNTBLANK(OFFSET(A$1,,,SUMPRODUCT(MAX(ROW(E$1:E433)*(E434=E$1:E433))))))</f>
        <v/>
      </c>
      <c r="K434" s="14" t="str">
        <f aca="false">IF(OR(E434="",E434="!!!",F434="NEW"),"",INDEX(J$1:J433,SUMPRODUCT(MAX(ROW(E$1:E433)*(E434=E$1:E433)))))</f>
        <v/>
      </c>
      <c r="L434" s="15"/>
    </row>
    <row r="435" customFormat="false" ht="12.75" hidden="false" customHeight="false" outlineLevel="0" collapsed="false">
      <c r="A435" s="0" t="s">
        <v>301</v>
      </c>
      <c r="E435" s="9" t="str">
        <f aca="false">IF(D435="?OLD","!!!","")</f>
        <v/>
      </c>
      <c r="F435" s="10" t="str">
        <f aca="false">IF(OR(E435="",E435="!!!"),"",IF(NOT(ISNA(VLOOKUP(E435,E$1:E434,1,FALSE()))),"OLD",IF(AND(E435&lt;&gt;"",E435&lt;&gt;"!!!"),"NEW","")))</f>
        <v/>
      </c>
      <c r="G435" s="11" t="str">
        <f aca="false">IF(OR(E435="",E435="!!!"),"",IF(OR(J435=0,AND(J435=1,K435=1),AND(J435=1,I435="SBJ"),AND(J435=1,I435=0)),"?IN_FOCUS",IF(J435&lt;=2,"?ACTIVATED",IF(J435&lt;&gt;"","?FAMILIAR",IF(F435="NEW",IF(ISNA(VLOOKUP(E435,#REF!,1,FALSE())),"?TYPE_IDENTIFIABLE","?REFERENTIAL"),"_")))))</f>
        <v/>
      </c>
      <c r="H435" s="12" t="str">
        <f aca="false">IF(J435&lt;&gt;1,"",IF(I435="SBJ","CB","?"))</f>
        <v/>
      </c>
      <c r="I435" s="13" t="str">
        <f aca="false">IF(OR(E435="",E435="!!!",F435="NEW"),"",INDEX(B$2:B434,-1+SUMPRODUCT(MAX(ROW(E$2:E434)*(E435=E$2:E434)))))</f>
        <v/>
      </c>
      <c r="J435" s="14" t="str">
        <f aca="true">IF(OR(E435="",E435="!!!",F435="NEW"),"",COUNTBLANK(OFFSET(A$1,,,SUMPRODUCT(MAX(ROW(E$2:E435)*(E435=E$2:E435)))))-COUNTBLANK(OFFSET(A$1,,,SUMPRODUCT(MAX(ROW(E$1:E434)*(E435=E$1:E434))))))</f>
        <v/>
      </c>
      <c r="K435" s="14" t="str">
        <f aca="false">IF(OR(E435="",E435="!!!",F435="NEW"),"",INDEX(J$1:J434,SUMPRODUCT(MAX(ROW(E$1:E434)*(E435=E$1:E434)))))</f>
        <v/>
      </c>
      <c r="L435" s="15"/>
    </row>
    <row r="436" customFormat="false" ht="12.75" hidden="false" customHeight="false" outlineLevel="0" collapsed="false">
      <c r="A436" s="0" t="s">
        <v>148</v>
      </c>
      <c r="E436" s="9" t="str">
        <f aca="false">IF(D436="?OLD","!!!","")</f>
        <v/>
      </c>
      <c r="F436" s="10" t="str">
        <f aca="false">IF(OR(E436="",E436="!!!"),"",IF(NOT(ISNA(VLOOKUP(E436,E$1:E435,1,FALSE()))),"OLD",IF(AND(E436&lt;&gt;"",E436&lt;&gt;"!!!"),"NEW","")))</f>
        <v/>
      </c>
      <c r="G436" s="11" t="str">
        <f aca="false">IF(OR(E436="",E436="!!!"),"",IF(OR(J436=0,AND(J436=1,K436=1),AND(J436=1,I436="SBJ"),AND(J436=1,I436=0)),"?IN_FOCUS",IF(J436&lt;=2,"?ACTIVATED",IF(J436&lt;&gt;"","?FAMILIAR",IF(F436="NEW",IF(ISNA(VLOOKUP(E436,#REF!,1,FALSE())),"?TYPE_IDENTIFIABLE","?REFERENTIAL"),"_")))))</f>
        <v/>
      </c>
      <c r="H436" s="12" t="str">
        <f aca="false">IF(J436&lt;&gt;1,"",IF(I436="SBJ","CB","?"))</f>
        <v/>
      </c>
      <c r="I436" s="13" t="str">
        <f aca="false">IF(OR(E436="",E436="!!!",F436="NEW"),"",INDEX(B$2:B435,-1+SUMPRODUCT(MAX(ROW(E$2:E435)*(E436=E$2:E435)))))</f>
        <v/>
      </c>
      <c r="J436" s="14" t="str">
        <f aca="true">IF(OR(E436="",E436="!!!",F436="NEW"),"",COUNTBLANK(OFFSET(A$1,,,SUMPRODUCT(MAX(ROW(E$2:E436)*(E436=E$2:E436)))))-COUNTBLANK(OFFSET(A$1,,,SUMPRODUCT(MAX(ROW(E$1:E435)*(E436=E$1:E435))))))</f>
        <v/>
      </c>
      <c r="K436" s="14" t="str">
        <f aca="false">IF(OR(E436="",E436="!!!",F436="NEW"),"",INDEX(J$1:J435,SUMPRODUCT(MAX(ROW(E$1:E435)*(E436=E$1:E435)))))</f>
        <v/>
      </c>
      <c r="L436" s="15"/>
    </row>
    <row r="437" customFormat="false" ht="12.75" hidden="false" customHeight="false" outlineLevel="0" collapsed="false">
      <c r="A437" s="0" t="s">
        <v>302</v>
      </c>
      <c r="E437" s="9" t="str">
        <f aca="false">IF(D437="?OLD","!!!","")</f>
        <v/>
      </c>
      <c r="F437" s="10" t="str">
        <f aca="false">IF(OR(E437="",E437="!!!"),"",IF(NOT(ISNA(VLOOKUP(E437,E$1:E436,1,FALSE()))),"OLD",IF(AND(E437&lt;&gt;"",E437&lt;&gt;"!!!"),"NEW","")))</f>
        <v/>
      </c>
      <c r="G437" s="11" t="str">
        <f aca="false">IF(OR(E437="",E437="!!!"),"",IF(OR(J437=0,AND(J437=1,K437=1),AND(J437=1,I437="SBJ"),AND(J437=1,I437=0)),"?IN_FOCUS",IF(J437&lt;=2,"?ACTIVATED",IF(J437&lt;&gt;"","?FAMILIAR",IF(F437="NEW",IF(ISNA(VLOOKUP(E437,#REF!,1,FALSE())),"?TYPE_IDENTIFIABLE","?REFERENTIAL"),"_")))))</f>
        <v/>
      </c>
      <c r="H437" s="12" t="str">
        <f aca="false">IF(J437&lt;&gt;1,"",IF(I437="SBJ","CB","?"))</f>
        <v/>
      </c>
      <c r="I437" s="13" t="str">
        <f aca="false">IF(OR(E437="",E437="!!!",F437="NEW"),"",INDEX(B$2:B436,-1+SUMPRODUCT(MAX(ROW(E$2:E436)*(E437=E$2:E436)))))</f>
        <v/>
      </c>
      <c r="J437" s="14" t="str">
        <f aca="true">IF(OR(E437="",E437="!!!",F437="NEW"),"",COUNTBLANK(OFFSET(A$1,,,SUMPRODUCT(MAX(ROW(E$2:E437)*(E437=E$2:E437)))))-COUNTBLANK(OFFSET(A$1,,,SUMPRODUCT(MAX(ROW(E$1:E436)*(E437=E$1:E436))))))</f>
        <v/>
      </c>
      <c r="K437" s="14" t="str">
        <f aca="false">IF(OR(E437="",E437="!!!",F437="NEW"),"",INDEX(J$1:J436,SUMPRODUCT(MAX(ROW(E$1:E436)*(E437=E$1:E436)))))</f>
        <v/>
      </c>
      <c r="L437" s="15"/>
    </row>
    <row r="438" customFormat="false" ht="12.75" hidden="false" customHeight="false" outlineLevel="0" collapsed="false">
      <c r="A438" s="0" t="s">
        <v>303</v>
      </c>
      <c r="B438" s="0" t="s">
        <v>28</v>
      </c>
      <c r="C438" s="0" t="s">
        <v>135</v>
      </c>
      <c r="D438" s="0" t="s">
        <v>29</v>
      </c>
      <c r="E438" s="9" t="s">
        <v>68</v>
      </c>
      <c r="F438" s="10" t="s">
        <v>69</v>
      </c>
      <c r="G438" s="11"/>
      <c r="H438" s="12" t="str">
        <f aca="false">IF(J438&lt;&gt;1,"",IF(I438="SBJ","CB","?"))</f>
        <v/>
      </c>
      <c r="I438" s="13" t="str">
        <f aca="false">IF(OR(E438="",E438="!!!",F438="NEW"),"",INDEX(B$2:B437,-1+SUMPRODUCT(MAX(ROW(E$2:E437)*(E438=E$2:E437)))))</f>
        <v>OBJ_9</v>
      </c>
      <c r="J438" s="14" t="n">
        <f aca="true">IF(OR(E438="",E438="!!!",F438="NEW"),"",COUNTBLANK(OFFSET(A$1,,,SUMPRODUCT(MAX(ROW(E$2:E438)*(E438=E$2:E438)))))-COUNTBLANK(OFFSET(A$1,,,SUMPRODUCT(MAX(ROW(E$1:E437)*(E438=E$1:E437))))))</f>
        <v>3</v>
      </c>
      <c r="K438" s="14" t="n">
        <f aca="false">IF(OR(E438="",E438="!!!",F438="NEW"),"",INDEX(J$1:J437,SUMPRODUCT(MAX(ROW(E$1:E437)*(E438=E$1:E437)))))</f>
        <v>0</v>
      </c>
      <c r="L438" s="15"/>
    </row>
    <row r="439" customFormat="false" ht="12.75" hidden="false" customHeight="false" outlineLevel="0" collapsed="false">
      <c r="A439" s="0" t="s">
        <v>31</v>
      </c>
      <c r="E439" s="9" t="str">
        <f aca="false">IF(D439="?OLD","!!!","")</f>
        <v/>
      </c>
      <c r="F439" s="10" t="str">
        <f aca="false">IF(OR(E439="",E439="!!!"),"",IF(NOT(ISNA(VLOOKUP(E439,E$1:E438,1,FALSE()))),"OLD",IF(AND(E439&lt;&gt;"",E439&lt;&gt;"!!!"),"NEW","")))</f>
        <v/>
      </c>
      <c r="G439" s="11" t="str">
        <f aca="false">IF(OR(E439="",E439="!!!"),"",IF(OR(J439=0,AND(J439=1,K439=1),AND(J439=1,I439="SBJ"),AND(J439=1,I439=0)),"?IN_FOCUS",IF(J439&lt;=2,"?ACTIVATED",IF(J439&lt;&gt;"","?FAMILIAR",IF(F439="NEW",IF(ISNA(VLOOKUP(E439,#REF!,1,FALSE())),"?TYPE_IDENTIFIABLE","?REFERENTIAL"),"_")))))</f>
        <v/>
      </c>
      <c r="H439" s="12" t="str">
        <f aca="false">IF(J439&lt;&gt;1,"",IF(I439="SBJ","CB","?"))</f>
        <v/>
      </c>
      <c r="I439" s="13" t="str">
        <f aca="false">IF(OR(E439="",E439="!!!",F439="NEW"),"",INDEX(B$2:B438,-1+SUMPRODUCT(MAX(ROW(E$2:E438)*(E439=E$2:E438)))))</f>
        <v/>
      </c>
      <c r="J439" s="14" t="str">
        <f aca="true">IF(OR(E439="",E439="!!!",F439="NEW"),"",COUNTBLANK(OFFSET(A$1,,,SUMPRODUCT(MAX(ROW(E$2:E439)*(E439=E$2:E439)))))-COUNTBLANK(OFFSET(A$1,,,SUMPRODUCT(MAX(ROW(E$1:E438)*(E439=E$1:E438))))))</f>
        <v/>
      </c>
      <c r="K439" s="14" t="str">
        <f aca="false">IF(OR(E439="",E439="!!!",F439="NEW"),"",INDEX(J$1:J438,SUMPRODUCT(MAX(ROW(E$1:E438)*(E439=E$1:E438)))))</f>
        <v/>
      </c>
      <c r="L439" s="15"/>
    </row>
    <row r="440" customFormat="false" ht="12.75" hidden="false" customHeight="false" outlineLevel="0" collapsed="false">
      <c r="A440" s="0" t="s">
        <v>304</v>
      </c>
      <c r="B440" s="0" t="s">
        <v>62</v>
      </c>
      <c r="C440" s="0" t="s">
        <v>23</v>
      </c>
      <c r="D440" s="0" t="s">
        <v>29</v>
      </c>
      <c r="E440" s="9" t="s">
        <v>24</v>
      </c>
      <c r="F440" s="10" t="str">
        <f aca="false">IF(OR(E440="",E440="!!!"),"",IF(NOT(ISNA(VLOOKUP(E440,E$1:E439,1,FALSE()))),"OLD",IF(AND(E440&lt;&gt;"",E440&lt;&gt;"!!!"),"NEW","")))</f>
        <v>OLD</v>
      </c>
      <c r="G440" s="11" t="s">
        <v>39</v>
      </c>
      <c r="H440" s="12" t="str">
        <f aca="false">IF(J440&lt;&gt;1,"",IF(I440="SBJ","CB","?"))</f>
        <v/>
      </c>
      <c r="I440" s="13" t="str">
        <f aca="false">IF(OR(E440="",E440="!!!",F440="NEW"),"",INDEX(B$2:B439,-1+SUMPRODUCT(MAX(ROW(E$2:E439)*(E440=E$2:E439)))))</f>
        <v>SBJ_2</v>
      </c>
      <c r="J440" s="14" t="n">
        <f aca="true">IF(OR(E440="",E440="!!!",F440="NEW"),"",COUNTBLANK(OFFSET(A$1,,,SUMPRODUCT(MAX(ROW(E$2:E440)*(E440=E$2:E440)))))-COUNTBLANK(OFFSET(A$1,,,SUMPRODUCT(MAX(ROW(E$1:E439)*(E440=E$1:E439))))))</f>
        <v>0</v>
      </c>
      <c r="K440" s="14" t="n">
        <f aca="false">IF(OR(E440="",E440="!!!",F440="NEW"),"",INDEX(J$1:J439,SUMPRODUCT(MAX(ROW(E$1:E439)*(E440=E$1:E439)))))</f>
        <v>1</v>
      </c>
      <c r="L440" s="15"/>
    </row>
    <row r="441" customFormat="false" ht="12.75" hidden="false" customHeight="false" outlineLevel="0" collapsed="false">
      <c r="A441" s="0" t="s">
        <v>21</v>
      </c>
      <c r="E441" s="9" t="str">
        <f aca="false">IF(D441="?OLD","!!!","")</f>
        <v/>
      </c>
      <c r="F441" s="10" t="str">
        <f aca="false">IF(OR(E441="",E441="!!!"),"",IF(NOT(ISNA(VLOOKUP(E441,E$1:E440,1,FALSE()))),"OLD",IF(AND(E441&lt;&gt;"",E441&lt;&gt;"!!!"),"NEW","")))</f>
        <v/>
      </c>
      <c r="G441" s="11" t="str">
        <f aca="false">IF(OR(E441="",E441="!!!"),"",IF(OR(J441=0,AND(J441=1,K441=1),AND(J441=1,I441="SBJ"),AND(J441=1,I441=0)),"?IN_FOCUS",IF(J441&lt;=2,"?ACTIVATED",IF(J441&lt;&gt;"","?FAMILIAR",IF(F441="NEW",IF(ISNA(VLOOKUP(E441,#REF!,1,FALSE())),"?TYPE_IDENTIFIABLE","?REFERENTIAL"),"_")))))</f>
        <v/>
      </c>
      <c r="H441" s="12" t="str">
        <f aca="false">IF(J441&lt;&gt;1,"",IF(I441="SBJ","CB","?"))</f>
        <v/>
      </c>
      <c r="I441" s="13" t="str">
        <f aca="false">IF(OR(E441="",E441="!!!",F441="NEW"),"",INDEX(B$2:B440,-1+SUMPRODUCT(MAX(ROW(E$2:E440)*(E441=E$2:E440)))))</f>
        <v/>
      </c>
      <c r="J441" s="14" t="str">
        <f aca="true">IF(OR(E441="",E441="!!!",F441="NEW"),"",COUNTBLANK(OFFSET(A$1,,,SUMPRODUCT(MAX(ROW(E$2:E441)*(E441=E$2:E441)))))-COUNTBLANK(OFFSET(A$1,,,SUMPRODUCT(MAX(ROW(E$1:E440)*(E441=E$1:E440))))))</f>
        <v/>
      </c>
      <c r="K441" s="14" t="str">
        <f aca="false">IF(OR(E441="",E441="!!!",F441="NEW"),"",INDEX(J$1:J440,SUMPRODUCT(MAX(ROW(E$1:E440)*(E441=E$1:E440)))))</f>
        <v/>
      </c>
      <c r="L441" s="15"/>
    </row>
    <row r="442" customFormat="false" ht="12.75" hidden="false" customHeight="false" outlineLevel="0" collapsed="false">
      <c r="A442" s="0" t="s">
        <v>73</v>
      </c>
      <c r="E442" s="9" t="str">
        <f aca="false">IF(D442="?OLD","!!!","")</f>
        <v/>
      </c>
      <c r="F442" s="10" t="str">
        <f aca="false">IF(OR(E442="",E442="!!!"),"",IF(NOT(ISNA(VLOOKUP(E442,E$1:E441,1,FALSE()))),"OLD",IF(AND(E442&lt;&gt;"",E442&lt;&gt;"!!!"),"NEW","")))</f>
        <v/>
      </c>
      <c r="G442" s="11" t="str">
        <f aca="false">IF(OR(E442="",E442="!!!"),"",IF(OR(J442=0,AND(J442=1,K442=1),AND(J442=1,I442="SBJ"),AND(J442=1,I442=0)),"?IN_FOCUS",IF(J442&lt;=2,"?ACTIVATED",IF(J442&lt;&gt;"","?FAMILIAR",IF(F442="NEW",IF(ISNA(VLOOKUP(E442,#REF!,1,FALSE())),"?TYPE_IDENTIFIABLE","?REFERENTIAL"),"_")))))</f>
        <v/>
      </c>
      <c r="H442" s="12" t="str">
        <f aca="false">IF(J442&lt;&gt;1,"",IF(I442="SBJ","CB","?"))</f>
        <v/>
      </c>
      <c r="I442" s="13" t="str">
        <f aca="false">IF(OR(E442="",E442="!!!",F442="NEW"),"",INDEX(B$2:B441,-1+SUMPRODUCT(MAX(ROW(E$2:E441)*(E442=E$2:E441)))))</f>
        <v/>
      </c>
      <c r="J442" s="14" t="str">
        <f aca="true">IF(OR(E442="",E442="!!!",F442="NEW"),"",COUNTBLANK(OFFSET(A$1,,,SUMPRODUCT(MAX(ROW(E$2:E442)*(E442=E$2:E442)))))-COUNTBLANK(OFFSET(A$1,,,SUMPRODUCT(MAX(ROW(E$1:E441)*(E442=E$1:E441))))))</f>
        <v/>
      </c>
      <c r="K442" s="14" t="str">
        <f aca="false">IF(OR(E442="",E442="!!!",F442="NEW"),"",INDEX(J$1:J441,SUMPRODUCT(MAX(ROW(E$1:E441)*(E442=E$1:E441)))))</f>
        <v/>
      </c>
      <c r="L442" s="15"/>
    </row>
    <row r="443" customFormat="false" ht="12.75" hidden="false" customHeight="false" outlineLevel="0" collapsed="false">
      <c r="E443" s="9" t="str">
        <f aca="false">IF(D443="?OLD","!!!","")</f>
        <v/>
      </c>
      <c r="F443" s="10" t="str">
        <f aca="false">IF(OR(E443="",E443="!!!"),"",IF(NOT(ISNA(VLOOKUP(E443,E$1:E442,1,FALSE()))),"OLD",IF(AND(E443&lt;&gt;"",E443&lt;&gt;"!!!"),"NEW","")))</f>
        <v/>
      </c>
      <c r="G443" s="11" t="str">
        <f aca="false">IF(OR(E443="",E443="!!!"),"",IF(OR(J443=0,AND(J443=1,K443=1),AND(J443=1,I443="SBJ"),AND(J443=1,I443=0)),"?IN_FOCUS",IF(J443&lt;=2,"?ACTIVATED",IF(J443&lt;&gt;"","?FAMILIAR",IF(F443="NEW",IF(ISNA(VLOOKUP(E443,#REF!,1,FALSE())),"?TYPE_IDENTIFIABLE","?REFERENTIAL"),"_")))))</f>
        <v/>
      </c>
      <c r="H443" s="12" t="str">
        <f aca="false">IF(J443&lt;&gt;1,"",IF(I443="SBJ","CB","?"))</f>
        <v/>
      </c>
      <c r="I443" s="13" t="str">
        <f aca="false">IF(OR(E443="",E443="!!!",F443="NEW"),"",INDEX(B$2:B442,-1+SUMPRODUCT(MAX(ROW(E$2:E442)*(E443=E$2:E442)))))</f>
        <v/>
      </c>
      <c r="J443" s="14" t="str">
        <f aca="true">IF(OR(E443="",E443="!!!",F443="NEW"),"",COUNTBLANK(OFFSET(A$1,,,SUMPRODUCT(MAX(ROW(E$2:E443)*(E443=E$2:E443)))))-COUNTBLANK(OFFSET(A$1,,,SUMPRODUCT(MAX(ROW(E$1:E442)*(E443=E$1:E442))))))</f>
        <v/>
      </c>
      <c r="K443" s="14" t="str">
        <f aca="false">IF(OR(E443="",E443="!!!",F443="NEW"),"",INDEX(J$1:J442,SUMPRODUCT(MAX(ROW(E$1:E442)*(E443=E$1:E442)))))</f>
        <v/>
      </c>
      <c r="L443" s="15"/>
    </row>
    <row r="444" customFormat="false" ht="12.75" hidden="false" customHeight="false" outlineLevel="0" collapsed="false">
      <c r="A444" s="0" t="s">
        <v>260</v>
      </c>
      <c r="E444" s="9" t="str">
        <f aca="false">IF(D444="?OLD","!!!","")</f>
        <v/>
      </c>
      <c r="F444" s="10" t="str">
        <f aca="false">IF(OR(E444="",E444="!!!"),"",IF(NOT(ISNA(VLOOKUP(E444,E$1:E443,1,FALSE()))),"OLD",IF(AND(E444&lt;&gt;"",E444&lt;&gt;"!!!"),"NEW","")))</f>
        <v/>
      </c>
      <c r="G444" s="11" t="str">
        <f aca="false">IF(OR(E444="",E444="!!!"),"",IF(OR(J444=0,AND(J444=1,K444=1),AND(J444=1,I444="SBJ"),AND(J444=1,I444=0)),"?IN_FOCUS",IF(J444&lt;=2,"?ACTIVATED",IF(J444&lt;&gt;"","?FAMILIAR",IF(F444="NEW",IF(ISNA(VLOOKUP(E444,#REF!,1,FALSE())),"?TYPE_IDENTIFIABLE","?REFERENTIAL"),"_")))))</f>
        <v/>
      </c>
      <c r="H444" s="12" t="str">
        <f aca="false">IF(J444&lt;&gt;1,"",IF(I444="SBJ","CB","?"))</f>
        <v/>
      </c>
      <c r="I444" s="13" t="str">
        <f aca="false">IF(OR(E444="",E444="!!!",F444="NEW"),"",INDEX(B$2:B443,-1+SUMPRODUCT(MAX(ROW(E$2:E443)*(E444=E$2:E443)))))</f>
        <v/>
      </c>
      <c r="J444" s="14" t="str">
        <f aca="true">IF(OR(E444="",E444="!!!",F444="NEW"),"",COUNTBLANK(OFFSET(A$1,,,SUMPRODUCT(MAX(ROW(E$2:E444)*(E444=E$2:E444)))))-COUNTBLANK(OFFSET(A$1,,,SUMPRODUCT(MAX(ROW(E$1:E443)*(E444=E$1:E443))))))</f>
        <v/>
      </c>
      <c r="K444" s="14" t="str">
        <f aca="false">IF(OR(E444="",E444="!!!",F444="NEW"),"",INDEX(J$1:J443,SUMPRODUCT(MAX(ROW(E$1:E443)*(E444=E$1:E443)))))</f>
        <v/>
      </c>
      <c r="L444" s="15"/>
    </row>
    <row r="445" customFormat="false" ht="12.75" hidden="false" customHeight="false" outlineLevel="0" collapsed="false">
      <c r="A445" s="0" t="s">
        <v>305</v>
      </c>
      <c r="E445" s="9" t="str">
        <f aca="false">IF(D445="?OLD","!!!","")</f>
        <v/>
      </c>
      <c r="F445" s="10" t="str">
        <f aca="false">IF(OR(E445="",E445="!!!"),"",IF(NOT(ISNA(VLOOKUP(E445,E$1:E444,1,FALSE()))),"OLD",IF(AND(E445&lt;&gt;"",E445&lt;&gt;"!!!"),"NEW","")))</f>
        <v/>
      </c>
      <c r="G445" s="11" t="str">
        <f aca="false">IF(OR(E445="",E445="!!!"),"",IF(OR(J445=0,AND(J445=1,K445=1),AND(J445=1,I445="SBJ"),AND(J445=1,I445=0)),"?IN_FOCUS",IF(J445&lt;=2,"?ACTIVATED",IF(J445&lt;&gt;"","?FAMILIAR",IF(F445="NEW",IF(ISNA(VLOOKUP(E445,#REF!,1,FALSE())),"?TYPE_IDENTIFIABLE","?REFERENTIAL"),"_")))))</f>
        <v/>
      </c>
      <c r="H445" s="12" t="str">
        <f aca="false">IF(J445&lt;&gt;1,"",IF(I445="SBJ","CB","?"))</f>
        <v/>
      </c>
      <c r="I445" s="13" t="str">
        <f aca="false">IF(OR(E445="",E445="!!!",F445="NEW"),"",INDEX(B$2:B444,-1+SUMPRODUCT(MAX(ROW(E$2:E444)*(E445=E$2:E444)))))</f>
        <v/>
      </c>
      <c r="J445" s="14" t="str">
        <f aca="true">IF(OR(E445="",E445="!!!",F445="NEW"),"",COUNTBLANK(OFFSET(A$1,,,SUMPRODUCT(MAX(ROW(E$2:E445)*(E445=E$2:E445)))))-COUNTBLANK(OFFSET(A$1,,,SUMPRODUCT(MAX(ROW(E$1:E444)*(E445=E$1:E444))))))</f>
        <v/>
      </c>
      <c r="K445" s="14" t="str">
        <f aca="false">IF(OR(E445="",E445="!!!",F445="NEW"),"",INDEX(J$1:J444,SUMPRODUCT(MAX(ROW(E$1:E444)*(E445=E$1:E444)))))</f>
        <v/>
      </c>
      <c r="L445" s="15"/>
    </row>
    <row r="446" customFormat="false" ht="12.75" hidden="false" customHeight="false" outlineLevel="0" collapsed="false">
      <c r="A446" s="0" t="s">
        <v>306</v>
      </c>
      <c r="B446" s="0" t="s">
        <v>62</v>
      </c>
      <c r="C446" s="0" t="s">
        <v>162</v>
      </c>
      <c r="E446" s="9" t="str">
        <f aca="false">IF(D446="?OLD","!!!","")</f>
        <v/>
      </c>
      <c r="F446" s="10" t="str">
        <f aca="false">IF(OR(E446="",E446="!!!"),"",IF(NOT(ISNA(VLOOKUP(E446,E$1:E445,1,FALSE()))),"OLD",IF(AND(E446&lt;&gt;"",E446&lt;&gt;"!!!"),"NEW","")))</f>
        <v/>
      </c>
      <c r="G446" s="11" t="str">
        <f aca="false">IF(OR(E446="",E446="!!!"),"",IF(OR(J446=0,AND(J446=1,K446=1),AND(J446=1,I446="SBJ"),AND(J446=1,I446=0)),"?IN_FOCUS",IF(J446&lt;=2,"?ACTIVATED",IF(J446&lt;&gt;"","?FAMILIAR",IF(F446="NEW",IF(ISNA(VLOOKUP(E446,#REF!,1,FALSE())),"?TYPE_IDENTIFIABLE","?REFERENTIAL"),"_")))))</f>
        <v/>
      </c>
      <c r="H446" s="12" t="str">
        <f aca="false">IF(J446&lt;&gt;1,"",IF(I446="SBJ","CB","?"))</f>
        <v/>
      </c>
      <c r="I446" s="13" t="str">
        <f aca="false">IF(OR(E446="",E446="!!!",F446="NEW"),"",INDEX(B$2:B445,-1+SUMPRODUCT(MAX(ROW(E$2:E445)*(E446=E$2:E445)))))</f>
        <v/>
      </c>
      <c r="J446" s="14" t="str">
        <f aca="true">IF(OR(E446="",E446="!!!",F446="NEW"),"",COUNTBLANK(OFFSET(A$1,,,SUMPRODUCT(MAX(ROW(E$2:E446)*(E446=E$2:E446)))))-COUNTBLANK(OFFSET(A$1,,,SUMPRODUCT(MAX(ROW(E$1:E445)*(E446=E$1:E445))))))</f>
        <v/>
      </c>
      <c r="K446" s="14" t="str">
        <f aca="false">IF(OR(E446="",E446="!!!",F446="NEW"),"",INDEX(J$1:J445,SUMPRODUCT(MAX(ROW(E$1:E445)*(E446=E$1:E445)))))</f>
        <v/>
      </c>
      <c r="L446" s="15"/>
    </row>
    <row r="447" customFormat="false" ht="12.75" hidden="false" customHeight="false" outlineLevel="0" collapsed="false">
      <c r="A447" s="0" t="s">
        <v>26</v>
      </c>
      <c r="E447" s="9" t="str">
        <f aca="false">IF(D447="?OLD","!!!","")</f>
        <v/>
      </c>
      <c r="F447" s="10" t="str">
        <f aca="false">IF(OR(E447="",E447="!!!"),"",IF(NOT(ISNA(VLOOKUP(E447,E$1:E446,1,FALSE()))),"OLD",IF(AND(E447&lt;&gt;"",E447&lt;&gt;"!!!"),"NEW","")))</f>
        <v/>
      </c>
      <c r="G447" s="11" t="str">
        <f aca="false">IF(OR(E447="",E447="!!!"),"",IF(OR(J447=0,AND(J447=1,K447=1),AND(J447=1,I447="SBJ"),AND(J447=1,I447=0)),"?IN_FOCUS",IF(J447&lt;=2,"?ACTIVATED",IF(J447&lt;&gt;"","?FAMILIAR",IF(F447="NEW",IF(ISNA(VLOOKUP(E447,#REF!,1,FALSE())),"?TYPE_IDENTIFIABLE","?REFERENTIAL"),"_")))))</f>
        <v/>
      </c>
      <c r="H447" s="12" t="str">
        <f aca="false">IF(J447&lt;&gt;1,"",IF(I447="SBJ","CB","?"))</f>
        <v/>
      </c>
      <c r="I447" s="13" t="str">
        <f aca="false">IF(OR(E447="",E447="!!!",F447="NEW"),"",INDEX(B$2:B446,-1+SUMPRODUCT(MAX(ROW(E$2:E446)*(E447=E$2:E446)))))</f>
        <v/>
      </c>
      <c r="J447" s="14" t="str">
        <f aca="true">IF(OR(E447="",E447="!!!",F447="NEW"),"",COUNTBLANK(OFFSET(A$1,,,SUMPRODUCT(MAX(ROW(E$2:E447)*(E447=E$2:E447)))))-COUNTBLANK(OFFSET(A$1,,,SUMPRODUCT(MAX(ROW(E$1:E446)*(E447=E$1:E446))))))</f>
        <v/>
      </c>
      <c r="K447" s="14" t="str">
        <f aca="false">IF(OR(E447="",E447="!!!",F447="NEW"),"",INDEX(J$1:J446,SUMPRODUCT(MAX(ROW(E$1:E446)*(E447=E$1:E446)))))</f>
        <v/>
      </c>
      <c r="L447" s="15"/>
    </row>
    <row r="448" customFormat="false" ht="12.75" hidden="false" customHeight="false" outlineLevel="0" collapsed="false">
      <c r="A448" s="0" t="s">
        <v>66</v>
      </c>
      <c r="E448" s="9" t="str">
        <f aca="false">IF(D448="?OLD","!!!","")</f>
        <v/>
      </c>
      <c r="F448" s="10" t="str">
        <f aca="false">IF(OR(E448="",E448="!!!"),"",IF(NOT(ISNA(VLOOKUP(E448,E$1:E447,1,FALSE()))),"OLD",IF(AND(E448&lt;&gt;"",E448&lt;&gt;"!!!"),"NEW","")))</f>
        <v/>
      </c>
      <c r="G448" s="11" t="str">
        <f aca="false">IF(OR(E448="",E448="!!!"),"",IF(OR(J448=0,AND(J448=1,K448=1),AND(J448=1,I448="SBJ"),AND(J448=1,I448=0)),"?IN_FOCUS",IF(J448&lt;=2,"?ACTIVATED",IF(J448&lt;&gt;"","?FAMILIAR",IF(F448="NEW",IF(ISNA(VLOOKUP(E448,#REF!,1,FALSE())),"?TYPE_IDENTIFIABLE","?REFERENTIAL"),"_")))))</f>
        <v/>
      </c>
      <c r="H448" s="12" t="str">
        <f aca="false">IF(J448&lt;&gt;1,"",IF(I448="SBJ","CB","?"))</f>
        <v/>
      </c>
      <c r="I448" s="13" t="str">
        <f aca="false">IF(OR(E448="",E448="!!!",F448="NEW"),"",INDEX(B$2:B447,-1+SUMPRODUCT(MAX(ROW(E$2:E447)*(E448=E$2:E447)))))</f>
        <v/>
      </c>
      <c r="J448" s="14" t="str">
        <f aca="true">IF(OR(E448="",E448="!!!",F448="NEW"),"",COUNTBLANK(OFFSET(A$1,,,SUMPRODUCT(MAX(ROW(E$2:E448)*(E448=E$2:E448)))))-COUNTBLANK(OFFSET(A$1,,,SUMPRODUCT(MAX(ROW(E$1:E447)*(E448=E$1:E447))))))</f>
        <v/>
      </c>
      <c r="K448" s="14" t="str">
        <f aca="false">IF(OR(E448="",E448="!!!",F448="NEW"),"",INDEX(J$1:J447,SUMPRODUCT(MAX(ROW(E$1:E447)*(E448=E$1:E447)))))</f>
        <v/>
      </c>
      <c r="L448" s="15"/>
    </row>
    <row r="449" customFormat="false" ht="12.75" hidden="false" customHeight="false" outlineLevel="0" collapsed="false">
      <c r="A449" s="0" t="s">
        <v>307</v>
      </c>
      <c r="B449" s="0" t="s">
        <v>14</v>
      </c>
      <c r="C449" s="0" t="s">
        <v>111</v>
      </c>
      <c r="D449" s="0" t="s">
        <v>29</v>
      </c>
      <c r="E449" s="9" t="s">
        <v>308</v>
      </c>
      <c r="F449" s="10" t="s">
        <v>56</v>
      </c>
      <c r="G449" s="11" t="s">
        <v>266</v>
      </c>
      <c r="H449" s="12"/>
      <c r="I449" s="13" t="e">
        <f aca="false">IF(OR(E449="",E449="!!!",F449="NEW"),"",INDEX(B$2:B448,-1+SUMPRODUCT(MAX(ROW(E$2:E448)*(E449=E$2:E448)))))</f>
        <v>#VALUE!</v>
      </c>
      <c r="J449" s="14" t="e">
        <f aca="true">IF(OR(E449="",E449="!!!",F449="NEW"),"",COUNTBLANK(OFFSET(A$1,,,SUMPRODUCT(MAX(ROW(E$2:E449)*(E449=E$2:E449)))))-COUNTBLANK(OFFSET(A$1,,,SUMPRODUCT(MAX(ROW(E$1:E448)*(E449=E$1:E448))))))</f>
        <v>#VALUE!</v>
      </c>
      <c r="K449" s="14" t="e">
        <f aca="false">IF(OR(E449="",E449="!!!",F449="NEW"),"",INDEX(J$1:J448,SUMPRODUCT(MAX(ROW(E$1:E448)*(E449=E$1:E448)))))</f>
        <v>#VALUE!</v>
      </c>
      <c r="L449" s="15"/>
    </row>
    <row r="450" customFormat="false" ht="12.75" hidden="false" customHeight="false" outlineLevel="0" collapsed="false">
      <c r="A450" s="0" t="s">
        <v>309</v>
      </c>
      <c r="E450" s="9" t="str">
        <f aca="false">IF(D450="?OLD","!!!","")</f>
        <v/>
      </c>
      <c r="F450" s="10" t="str">
        <f aca="false">IF(OR(E450="",E450="!!!"),"",IF(NOT(ISNA(VLOOKUP(E450,E$1:E449,1,FALSE()))),"OLD",IF(AND(E450&lt;&gt;"",E450&lt;&gt;"!!!"),"NEW","")))</f>
        <v/>
      </c>
      <c r="G450" s="11" t="str">
        <f aca="false">IF(OR(E450="",E450="!!!"),"",IF(OR(J450=0,AND(J450=1,K450=1),AND(J450=1,I450="SBJ"),AND(J450=1,I450=0)),"?IN_FOCUS",IF(J450&lt;=2,"?ACTIVATED",IF(J450&lt;&gt;"","?FAMILIAR",IF(F450="NEW",IF(ISNA(VLOOKUP(E450,#REF!,1,FALSE())),"?TYPE_IDENTIFIABLE","?REFERENTIAL"),"_")))))</f>
        <v/>
      </c>
      <c r="H450" s="12" t="str">
        <f aca="false">IF(J450&lt;&gt;1,"",IF(I450="SBJ","CB","?"))</f>
        <v/>
      </c>
      <c r="I450" s="13" t="str">
        <f aca="false">IF(OR(E450="",E450="!!!",F450="NEW"),"",INDEX(B$2:B449,-1+SUMPRODUCT(MAX(ROW(E$2:E449)*(E450=E$2:E449)))))</f>
        <v/>
      </c>
      <c r="J450" s="14" t="str">
        <f aca="true">IF(OR(E450="",E450="!!!",F450="NEW"),"",COUNTBLANK(OFFSET(A$1,,,SUMPRODUCT(MAX(ROW(E$2:E450)*(E450=E$2:E450)))))-COUNTBLANK(OFFSET(A$1,,,SUMPRODUCT(MAX(ROW(E$1:E449)*(E450=E$1:E449))))))</f>
        <v/>
      </c>
      <c r="K450" s="14" t="str">
        <f aca="false">IF(OR(E450="",E450="!!!",F450="NEW"),"",INDEX(J$1:J449,SUMPRODUCT(MAX(ROW(E$1:E449)*(E450=E$1:E449)))))</f>
        <v/>
      </c>
      <c r="L450" s="15"/>
    </row>
    <row r="451" customFormat="false" ht="12.75" hidden="false" customHeight="false" outlineLevel="0" collapsed="false">
      <c r="A451" s="0" t="s">
        <v>269</v>
      </c>
      <c r="E451" s="9" t="str">
        <f aca="false">IF(D451="?OLD","!!!","")</f>
        <v/>
      </c>
      <c r="F451" s="10" t="str">
        <f aca="false">IF(OR(E451="",E451="!!!"),"",IF(NOT(ISNA(VLOOKUP(E451,E$1:E450,1,FALSE()))),"OLD",IF(AND(E451&lt;&gt;"",E451&lt;&gt;"!!!"),"NEW","")))</f>
        <v/>
      </c>
      <c r="G451" s="11" t="str">
        <f aca="false">IF(OR(E451="",E451="!!!"),"",IF(OR(J451=0,AND(J451=1,K451=1),AND(J451=1,I451="SBJ"),AND(J451=1,I451=0)),"?IN_FOCUS",IF(J451&lt;=2,"?ACTIVATED",IF(J451&lt;&gt;"","?FAMILIAR",IF(F451="NEW",IF(ISNA(VLOOKUP(E451,#REF!,1,FALSE())),"?TYPE_IDENTIFIABLE","?REFERENTIAL"),"_")))))</f>
        <v/>
      </c>
      <c r="H451" s="12" t="str">
        <f aca="false">IF(J451&lt;&gt;1,"",IF(I451="SBJ","CB","?"))</f>
        <v/>
      </c>
      <c r="I451" s="13" t="str">
        <f aca="false">IF(OR(E451="",E451="!!!",F451="NEW"),"",INDEX(B$2:B450,-1+SUMPRODUCT(MAX(ROW(E$2:E450)*(E451=E$2:E450)))))</f>
        <v/>
      </c>
      <c r="J451" s="14" t="str">
        <f aca="true">IF(OR(E451="",E451="!!!",F451="NEW"),"",COUNTBLANK(OFFSET(A$1,,,SUMPRODUCT(MAX(ROW(E$2:E451)*(E451=E$2:E451)))))-COUNTBLANK(OFFSET(A$1,,,SUMPRODUCT(MAX(ROW(E$1:E450)*(E451=E$1:E450))))))</f>
        <v/>
      </c>
      <c r="K451" s="14" t="str">
        <f aca="false">IF(OR(E451="",E451="!!!",F451="NEW"),"",INDEX(J$1:J450,SUMPRODUCT(MAX(ROW(E$1:E450)*(E451=E$1:E450)))))</f>
        <v/>
      </c>
      <c r="L451" s="15"/>
    </row>
    <row r="452" customFormat="false" ht="12.75" hidden="false" customHeight="false" outlineLevel="0" collapsed="false">
      <c r="A452" s="0" t="s">
        <v>262</v>
      </c>
      <c r="E452" s="9" t="str">
        <f aca="false">IF(D452="?OLD","!!!","")</f>
        <v/>
      </c>
      <c r="F452" s="10" t="str">
        <f aca="false">IF(OR(E452="",E452="!!!"),"",IF(NOT(ISNA(VLOOKUP(E452,E$1:E451,1,FALSE()))),"OLD",IF(AND(E452&lt;&gt;"",E452&lt;&gt;"!!!"),"NEW","")))</f>
        <v/>
      </c>
      <c r="G452" s="11" t="str">
        <f aca="false">IF(OR(E452="",E452="!!!"),"",IF(OR(J452=0,AND(J452=1,K452=1),AND(J452=1,I452="SBJ"),AND(J452=1,I452=0)),"?IN_FOCUS",IF(J452&lt;=2,"?ACTIVATED",IF(J452&lt;&gt;"","?FAMILIAR",IF(F452="NEW",IF(ISNA(VLOOKUP(E452,#REF!,1,FALSE())),"?TYPE_IDENTIFIABLE","?REFERENTIAL"),"_")))))</f>
        <v/>
      </c>
      <c r="H452" s="12" t="str">
        <f aca="false">IF(J452&lt;&gt;1,"",IF(I452="SBJ","CB","?"))</f>
        <v/>
      </c>
      <c r="I452" s="13" t="str">
        <f aca="false">IF(OR(E452="",E452="!!!",F452="NEW"),"",INDEX(B$2:B451,-1+SUMPRODUCT(MAX(ROW(E$2:E451)*(E452=E$2:E451)))))</f>
        <v/>
      </c>
      <c r="J452" s="14" t="str">
        <f aca="true">IF(OR(E452="",E452="!!!",F452="NEW"),"",COUNTBLANK(OFFSET(A$1,,,SUMPRODUCT(MAX(ROW(E$2:E452)*(E452=E$2:E452)))))-COUNTBLANK(OFFSET(A$1,,,SUMPRODUCT(MAX(ROW(E$1:E451)*(E452=E$1:E451))))))</f>
        <v/>
      </c>
      <c r="K452" s="14" t="str">
        <f aca="false">IF(OR(E452="",E452="!!!",F452="NEW"),"",INDEX(J$1:J451,SUMPRODUCT(MAX(ROW(E$1:E451)*(E452=E$1:E451)))))</f>
        <v/>
      </c>
      <c r="L452" s="15"/>
    </row>
    <row r="453" customFormat="false" ht="12.75" hidden="false" customHeight="false" outlineLevel="0" collapsed="false">
      <c r="E453" s="9" t="str">
        <f aca="false">IF(D453="?OLD","!!!","")</f>
        <v/>
      </c>
      <c r="F453" s="10" t="str">
        <f aca="false">IF(OR(E453="",E453="!!!"),"",IF(NOT(ISNA(VLOOKUP(E453,E$1:E452,1,FALSE()))),"OLD",IF(AND(E453&lt;&gt;"",E453&lt;&gt;"!!!"),"NEW","")))</f>
        <v/>
      </c>
      <c r="G453" s="11" t="str">
        <f aca="false">IF(OR(E453="",E453="!!!"),"",IF(OR(J453=0,AND(J453=1,K453=1),AND(J453=1,I453="SBJ"),AND(J453=1,I453=0)),"?IN_FOCUS",IF(J453&lt;=2,"?ACTIVATED",IF(J453&lt;&gt;"","?FAMILIAR",IF(F453="NEW",IF(ISNA(VLOOKUP(E453,#REF!,1,FALSE())),"?TYPE_IDENTIFIABLE","?REFERENTIAL"),"_")))))</f>
        <v/>
      </c>
      <c r="H453" s="12" t="str">
        <f aca="false">IF(J453&lt;&gt;1,"",IF(I453="SBJ","CB","?"))</f>
        <v/>
      </c>
      <c r="I453" s="13" t="str">
        <f aca="false">IF(OR(E453="",E453="!!!",F453="NEW"),"",INDEX(B$2:B452,-1+SUMPRODUCT(MAX(ROW(E$2:E452)*(E453=E$2:E452)))))</f>
        <v/>
      </c>
      <c r="J453" s="14" t="str">
        <f aca="true">IF(OR(E453="",E453="!!!",F453="NEW"),"",COUNTBLANK(OFFSET(A$1,,,SUMPRODUCT(MAX(ROW(E$2:E453)*(E453=E$2:E453)))))-COUNTBLANK(OFFSET(A$1,,,SUMPRODUCT(MAX(ROW(E$1:E452)*(E453=E$1:E452))))))</f>
        <v/>
      </c>
      <c r="K453" s="14" t="str">
        <f aca="false">IF(OR(E453="",E453="!!!",F453="NEW"),"",INDEX(J$1:J452,SUMPRODUCT(MAX(ROW(E$1:E452)*(E453=E$1:E452)))))</f>
        <v/>
      </c>
      <c r="L453" s="15"/>
    </row>
    <row r="454" customFormat="false" ht="12.75" hidden="false" customHeight="false" outlineLevel="0" collapsed="false">
      <c r="A454" s="0" t="s">
        <v>260</v>
      </c>
      <c r="E454" s="9" t="str">
        <f aca="false">IF(D454="?OLD","!!!","")</f>
        <v/>
      </c>
      <c r="F454" s="10" t="str">
        <f aca="false">IF(OR(E454="",E454="!!!"),"",IF(NOT(ISNA(VLOOKUP(E454,E$1:E453,1,FALSE()))),"OLD",IF(AND(E454&lt;&gt;"",E454&lt;&gt;"!!!"),"NEW","")))</f>
        <v/>
      </c>
      <c r="G454" s="11" t="str">
        <f aca="false">IF(OR(E454="",E454="!!!"),"",IF(OR(J454=0,AND(J454=1,K454=1),AND(J454=1,I454="SBJ"),AND(J454=1,I454=0)),"?IN_FOCUS",IF(J454&lt;=2,"?ACTIVATED",IF(J454&lt;&gt;"","?FAMILIAR",IF(F454="NEW",IF(ISNA(VLOOKUP(E454,#REF!,1,FALSE())),"?TYPE_IDENTIFIABLE","?REFERENTIAL"),"_")))))</f>
        <v/>
      </c>
      <c r="H454" s="12" t="str">
        <f aca="false">IF(J454&lt;&gt;1,"",IF(I454="SBJ","CB","?"))</f>
        <v/>
      </c>
      <c r="I454" s="13" t="str">
        <f aca="false">IF(OR(E454="",E454="!!!",F454="NEW"),"",INDEX(B$2:B453,-1+SUMPRODUCT(MAX(ROW(E$2:E453)*(E454=E$2:E453)))))</f>
        <v/>
      </c>
      <c r="J454" s="14" t="str">
        <f aca="true">IF(OR(E454="",E454="!!!",F454="NEW"),"",COUNTBLANK(OFFSET(A$1,,,SUMPRODUCT(MAX(ROW(E$2:E454)*(E454=E$2:E454)))))-COUNTBLANK(OFFSET(A$1,,,SUMPRODUCT(MAX(ROW(E$1:E453)*(E454=E$1:E453))))))</f>
        <v/>
      </c>
      <c r="K454" s="14" t="str">
        <f aca="false">IF(OR(E454="",E454="!!!",F454="NEW"),"",INDEX(J$1:J453,SUMPRODUCT(MAX(ROW(E$1:E453)*(E454=E$1:E453)))))</f>
        <v/>
      </c>
      <c r="L454" s="15"/>
    </row>
    <row r="455" customFormat="false" ht="12.75" hidden="false" customHeight="false" outlineLevel="0" collapsed="false">
      <c r="A455" s="0" t="s">
        <v>310</v>
      </c>
      <c r="E455" s="9" t="str">
        <f aca="false">IF(D455="?OLD","!!!","")</f>
        <v/>
      </c>
      <c r="F455" s="10" t="str">
        <f aca="false">IF(OR(E455="",E455="!!!"),"",IF(NOT(ISNA(VLOOKUP(E455,E$1:E454,1,FALSE()))),"OLD",IF(AND(E455&lt;&gt;"",E455&lt;&gt;"!!!"),"NEW","")))</f>
        <v/>
      </c>
      <c r="G455" s="11" t="str">
        <f aca="false">IF(OR(E455="",E455="!!!"),"",IF(OR(J455=0,AND(J455=1,K455=1),AND(J455=1,I455="SBJ"),AND(J455=1,I455=0)),"?IN_FOCUS",IF(J455&lt;=2,"?ACTIVATED",IF(J455&lt;&gt;"","?FAMILIAR",IF(F455="NEW",IF(ISNA(VLOOKUP(E455,#REF!,1,FALSE())),"?TYPE_IDENTIFIABLE","?REFERENTIAL"),"_")))))</f>
        <v/>
      </c>
      <c r="H455" s="12" t="str">
        <f aca="false">IF(J455&lt;&gt;1,"",IF(I455="SBJ","CB","?"))</f>
        <v/>
      </c>
      <c r="I455" s="13" t="str">
        <f aca="false">IF(OR(E455="",E455="!!!",F455="NEW"),"",INDEX(B$2:B454,-1+SUMPRODUCT(MAX(ROW(E$2:E454)*(E455=E$2:E454)))))</f>
        <v/>
      </c>
      <c r="J455" s="14" t="str">
        <f aca="true">IF(OR(E455="",E455="!!!",F455="NEW"),"",COUNTBLANK(OFFSET(A$1,,,SUMPRODUCT(MAX(ROW(E$2:E455)*(E455=E$2:E455)))))-COUNTBLANK(OFFSET(A$1,,,SUMPRODUCT(MAX(ROW(E$1:E454)*(E455=E$1:E454))))))</f>
        <v/>
      </c>
      <c r="K455" s="14" t="str">
        <f aca="false">IF(OR(E455="",E455="!!!",F455="NEW"),"",INDEX(J$1:J454,SUMPRODUCT(MAX(ROW(E$1:E454)*(E455=E$1:E454)))))</f>
        <v/>
      </c>
      <c r="L455" s="15"/>
    </row>
    <row r="456" customFormat="false" ht="12.75" hidden="false" customHeight="false" outlineLevel="0" collapsed="false">
      <c r="A456" s="0" t="s">
        <v>262</v>
      </c>
      <c r="E456" s="9" t="str">
        <f aca="false">IF(D456="?OLD","!!!","")</f>
        <v/>
      </c>
      <c r="F456" s="10" t="str">
        <f aca="false">IF(OR(E456="",E456="!!!"),"",IF(NOT(ISNA(VLOOKUP(E456,E$1:E455,1,FALSE()))),"OLD",IF(AND(E456&lt;&gt;"",E456&lt;&gt;"!!!"),"NEW","")))</f>
        <v/>
      </c>
      <c r="G456" s="11" t="str">
        <f aca="false">IF(OR(E456="",E456="!!!"),"",IF(OR(J456=0,AND(J456=1,K456=1),AND(J456=1,I456="SBJ"),AND(J456=1,I456=0)),"?IN_FOCUS",IF(J456&lt;=2,"?ACTIVATED",IF(J456&lt;&gt;"","?FAMILIAR",IF(F456="NEW",IF(ISNA(VLOOKUP(E456,#REF!,1,FALSE())),"?TYPE_IDENTIFIABLE","?REFERENTIAL"),"_")))))</f>
        <v/>
      </c>
      <c r="H456" s="12" t="str">
        <f aca="false">IF(J456&lt;&gt;1,"",IF(I456="SBJ","CB","?"))</f>
        <v/>
      </c>
      <c r="I456" s="13" t="str">
        <f aca="false">IF(OR(E456="",E456="!!!",F456="NEW"),"",INDEX(B$2:B455,-1+SUMPRODUCT(MAX(ROW(E$2:E455)*(E456=E$2:E455)))))</f>
        <v/>
      </c>
      <c r="J456" s="14" t="str">
        <f aca="true">IF(OR(E456="",E456="!!!",F456="NEW"),"",COUNTBLANK(OFFSET(A$1,,,SUMPRODUCT(MAX(ROW(E$2:E456)*(E456=E$2:E456)))))-COUNTBLANK(OFFSET(A$1,,,SUMPRODUCT(MAX(ROW(E$1:E455)*(E456=E$1:E455))))))</f>
        <v/>
      </c>
      <c r="K456" s="14" t="str">
        <f aca="false">IF(OR(E456="",E456="!!!",F456="NEW"),"",INDEX(J$1:J455,SUMPRODUCT(MAX(ROW(E$1:E455)*(E456=E$1:E455)))))</f>
        <v/>
      </c>
      <c r="L456" s="15"/>
    </row>
    <row r="457" customFormat="false" ht="12.75" hidden="false" customHeight="false" outlineLevel="0" collapsed="false">
      <c r="A457" s="0" t="s">
        <v>311</v>
      </c>
      <c r="E457" s="9" t="str">
        <f aca="false">IF(D457="?OLD","!!!","")</f>
        <v/>
      </c>
      <c r="F457" s="10" t="str">
        <f aca="false">IF(OR(E457="",E457="!!!"),"",IF(NOT(ISNA(VLOOKUP(E457,E$1:E456,1,FALSE()))),"OLD",IF(AND(E457&lt;&gt;"",E457&lt;&gt;"!!!"),"NEW","")))</f>
        <v/>
      </c>
      <c r="G457" s="11" t="str">
        <f aca="false">IF(OR(E457="",E457="!!!"),"",IF(OR(J457=0,AND(J457=1,K457=1),AND(J457=1,I457="SBJ"),AND(J457=1,I457=0)),"?IN_FOCUS",IF(J457&lt;=2,"?ACTIVATED",IF(J457&lt;&gt;"","?FAMILIAR",IF(F457="NEW",IF(ISNA(VLOOKUP(E457,#REF!,1,FALSE())),"?TYPE_IDENTIFIABLE","?REFERENTIAL"),"_")))))</f>
        <v/>
      </c>
      <c r="H457" s="12" t="str">
        <f aca="false">IF(J457&lt;&gt;1,"",IF(I457="SBJ","CB","?"))</f>
        <v/>
      </c>
      <c r="I457" s="13" t="str">
        <f aca="false">IF(OR(E457="",E457="!!!",F457="NEW"),"",INDEX(B$2:B456,-1+SUMPRODUCT(MAX(ROW(E$2:E456)*(E457=E$2:E456)))))</f>
        <v/>
      </c>
      <c r="J457" s="14" t="str">
        <f aca="true">IF(OR(E457="",E457="!!!",F457="NEW"),"",COUNTBLANK(OFFSET(A$1,,,SUMPRODUCT(MAX(ROW(E$2:E457)*(E457=E$2:E457)))))-COUNTBLANK(OFFSET(A$1,,,SUMPRODUCT(MAX(ROW(E$1:E456)*(E457=E$1:E456))))))</f>
        <v/>
      </c>
      <c r="K457" s="14" t="str">
        <f aca="false">IF(OR(E457="",E457="!!!",F457="NEW"),"",INDEX(J$1:J456,SUMPRODUCT(MAX(ROW(E$1:E456)*(E457=E$1:E456)))))</f>
        <v/>
      </c>
      <c r="L457" s="15"/>
    </row>
    <row r="458" customFormat="false" ht="12.75" hidden="false" customHeight="false" outlineLevel="0" collapsed="false">
      <c r="A458" s="0" t="s">
        <v>312</v>
      </c>
      <c r="E458" s="9" t="str">
        <f aca="false">IF(D458="?OLD","!!!","")</f>
        <v/>
      </c>
      <c r="F458" s="10" t="str">
        <f aca="false">IF(OR(E458="",E458="!!!"),"",IF(NOT(ISNA(VLOOKUP(E458,E$1:E457,1,FALSE()))),"OLD",IF(AND(E458&lt;&gt;"",E458&lt;&gt;"!!!"),"NEW","")))</f>
        <v/>
      </c>
      <c r="G458" s="11" t="str">
        <f aca="false">IF(OR(E458="",E458="!!!"),"",IF(OR(J458=0,AND(J458=1,K458=1),AND(J458=1,I458="SBJ"),AND(J458=1,I458=0)),"?IN_FOCUS",IF(J458&lt;=2,"?ACTIVATED",IF(J458&lt;&gt;"","?FAMILIAR",IF(F458="NEW",IF(ISNA(VLOOKUP(E458,#REF!,1,FALSE())),"?TYPE_IDENTIFIABLE","?REFERENTIAL"),"_")))))</f>
        <v/>
      </c>
      <c r="H458" s="12" t="str">
        <f aca="false">IF(J458&lt;&gt;1,"",IF(I458="SBJ","CB","?"))</f>
        <v/>
      </c>
      <c r="I458" s="13" t="str">
        <f aca="false">IF(OR(E458="",E458="!!!",F458="NEW"),"",INDEX(B$2:B457,-1+SUMPRODUCT(MAX(ROW(E$2:E457)*(E458=E$2:E457)))))</f>
        <v/>
      </c>
      <c r="J458" s="14" t="str">
        <f aca="true">IF(OR(E458="",E458="!!!",F458="NEW"),"",COUNTBLANK(OFFSET(A$1,,,SUMPRODUCT(MAX(ROW(E$2:E458)*(E458=E$2:E458)))))-COUNTBLANK(OFFSET(A$1,,,SUMPRODUCT(MAX(ROW(E$1:E457)*(E458=E$1:E457))))))</f>
        <v/>
      </c>
      <c r="K458" s="14" t="str">
        <f aca="false">IF(OR(E458="",E458="!!!",F458="NEW"),"",INDEX(J$1:J457,SUMPRODUCT(MAX(ROW(E$1:E457)*(E458=E$1:E457)))))</f>
        <v/>
      </c>
      <c r="L458" s="15"/>
    </row>
    <row r="459" customFormat="false" ht="12.75" hidden="false" customHeight="false" outlineLevel="0" collapsed="false">
      <c r="A459" s="0" t="s">
        <v>307</v>
      </c>
      <c r="B459" s="0" t="s">
        <v>62</v>
      </c>
      <c r="C459" s="0" t="s">
        <v>43</v>
      </c>
      <c r="E459" s="9" t="str">
        <f aca="false">IF(D459="?OLD","!!!","")</f>
        <v/>
      </c>
      <c r="F459" s="10" t="str">
        <f aca="false">IF(OR(E459="",E459="!!!"),"",IF(NOT(ISNA(VLOOKUP(E459,E$1:E458,1,FALSE()))),"OLD",IF(AND(E459&lt;&gt;"",E459&lt;&gt;"!!!"),"NEW","")))</f>
        <v/>
      </c>
      <c r="G459" s="11" t="str">
        <f aca="false">IF(OR(E459="",E459="!!!"),"",IF(OR(J459=0,AND(J459=1,K459=1),AND(J459=1,I459="SBJ"),AND(J459=1,I459=0)),"?IN_FOCUS",IF(J459&lt;=2,"?ACTIVATED",IF(J459&lt;&gt;"","?FAMILIAR",IF(F459="NEW",IF(ISNA(VLOOKUP(E459,#REF!,1,FALSE())),"?TYPE_IDENTIFIABLE","?REFERENTIAL"),"_")))))</f>
        <v/>
      </c>
      <c r="H459" s="12" t="s">
        <v>7</v>
      </c>
      <c r="I459" s="13" t="str">
        <f aca="false">IF(OR(E459="",E459="!!!",F459="NEW"),"",INDEX(B$2:B458,-1+SUMPRODUCT(MAX(ROW(E$2:E458)*(E459=E$2:E458)))))</f>
        <v/>
      </c>
      <c r="J459" s="14" t="str">
        <f aca="true">IF(OR(E459="",E459="!!!",F459="NEW"),"",COUNTBLANK(OFFSET(A$1,,,SUMPRODUCT(MAX(ROW(E$2:E459)*(E459=E$2:E459)))))-COUNTBLANK(OFFSET(A$1,,,SUMPRODUCT(MAX(ROW(E$1:E458)*(E459=E$1:E458))))))</f>
        <v/>
      </c>
      <c r="K459" s="14" t="str">
        <f aca="false">IF(OR(E459="",E459="!!!",F459="NEW"),"",INDEX(J$1:J458,SUMPRODUCT(MAX(ROW(E$1:E458)*(E459=E$1:E458)))))</f>
        <v/>
      </c>
      <c r="L459" s="15"/>
    </row>
    <row r="460" customFormat="false" ht="12.75" hidden="false" customHeight="false" outlineLevel="0" collapsed="false">
      <c r="A460" s="0" t="s">
        <v>73</v>
      </c>
      <c r="E460" s="9" t="str">
        <f aca="false">IF(D460="?OLD","!!!","")</f>
        <v/>
      </c>
      <c r="F460" s="10" t="str">
        <f aca="false">IF(OR(E460="",E460="!!!"),"",IF(NOT(ISNA(VLOOKUP(E460,E$1:E459,1,FALSE()))),"OLD",IF(AND(E460&lt;&gt;"",E460&lt;&gt;"!!!"),"NEW","")))</f>
        <v/>
      </c>
      <c r="G460" s="11" t="str">
        <f aca="false">IF(OR(E460="",E460="!!!"),"",IF(OR(J460=0,AND(J460=1,K460=1),AND(J460=1,I460="SBJ"),AND(J460=1,I460=0)),"?IN_FOCUS",IF(J460&lt;=2,"?ACTIVATED",IF(J460&lt;&gt;"","?FAMILIAR",IF(F460="NEW",IF(ISNA(VLOOKUP(E460,#REF!,1,FALSE())),"?TYPE_IDENTIFIABLE","?REFERENTIAL"),"_")))))</f>
        <v/>
      </c>
      <c r="H460" s="12" t="str">
        <f aca="false">IF(J460&lt;&gt;1,"",IF(I460="SBJ","CB","?"))</f>
        <v/>
      </c>
      <c r="I460" s="13" t="str">
        <f aca="false">IF(OR(E460="",E460="!!!",F460="NEW"),"",INDEX(B$2:B459,-1+SUMPRODUCT(MAX(ROW(E$2:E459)*(E460=E$2:E459)))))</f>
        <v/>
      </c>
      <c r="J460" s="14" t="str">
        <f aca="true">IF(OR(E460="",E460="!!!",F460="NEW"),"",COUNTBLANK(OFFSET(A$1,,,SUMPRODUCT(MAX(ROW(E$2:E460)*(E460=E$2:E460)))))-COUNTBLANK(OFFSET(A$1,,,SUMPRODUCT(MAX(ROW(E$1:E459)*(E460=E$1:E459))))))</f>
        <v/>
      </c>
      <c r="K460" s="14" t="str">
        <f aca="false">IF(OR(E460="",E460="!!!",F460="NEW"),"",INDEX(J$1:J459,SUMPRODUCT(MAX(ROW(E$1:E459)*(E460=E$1:E459)))))</f>
        <v/>
      </c>
      <c r="L460" s="15"/>
    </row>
    <row r="461" customFormat="false" ht="12.75" hidden="false" customHeight="false" outlineLevel="0" collapsed="false">
      <c r="A461" s="0" t="s">
        <v>262</v>
      </c>
      <c r="E461" s="9" t="str">
        <f aca="false">IF(D461="?OLD","!!!","")</f>
        <v/>
      </c>
      <c r="F461" s="10" t="str">
        <f aca="false">IF(OR(E461="",E461="!!!"),"",IF(NOT(ISNA(VLOOKUP(E461,E$1:E460,1,FALSE()))),"OLD",IF(AND(E461&lt;&gt;"",E461&lt;&gt;"!!!"),"NEW","")))</f>
        <v/>
      </c>
      <c r="G461" s="11" t="str">
        <f aca="false">IF(OR(E461="",E461="!!!"),"",IF(OR(J461=0,AND(J461=1,K461=1),AND(J461=1,I461="SBJ"),AND(J461=1,I461=0)),"?IN_FOCUS",IF(J461&lt;=2,"?ACTIVATED",IF(J461&lt;&gt;"","?FAMILIAR",IF(F461="NEW",IF(ISNA(VLOOKUP(E461,#REF!,1,FALSE())),"?TYPE_IDENTIFIABLE","?REFERENTIAL"),"_")))))</f>
        <v/>
      </c>
      <c r="H461" s="12" t="str">
        <f aca="false">IF(J461&lt;&gt;1,"",IF(I461="SBJ","CB","?"))</f>
        <v/>
      </c>
      <c r="I461" s="13" t="str">
        <f aca="false">IF(OR(E461="",E461="!!!",F461="NEW"),"",INDEX(B$2:B460,-1+SUMPRODUCT(MAX(ROW(E$2:E460)*(E461=E$2:E460)))))</f>
        <v/>
      </c>
      <c r="J461" s="14" t="str">
        <f aca="true">IF(OR(E461="",E461="!!!",F461="NEW"),"",COUNTBLANK(OFFSET(A$1,,,SUMPRODUCT(MAX(ROW(E$2:E461)*(E461=E$2:E461)))))-COUNTBLANK(OFFSET(A$1,,,SUMPRODUCT(MAX(ROW(E$1:E460)*(E461=E$1:E460))))))</f>
        <v/>
      </c>
      <c r="K461" s="14" t="str">
        <f aca="false">IF(OR(E461="",E461="!!!",F461="NEW"),"",INDEX(J$1:J460,SUMPRODUCT(MAX(ROW(E$1:E460)*(E461=E$1:E460)))))</f>
        <v/>
      </c>
      <c r="L461" s="15"/>
    </row>
    <row r="462" customFormat="false" ht="12.75" hidden="false" customHeight="false" outlineLevel="0" collapsed="false">
      <c r="E462" s="9" t="str">
        <f aca="false">IF(D462="?OLD","!!!","")</f>
        <v/>
      </c>
      <c r="F462" s="10" t="str">
        <f aca="false">IF(OR(E462="",E462="!!!"),"",IF(NOT(ISNA(VLOOKUP(E462,E$1:E461,1,FALSE()))),"OLD",IF(AND(E462&lt;&gt;"",E462&lt;&gt;"!!!"),"NEW","")))</f>
        <v/>
      </c>
      <c r="G462" s="11" t="str">
        <f aca="false">IF(OR(E462="",E462="!!!"),"",IF(OR(J462=0,AND(J462=1,K462=1),AND(J462=1,I462="SBJ"),AND(J462=1,I462=0)),"?IN_FOCUS",IF(J462&lt;=2,"?ACTIVATED",IF(J462&lt;&gt;"","?FAMILIAR",IF(F462="NEW",IF(ISNA(VLOOKUP(E462,#REF!,1,FALSE())),"?TYPE_IDENTIFIABLE","?REFERENTIAL"),"_")))))</f>
        <v/>
      </c>
      <c r="H462" s="12" t="str">
        <f aca="false">IF(J462&lt;&gt;1,"",IF(I462="SBJ","CB","?"))</f>
        <v/>
      </c>
      <c r="I462" s="13" t="str">
        <f aca="false">IF(OR(E462="",E462="!!!",F462="NEW"),"",INDEX(B$2:B461,-1+SUMPRODUCT(MAX(ROW(E$2:E461)*(E462=E$2:E461)))))</f>
        <v/>
      </c>
      <c r="J462" s="14" t="str">
        <f aca="true">IF(OR(E462="",E462="!!!",F462="NEW"),"",COUNTBLANK(OFFSET(A$1,,,SUMPRODUCT(MAX(ROW(E$2:E462)*(E462=E$2:E462)))))-COUNTBLANK(OFFSET(A$1,,,SUMPRODUCT(MAX(ROW(E$1:E461)*(E462=E$1:E461))))))</f>
        <v/>
      </c>
      <c r="K462" s="14" t="str">
        <f aca="false">IF(OR(E462="",E462="!!!",F462="NEW"),"",INDEX(J$1:J461,SUMPRODUCT(MAX(ROW(E$1:E461)*(E462=E$1:E461)))))</f>
        <v/>
      </c>
      <c r="L462" s="15"/>
    </row>
    <row r="463" customFormat="false" ht="12.75" hidden="false" customHeight="false" outlineLevel="0" collapsed="false">
      <c r="A463" s="0" t="s">
        <v>260</v>
      </c>
      <c r="E463" s="9" t="str">
        <f aca="false">IF(D463="?OLD","!!!","")</f>
        <v/>
      </c>
      <c r="F463" s="10" t="str">
        <f aca="false">IF(OR(E463="",E463="!!!"),"",IF(NOT(ISNA(VLOOKUP(E463,E$1:E462,1,FALSE()))),"OLD",IF(AND(E463&lt;&gt;"",E463&lt;&gt;"!!!"),"NEW","")))</f>
        <v/>
      </c>
      <c r="G463" s="11" t="str">
        <f aca="false">IF(OR(E463="",E463="!!!"),"",IF(OR(J463=0,AND(J463=1,K463=1),AND(J463=1,I463="SBJ"),AND(J463=1,I463=0)),"?IN_FOCUS",IF(J463&lt;=2,"?ACTIVATED",IF(J463&lt;&gt;"","?FAMILIAR",IF(F463="NEW",IF(ISNA(VLOOKUP(E463,#REF!,1,FALSE())),"?TYPE_IDENTIFIABLE","?REFERENTIAL"),"_")))))</f>
        <v/>
      </c>
      <c r="H463" s="12" t="str">
        <f aca="false">IF(J463&lt;&gt;1,"",IF(I463="SBJ","CB","?"))</f>
        <v/>
      </c>
      <c r="I463" s="13" t="str">
        <f aca="false">IF(OR(E463="",E463="!!!",F463="NEW"),"",INDEX(B$2:B462,-1+SUMPRODUCT(MAX(ROW(E$2:E462)*(E463=E$2:E462)))))</f>
        <v/>
      </c>
      <c r="J463" s="14" t="str">
        <f aca="true">IF(OR(E463="",E463="!!!",F463="NEW"),"",COUNTBLANK(OFFSET(A$1,,,SUMPRODUCT(MAX(ROW(E$2:E463)*(E463=E$2:E463)))))-COUNTBLANK(OFFSET(A$1,,,SUMPRODUCT(MAX(ROW(E$1:E462)*(E463=E$1:E462))))))</f>
        <v/>
      </c>
      <c r="K463" s="14" t="str">
        <f aca="false">IF(OR(E463="",E463="!!!",F463="NEW"),"",INDEX(J$1:J462,SUMPRODUCT(MAX(ROW(E$1:E462)*(E463=E$1:E462)))))</f>
        <v/>
      </c>
      <c r="L463" s="15"/>
    </row>
    <row r="464" customFormat="false" ht="12.75" hidden="false" customHeight="false" outlineLevel="0" collapsed="false">
      <c r="A464" s="0" t="s">
        <v>313</v>
      </c>
      <c r="E464" s="9" t="str">
        <f aca="false">IF(D464="?OLD","!!!","")</f>
        <v/>
      </c>
      <c r="F464" s="10" t="str">
        <f aca="false">IF(OR(E464="",E464="!!!"),"",IF(NOT(ISNA(VLOOKUP(E464,E$1:E463,1,FALSE()))),"OLD",IF(AND(E464&lt;&gt;"",E464&lt;&gt;"!!!"),"NEW","")))</f>
        <v/>
      </c>
      <c r="G464" s="11" t="str">
        <f aca="false">IF(OR(E464="",E464="!!!"),"",IF(OR(J464=0,AND(J464=1,K464=1),AND(J464=1,I464="SBJ"),AND(J464=1,I464=0)),"?IN_FOCUS",IF(J464&lt;=2,"?ACTIVATED",IF(J464&lt;&gt;"","?FAMILIAR",IF(F464="NEW",IF(ISNA(VLOOKUP(E464,#REF!,1,FALSE())),"?TYPE_IDENTIFIABLE","?REFERENTIAL"),"_")))))</f>
        <v/>
      </c>
      <c r="H464" s="12" t="str">
        <f aca="false">IF(J464&lt;&gt;1,"",IF(I464="SBJ","CB","?"))</f>
        <v/>
      </c>
      <c r="I464" s="13" t="str">
        <f aca="false">IF(OR(E464="",E464="!!!",F464="NEW"),"",INDEX(B$2:B463,-1+SUMPRODUCT(MAX(ROW(E$2:E463)*(E464=E$2:E463)))))</f>
        <v/>
      </c>
      <c r="J464" s="14" t="str">
        <f aca="true">IF(OR(E464="",E464="!!!",F464="NEW"),"",COUNTBLANK(OFFSET(A$1,,,SUMPRODUCT(MAX(ROW(E$2:E464)*(E464=E$2:E464)))))-COUNTBLANK(OFFSET(A$1,,,SUMPRODUCT(MAX(ROW(E$1:E463)*(E464=E$1:E463))))))</f>
        <v/>
      </c>
      <c r="K464" s="14" t="str">
        <f aca="false">IF(OR(E464="",E464="!!!",F464="NEW"),"",INDEX(J$1:J463,SUMPRODUCT(MAX(ROW(E$1:E463)*(E464=E$1:E463)))))</f>
        <v/>
      </c>
      <c r="L464" s="15"/>
    </row>
    <row r="465" customFormat="false" ht="12.75" hidden="false" customHeight="false" outlineLevel="0" collapsed="false">
      <c r="A465" s="0" t="s">
        <v>262</v>
      </c>
      <c r="E465" s="9" t="str">
        <f aca="false">IF(D465="?OLD","!!!","")</f>
        <v/>
      </c>
      <c r="F465" s="10" t="str">
        <f aca="false">IF(OR(E465="",E465="!!!"),"",IF(NOT(ISNA(VLOOKUP(E465,E$1:E464,1,FALSE()))),"OLD",IF(AND(E465&lt;&gt;"",E465&lt;&gt;"!!!"),"NEW","")))</f>
        <v/>
      </c>
      <c r="G465" s="11"/>
      <c r="H465" s="12" t="str">
        <f aca="false">IF(J465&lt;&gt;1,"",IF(I465="SBJ","CB","?"))</f>
        <v/>
      </c>
      <c r="I465" s="13" t="str">
        <f aca="false">IF(OR(E465="",E465="!!!",F465="NEW"),"",INDEX(B$2:B464,-1+SUMPRODUCT(MAX(ROW(E$2:E464)*(E465=E$2:E464)))))</f>
        <v/>
      </c>
      <c r="J465" s="14" t="str">
        <f aca="true">IF(OR(E465="",E465="!!!",F465="NEW"),"",COUNTBLANK(OFFSET(A$1,,,SUMPRODUCT(MAX(ROW(E$2:E465)*(E465=E$2:E465)))))-COUNTBLANK(OFFSET(A$1,,,SUMPRODUCT(MAX(ROW(E$1:E464)*(E465=E$1:E464))))))</f>
        <v/>
      </c>
      <c r="K465" s="14" t="str">
        <f aca="false">IF(OR(E465="",E465="!!!",F465="NEW"),"",INDEX(J$1:J464,SUMPRODUCT(MAX(ROW(E$1:E464)*(E465=E$1:E464)))))</f>
        <v/>
      </c>
      <c r="L465" s="15"/>
    </row>
    <row r="466" customFormat="false" ht="12.75" hidden="false" customHeight="false" outlineLevel="0" collapsed="false">
      <c r="A466" s="0" t="s">
        <v>170</v>
      </c>
      <c r="B466" s="0" t="s">
        <v>22</v>
      </c>
      <c r="C466" s="0" t="s">
        <v>55</v>
      </c>
      <c r="D466" s="0" t="s">
        <v>29</v>
      </c>
      <c r="E466" s="9" t="s">
        <v>68</v>
      </c>
      <c r="F466" s="10" t="s">
        <v>314</v>
      </c>
      <c r="G466" s="11"/>
      <c r="H466" s="12" t="str">
        <f aca="false">IF(J466&lt;&gt;1,"",IF(I466="SBJ","CB","?"))</f>
        <v/>
      </c>
      <c r="I466" s="13" t="str">
        <f aca="false">IF(OR(E466="",E466="!!!",F466="NEW"),"",INDEX(B$2:B465,-1+SUMPRODUCT(MAX(ROW(E$2:E465)*(E466=E$2:E465)))))</f>
        <v>other_2</v>
      </c>
      <c r="J466" s="14" t="n">
        <f aca="true">IF(OR(E466="",E466="!!!",F466="NEW"),"",COUNTBLANK(OFFSET(A$1,,,SUMPRODUCT(MAX(ROW(E$2:E466)*(E466=E$2:E466)))))-COUNTBLANK(OFFSET(A$1,,,SUMPRODUCT(MAX(ROW(E$1:E465)*(E466=E$1:E465))))))</f>
        <v>3</v>
      </c>
      <c r="K466" s="14" t="n">
        <f aca="false">IF(OR(E466="",E466="!!!",F466="NEW"),"",INDEX(J$1:J465,SUMPRODUCT(MAX(ROW(E$1:E465)*(E466=E$1:E465)))))</f>
        <v>3</v>
      </c>
      <c r="L466" s="15" t="s">
        <v>315</v>
      </c>
    </row>
    <row r="467" customFormat="false" ht="12.75" hidden="false" customHeight="false" outlineLevel="0" collapsed="false">
      <c r="A467" s="0" t="s">
        <v>316</v>
      </c>
      <c r="B467" s="0" t="s">
        <v>42</v>
      </c>
      <c r="C467" s="0" t="s">
        <v>15</v>
      </c>
      <c r="D467" s="0" t="s">
        <v>29</v>
      </c>
      <c r="E467" s="9" t="s">
        <v>68</v>
      </c>
      <c r="F467" s="10" t="s">
        <v>314</v>
      </c>
      <c r="G467" s="11"/>
      <c r="H467" s="12" t="str">
        <f aca="false">IF(J467&lt;&gt;1,"",IF(I467="SBJ","CB","?"))</f>
        <v/>
      </c>
      <c r="I467" s="13" t="str">
        <f aca="false">IF(OR(E467="",E467="!!!",F467="NEW"),"",INDEX(B$2:B466,-1+SUMPRODUCT(MAX(ROW(E$2:E466)*(E467=E$2:E466)))))</f>
        <v>other_3</v>
      </c>
      <c r="J467" s="14" t="n">
        <f aca="true">IF(OR(E467="",E467="!!!",F467="NEW"),"",COUNTBLANK(OFFSET(A$1,,,SUMPRODUCT(MAX(ROW(E$2:E467)*(E467=E$2:E467)))))-COUNTBLANK(OFFSET(A$1,,,SUMPRODUCT(MAX(ROW(E$1:E466)*(E467=E$1:E466))))))</f>
        <v>0</v>
      </c>
      <c r="K467" s="14" t="n">
        <f aca="false">IF(OR(E467="",E467="!!!",F467="NEW"),"",INDEX(J$1:J466,SUMPRODUCT(MAX(ROW(E$1:E466)*(E467=E$1:E466)))))</f>
        <v>3</v>
      </c>
      <c r="L467" s="15"/>
    </row>
    <row r="468" customFormat="false" ht="12.75" hidden="false" customHeight="false" outlineLevel="0" collapsed="false">
      <c r="A468" s="0" t="s">
        <v>31</v>
      </c>
      <c r="E468" s="9" t="str">
        <f aca="false">IF(D468="?OLD","!!!","")</f>
        <v/>
      </c>
      <c r="F468" s="10" t="str">
        <f aca="false">IF(OR(E468="",E468="!!!"),"",IF(NOT(ISNA(VLOOKUP(E468,E$1:E467,1,FALSE()))),"OLD",IF(AND(E468&lt;&gt;"",E468&lt;&gt;"!!!"),"NEW","")))</f>
        <v/>
      </c>
      <c r="G468" s="11" t="str">
        <f aca="false">IF(OR(E468="",E468="!!!"),"",IF(OR(J468=0,AND(J468=1,K468=1),AND(J468=1,I468="SBJ"),AND(J468=1,I468=0)),"?IN_FOCUS",IF(J468&lt;=2,"?ACTIVATED",IF(J468&lt;&gt;"","?FAMILIAR",IF(F468="NEW",IF(ISNA(VLOOKUP(E468,#REF!,1,FALSE())),"?TYPE_IDENTIFIABLE","?REFERENTIAL"),"_")))))</f>
        <v/>
      </c>
      <c r="H468" s="12" t="str">
        <f aca="false">IF(J468&lt;&gt;1,"",IF(I468="SBJ","CB","?"))</f>
        <v/>
      </c>
      <c r="I468" s="13" t="str">
        <f aca="false">IF(OR(E468="",E468="!!!",F468="NEW"),"",INDEX(B$2:B467,-1+SUMPRODUCT(MAX(ROW(E$2:E467)*(E468=E$2:E467)))))</f>
        <v/>
      </c>
      <c r="J468" s="14" t="str">
        <f aca="true">IF(OR(E468="",E468="!!!",F468="NEW"),"",COUNTBLANK(OFFSET(A$1,,,SUMPRODUCT(MAX(ROW(E$2:E468)*(E468=E$2:E468)))))-COUNTBLANK(OFFSET(A$1,,,SUMPRODUCT(MAX(ROW(E$1:E467)*(E468=E$1:E467))))))</f>
        <v/>
      </c>
      <c r="K468" s="14" t="str">
        <f aca="false">IF(OR(E468="",E468="!!!",F468="NEW"),"",INDEX(J$1:J467,SUMPRODUCT(MAX(ROW(E$1:E467)*(E468=E$1:E467)))))</f>
        <v/>
      </c>
      <c r="L468" s="15"/>
    </row>
    <row r="469" customFormat="false" ht="12.75" hidden="false" customHeight="false" outlineLevel="0" collapsed="false">
      <c r="A469" s="0" t="s">
        <v>36</v>
      </c>
      <c r="B469" s="0" t="s">
        <v>42</v>
      </c>
      <c r="C469" s="0" t="s">
        <v>38</v>
      </c>
      <c r="D469" s="0" t="s">
        <v>29</v>
      </c>
      <c r="E469" s="9" t="s">
        <v>317</v>
      </c>
      <c r="F469" s="10" t="str">
        <f aca="false">IF(OR(E469="",E469="!!!"),"",IF(NOT(ISNA(VLOOKUP(E469,E$1:E468,1,FALSE()))),"OLD",IF(AND(E469&lt;&gt;"",E469&lt;&gt;"!!!"),"NEW","")))</f>
        <v>NEW</v>
      </c>
      <c r="G469" s="11" t="s">
        <v>266</v>
      </c>
      <c r="H469" s="12" t="str">
        <f aca="false">IF(J469&lt;&gt;1,"",IF(I469="SBJ","CB","?"))</f>
        <v/>
      </c>
      <c r="I469" s="13" t="str">
        <f aca="false">IF(OR(E469="",E469="!!!",F469="NEW"),"",INDEX(B$2:B468,-1+SUMPRODUCT(MAX(ROW(E$2:E468)*(E469=E$2:E468)))))</f>
        <v/>
      </c>
      <c r="J469" s="14" t="str">
        <f aca="true">IF(OR(E469="",E469="!!!",F469="NEW"),"",COUNTBLANK(OFFSET(A$1,,,SUMPRODUCT(MAX(ROW(E$2:E469)*(E469=E$2:E469)))))-COUNTBLANK(OFFSET(A$1,,,SUMPRODUCT(MAX(ROW(E$1:E468)*(E469=E$1:E468))))))</f>
        <v/>
      </c>
      <c r="K469" s="14" t="str">
        <f aca="false">IF(OR(E469="",E469="!!!",F469="NEW"),"",INDEX(J$1:J468,SUMPRODUCT(MAX(ROW(E$1:E468)*(E469=E$1:E468)))))</f>
        <v/>
      </c>
      <c r="L469" s="15"/>
    </row>
    <row r="470" customFormat="false" ht="12.75" hidden="false" customHeight="false" outlineLevel="0" collapsed="false">
      <c r="A470" s="0" t="s">
        <v>318</v>
      </c>
      <c r="E470" s="9" t="str">
        <f aca="false">IF(D470="?OLD","!!!","")</f>
        <v/>
      </c>
      <c r="F470" s="10" t="str">
        <f aca="false">IF(OR(E470="",E470="!!!"),"",IF(NOT(ISNA(VLOOKUP(E470,E$1:E469,1,FALSE()))),"OLD",IF(AND(E470&lt;&gt;"",E470&lt;&gt;"!!!"),"NEW","")))</f>
        <v/>
      </c>
      <c r="G470" s="11" t="str">
        <f aca="false">IF(OR(E470="",E470="!!!"),"",IF(OR(J470=0,AND(J470=1,K470=1),AND(J470=1,I470="SBJ"),AND(J470=1,I470=0)),"?IN_FOCUS",IF(J470&lt;=2,"?ACTIVATED",IF(J470&lt;&gt;"","?FAMILIAR",IF(F470="NEW",IF(ISNA(VLOOKUP(E470,#REF!,1,FALSE())),"?TYPE_IDENTIFIABLE","?REFERENTIAL"),"_")))))</f>
        <v/>
      </c>
      <c r="H470" s="12" t="str">
        <f aca="false">IF(J470&lt;&gt;1,"",IF(I470="SBJ","CB","?"))</f>
        <v/>
      </c>
      <c r="I470" s="13" t="str">
        <f aca="false">IF(OR(E470="",E470="!!!",F470="NEW"),"",INDEX(B$2:B469,-1+SUMPRODUCT(MAX(ROW(E$2:E469)*(E470=E$2:E469)))))</f>
        <v/>
      </c>
      <c r="J470" s="14" t="str">
        <f aca="true">IF(OR(E470="",E470="!!!",F470="NEW"),"",COUNTBLANK(OFFSET(A$1,,,SUMPRODUCT(MAX(ROW(E$2:E470)*(E470=E$2:E470)))))-COUNTBLANK(OFFSET(A$1,,,SUMPRODUCT(MAX(ROW(E$1:E469)*(E470=E$1:E469))))))</f>
        <v/>
      </c>
      <c r="K470" s="14" t="str">
        <f aca="false">IF(OR(E470="",E470="!!!",F470="NEW"),"",INDEX(J$1:J469,SUMPRODUCT(MAX(ROW(E$1:E469)*(E470=E$1:E469)))))</f>
        <v/>
      </c>
      <c r="L470" s="15"/>
    </row>
    <row r="471" customFormat="false" ht="12.75" hidden="false" customHeight="false" outlineLevel="0" collapsed="false">
      <c r="A471" s="0" t="s">
        <v>240</v>
      </c>
      <c r="E471" s="9" t="str">
        <f aca="false">IF(D471="?OLD","!!!","")</f>
        <v/>
      </c>
      <c r="F471" s="10" t="str">
        <f aca="false">IF(OR(E471="",E471="!!!"),"",IF(NOT(ISNA(VLOOKUP(E471,E$1:E470,1,FALSE()))),"OLD",IF(AND(E471&lt;&gt;"",E471&lt;&gt;"!!!"),"NEW","")))</f>
        <v/>
      </c>
      <c r="G471" s="11" t="str">
        <f aca="false">IF(OR(E471="",E471="!!!"),"",IF(OR(J471=0,AND(J471=1,K471=1),AND(J471=1,I471="SBJ"),AND(J471=1,I471=0)),"?IN_FOCUS",IF(J471&lt;=2,"?ACTIVATED",IF(J471&lt;&gt;"","?FAMILIAR",IF(F471="NEW",IF(ISNA(VLOOKUP(E471,#REF!,1,FALSE())),"?TYPE_IDENTIFIABLE","?REFERENTIAL"),"_")))))</f>
        <v/>
      </c>
      <c r="H471" s="12" t="str">
        <f aca="false">IF(J471&lt;&gt;1,"",IF(I471="SBJ","CB","?"))</f>
        <v/>
      </c>
      <c r="I471" s="13" t="str">
        <f aca="false">IF(OR(E471="",E471="!!!",F471="NEW"),"",INDEX(B$2:B470,-1+SUMPRODUCT(MAX(ROW(E$2:E470)*(E471=E$2:E470)))))</f>
        <v/>
      </c>
      <c r="J471" s="14" t="str">
        <f aca="true">IF(OR(E471="",E471="!!!",F471="NEW"),"",COUNTBLANK(OFFSET(A$1,,,SUMPRODUCT(MAX(ROW(E$2:E471)*(E471=E$2:E471)))))-COUNTBLANK(OFFSET(A$1,,,SUMPRODUCT(MAX(ROW(E$1:E470)*(E471=E$1:E470))))))</f>
        <v/>
      </c>
      <c r="K471" s="14" t="str">
        <f aca="false">IF(OR(E471="",E471="!!!",F471="NEW"),"",INDEX(J$1:J470,SUMPRODUCT(MAX(ROW(E$1:E470)*(E471=E$1:E470)))))</f>
        <v/>
      </c>
      <c r="L471" s="15"/>
    </row>
    <row r="472" customFormat="false" ht="12.75" hidden="false" customHeight="false" outlineLevel="0" collapsed="false">
      <c r="A472" s="0" t="s">
        <v>319</v>
      </c>
      <c r="E472" s="9" t="str">
        <f aca="false">IF(D472="?OLD","!!!","")</f>
        <v/>
      </c>
      <c r="F472" s="10" t="str">
        <f aca="false">IF(OR(E472="",E472="!!!"),"",IF(NOT(ISNA(VLOOKUP(E472,E$1:E471,1,FALSE()))),"OLD",IF(AND(E472&lt;&gt;"",E472&lt;&gt;"!!!"),"NEW","")))</f>
        <v/>
      </c>
      <c r="G472" s="11" t="str">
        <f aca="false">IF(OR(E472="",E472="!!!"),"",IF(OR(J472=0,AND(J472=1,K472=1),AND(J472=1,I472="SBJ"),AND(J472=1,I472=0)),"?IN_FOCUS",IF(J472&lt;=2,"?ACTIVATED",IF(J472&lt;&gt;"","?FAMILIAR",IF(F472="NEW",IF(ISNA(VLOOKUP(E472,#REF!,1,FALSE())),"?TYPE_IDENTIFIABLE","?REFERENTIAL"),"_")))))</f>
        <v/>
      </c>
      <c r="H472" s="12" t="str">
        <f aca="false">IF(J472&lt;&gt;1,"",IF(I472="SBJ","CB","?"))</f>
        <v/>
      </c>
      <c r="I472" s="13" t="str">
        <f aca="false">IF(OR(E472="",E472="!!!",F472="NEW"),"",INDEX(B$2:B471,-1+SUMPRODUCT(MAX(ROW(E$2:E471)*(E472=E$2:E471)))))</f>
        <v/>
      </c>
      <c r="J472" s="14" t="str">
        <f aca="true">IF(OR(E472="",E472="!!!",F472="NEW"),"",COUNTBLANK(OFFSET(A$1,,,SUMPRODUCT(MAX(ROW(E$2:E472)*(E472=E$2:E472)))))-COUNTBLANK(OFFSET(A$1,,,SUMPRODUCT(MAX(ROW(E$1:E471)*(E472=E$1:E471))))))</f>
        <v/>
      </c>
      <c r="K472" s="14" t="str">
        <f aca="false">IF(OR(E472="",E472="!!!",F472="NEW"),"",INDEX(J$1:J471,SUMPRODUCT(MAX(ROW(E$1:E471)*(E472=E$1:E471)))))</f>
        <v/>
      </c>
      <c r="L472" s="15"/>
    </row>
    <row r="473" customFormat="false" ht="12.75" hidden="false" customHeight="false" outlineLevel="0" collapsed="false">
      <c r="A473" s="0" t="s">
        <v>40</v>
      </c>
      <c r="E473" s="9" t="str">
        <f aca="false">IF(D473="?OLD","!!!","")</f>
        <v/>
      </c>
      <c r="F473" s="10" t="str">
        <f aca="false">IF(OR(E473="",E473="!!!"),"",IF(NOT(ISNA(VLOOKUP(E473,E$1:E472,1,FALSE()))),"OLD",IF(AND(E473&lt;&gt;"",E473&lt;&gt;"!!!"),"NEW","")))</f>
        <v/>
      </c>
      <c r="G473" s="11" t="str">
        <f aca="false">IF(OR(E473="",E473="!!!"),"",IF(OR(J473=0,AND(J473=1,K473=1),AND(J473=1,I473="SBJ"),AND(J473=1,I473=0)),"?IN_FOCUS",IF(J473&lt;=2,"?ACTIVATED",IF(J473&lt;&gt;"","?FAMILIAR",IF(F473="NEW",IF(ISNA(VLOOKUP(E473,#REF!,1,FALSE())),"?TYPE_IDENTIFIABLE","?REFERENTIAL"),"_")))))</f>
        <v/>
      </c>
      <c r="H473" s="12" t="str">
        <f aca="false">IF(J473&lt;&gt;1,"",IF(I473="SBJ","CB","?"))</f>
        <v/>
      </c>
      <c r="I473" s="13" t="str">
        <f aca="false">IF(OR(E473="",E473="!!!",F473="NEW"),"",INDEX(B$2:B472,-1+SUMPRODUCT(MAX(ROW(E$2:E472)*(E473=E$2:E472)))))</f>
        <v/>
      </c>
      <c r="J473" s="14" t="str">
        <f aca="true">IF(OR(E473="",E473="!!!",F473="NEW"),"",COUNTBLANK(OFFSET(A$1,,,SUMPRODUCT(MAX(ROW(E$2:E473)*(E473=E$2:E473)))))-COUNTBLANK(OFFSET(A$1,,,SUMPRODUCT(MAX(ROW(E$1:E472)*(E473=E$1:E472))))))</f>
        <v/>
      </c>
      <c r="K473" s="14" t="str">
        <f aca="false">IF(OR(E473="",E473="!!!",F473="NEW"),"",INDEX(J$1:J472,SUMPRODUCT(MAX(ROW(E$1:E472)*(E473=E$1:E472)))))</f>
        <v/>
      </c>
      <c r="L473" s="15"/>
    </row>
    <row r="474" customFormat="false" ht="12.75" hidden="false" customHeight="false" outlineLevel="0" collapsed="false">
      <c r="A474" s="0" t="s">
        <v>113</v>
      </c>
      <c r="E474" s="9" t="str">
        <f aca="false">IF(D474="?OLD","!!!","")</f>
        <v/>
      </c>
      <c r="F474" s="10" t="str">
        <f aca="false">IF(OR(E474="",E474="!!!"),"",IF(NOT(ISNA(VLOOKUP(E474,E$1:E473,1,FALSE()))),"OLD",IF(AND(E474&lt;&gt;"",E474&lt;&gt;"!!!"),"NEW","")))</f>
        <v/>
      </c>
      <c r="G474" s="11" t="str">
        <f aca="false">IF(OR(E474="",E474="!!!"),"",IF(OR(J474=0,AND(J474=1,K474=1),AND(J474=1,I474="SBJ"),AND(J474=1,I474=0)),"?IN_FOCUS",IF(J474&lt;=2,"?ACTIVATED",IF(J474&lt;&gt;"","?FAMILIAR",IF(F474="NEW",IF(ISNA(VLOOKUP(E474,#REF!,1,FALSE())),"?TYPE_IDENTIFIABLE","?REFERENTIAL"),"_")))))</f>
        <v/>
      </c>
      <c r="H474" s="12" t="str">
        <f aca="false">IF(J474&lt;&gt;1,"",IF(I474="SBJ","CB","?"))</f>
        <v/>
      </c>
      <c r="I474" s="13" t="str">
        <f aca="false">IF(OR(E474="",E474="!!!",F474="NEW"),"",INDEX(B$2:B473,-1+SUMPRODUCT(MAX(ROW(E$2:E473)*(E474=E$2:E473)))))</f>
        <v/>
      </c>
      <c r="J474" s="14" t="str">
        <f aca="true">IF(OR(E474="",E474="!!!",F474="NEW"),"",COUNTBLANK(OFFSET(A$1,,,SUMPRODUCT(MAX(ROW(E$2:E474)*(E474=E$2:E474)))))-COUNTBLANK(OFFSET(A$1,,,SUMPRODUCT(MAX(ROW(E$1:E473)*(E474=E$1:E473))))))</f>
        <v/>
      </c>
      <c r="K474" s="14" t="str">
        <f aca="false">IF(OR(E474="",E474="!!!",F474="NEW"),"",INDEX(J$1:J473,SUMPRODUCT(MAX(ROW(E$1:E473)*(E474=E$1:E473)))))</f>
        <v/>
      </c>
      <c r="L474" s="15"/>
    </row>
    <row r="475" customFormat="false" ht="12.75" hidden="false" customHeight="false" outlineLevel="0" collapsed="false">
      <c r="A475" s="0" t="s">
        <v>320</v>
      </c>
      <c r="E475" s="9" t="str">
        <f aca="false">IF(D475="?OLD","!!!","")</f>
        <v/>
      </c>
      <c r="F475" s="10" t="str">
        <f aca="false">IF(OR(E475="",E475="!!!"),"",IF(NOT(ISNA(VLOOKUP(E475,E$1:E474,1,FALSE()))),"OLD",IF(AND(E475&lt;&gt;"",E475&lt;&gt;"!!!"),"NEW","")))</f>
        <v/>
      </c>
      <c r="G475" s="11" t="str">
        <f aca="false">IF(OR(E475="",E475="!!!"),"",IF(OR(J475=0,AND(J475=1,K475=1),AND(J475=1,I475="SBJ"),AND(J475=1,I475=0)),"?IN_FOCUS",IF(J475&lt;=2,"?ACTIVATED",IF(J475&lt;&gt;"","?FAMILIAR",IF(F475="NEW",IF(ISNA(VLOOKUP(E475,#REF!,1,FALSE())),"?TYPE_IDENTIFIABLE","?REFERENTIAL"),"_")))))</f>
        <v/>
      </c>
      <c r="H475" s="12" t="str">
        <f aca="false">IF(J475&lt;&gt;1,"",IF(I475="SBJ","CB","?"))</f>
        <v/>
      </c>
      <c r="I475" s="13" t="str">
        <f aca="false">IF(OR(E475="",E475="!!!",F475="NEW"),"",INDEX(B$2:B474,-1+SUMPRODUCT(MAX(ROW(E$2:E474)*(E475=E$2:E474)))))</f>
        <v/>
      </c>
      <c r="J475" s="14" t="str">
        <f aca="true">IF(OR(E475="",E475="!!!",F475="NEW"),"",COUNTBLANK(OFFSET(A$1,,,SUMPRODUCT(MAX(ROW(E$2:E475)*(E475=E$2:E475)))))-COUNTBLANK(OFFSET(A$1,,,SUMPRODUCT(MAX(ROW(E$1:E474)*(E475=E$1:E474))))))</f>
        <v/>
      </c>
      <c r="K475" s="14" t="str">
        <f aca="false">IF(OR(E475="",E475="!!!",F475="NEW"),"",INDEX(J$1:J474,SUMPRODUCT(MAX(ROW(E$1:E474)*(E475=E$1:E474)))))</f>
        <v/>
      </c>
      <c r="L475" s="15"/>
    </row>
    <row r="476" customFormat="false" ht="12.75" hidden="false" customHeight="false" outlineLevel="0" collapsed="false">
      <c r="A476" s="0" t="s">
        <v>317</v>
      </c>
      <c r="B476" s="0" t="s">
        <v>103</v>
      </c>
      <c r="C476" s="0" t="s">
        <v>43</v>
      </c>
      <c r="E476" s="9" t="s">
        <v>36</v>
      </c>
      <c r="F476" s="10" t="str">
        <f aca="false">IF(OR(E476="",E476="!!!"),"",IF(NOT(ISNA(VLOOKUP(E476,E$1:E475,1,FALSE()))),"OLD",IF(AND(E476&lt;&gt;"",E476&lt;&gt;"!!!"),"NEW","")))</f>
        <v>OLD</v>
      </c>
      <c r="G476" s="11" t="s">
        <v>39</v>
      </c>
      <c r="H476" s="12" t="str">
        <f aca="false">IF(J476&lt;&gt;1,"",IF(I476="SBJ","CB","?"))</f>
        <v/>
      </c>
      <c r="I476" s="13" t="str">
        <f aca="false">IF(OR(E476="",E476="!!!",F476="NEW"),"",INDEX(B$2:B475,-1+SUMPRODUCT(MAX(ROW(E$2:E475)*(E476=E$2:E475)))))</f>
        <v>OBJ_7</v>
      </c>
      <c r="J476" s="14" t="n">
        <f aca="true">IF(OR(E476="",E476="!!!",F476="NEW"),"",COUNTBLANK(OFFSET(A$1,,,SUMPRODUCT(MAX(ROW(E$2:E476)*(E476=E$2:E476)))))-COUNTBLANK(OFFSET(A$1,,,SUMPRODUCT(MAX(ROW(E$1:E475)*(E476=E$1:E475))))))</f>
        <v>6</v>
      </c>
      <c r="K476" s="14" t="str">
        <f aca="false">IF(OR(E476="",E476="!!!",F476="NEW"),"",INDEX(J$1:J475,SUMPRODUCT(MAX(ROW(E$1:E475)*(E476=E$1:E475)))))</f>
        <v/>
      </c>
      <c r="L476" s="15"/>
    </row>
    <row r="477" customFormat="false" ht="12.75" hidden="false" customHeight="false" outlineLevel="0" collapsed="false">
      <c r="A477" s="0" t="s">
        <v>31</v>
      </c>
      <c r="E477" s="9" t="str">
        <f aca="false">IF(D477="?OLD","!!!","")</f>
        <v/>
      </c>
      <c r="F477" s="10" t="str">
        <f aca="false">IF(OR(E477="",E477="!!!"),"",IF(NOT(ISNA(VLOOKUP(E477,E$1:E476,1,FALSE()))),"OLD",IF(AND(E477&lt;&gt;"",E477&lt;&gt;"!!!"),"NEW","")))</f>
        <v/>
      </c>
      <c r="G477" s="11" t="str">
        <f aca="false">IF(OR(E477="",E477="!!!"),"",IF(OR(J477=0,AND(J477=1,K477=1),AND(J477=1,I477="SBJ"),AND(J477=1,I477=0)),"?IN_FOCUS",IF(J477&lt;=2,"?ACTIVATED",IF(J477&lt;&gt;"","?FAMILIAR",IF(F477="NEW",IF(ISNA(VLOOKUP(E477,#REF!,1,FALSE())),"?TYPE_IDENTIFIABLE","?REFERENTIAL"),"_")))))</f>
        <v/>
      </c>
      <c r="H477" s="12" t="str">
        <f aca="false">IF(J477&lt;&gt;1,"",IF(I477="SBJ","CB","?"))</f>
        <v/>
      </c>
      <c r="I477" s="13" t="str">
        <f aca="false">IF(OR(E477="",E477="!!!",F477="NEW"),"",INDEX(B$2:B476,-1+SUMPRODUCT(MAX(ROW(E$2:E476)*(E477=E$2:E476)))))</f>
        <v/>
      </c>
      <c r="J477" s="14" t="str">
        <f aca="true">IF(OR(E477="",E477="!!!",F477="NEW"),"",COUNTBLANK(OFFSET(A$1,,,SUMPRODUCT(MAX(ROW(E$2:E477)*(E477=E$2:E477)))))-COUNTBLANK(OFFSET(A$1,,,SUMPRODUCT(MAX(ROW(E$1:E476)*(E477=E$1:E476))))))</f>
        <v/>
      </c>
      <c r="K477" s="14" t="str">
        <f aca="false">IF(OR(E477="",E477="!!!",F477="NEW"),"",INDEX(J$1:J476,SUMPRODUCT(MAX(ROW(E$1:E476)*(E477=E$1:E476)))))</f>
        <v/>
      </c>
      <c r="L477" s="15"/>
    </row>
    <row r="478" customFormat="false" ht="12.75" hidden="false" customHeight="false" outlineLevel="0" collapsed="false">
      <c r="A478" s="0" t="s">
        <v>262</v>
      </c>
      <c r="E478" s="9" t="str">
        <f aca="false">IF(D478="?OLD","!!!","")</f>
        <v/>
      </c>
      <c r="F478" s="10" t="str">
        <f aca="false">IF(OR(E478="",E478="!!!"),"",IF(NOT(ISNA(VLOOKUP(E478,E$1:E477,1,FALSE()))),"OLD",IF(AND(E478&lt;&gt;"",E478&lt;&gt;"!!!"),"NEW","")))</f>
        <v/>
      </c>
      <c r="G478" s="11" t="str">
        <f aca="false">IF(OR(E478="",E478="!!!"),"",IF(OR(J478=0,AND(J478=1,K478=1),AND(J478=1,I478="SBJ"),AND(J478=1,I478=0)),"?IN_FOCUS",IF(J478&lt;=2,"?ACTIVATED",IF(J478&lt;&gt;"","?FAMILIAR",IF(F478="NEW",IF(ISNA(VLOOKUP(E478,#REF!,1,FALSE())),"?TYPE_IDENTIFIABLE","?REFERENTIAL"),"_")))))</f>
        <v/>
      </c>
      <c r="H478" s="12" t="str">
        <f aca="false">IF(J478&lt;&gt;1,"",IF(I478="SBJ","CB","?"))</f>
        <v/>
      </c>
      <c r="I478" s="13" t="str">
        <f aca="false">IF(OR(E478="",E478="!!!",F478="NEW"),"",INDEX(B$2:B477,-1+SUMPRODUCT(MAX(ROW(E$2:E477)*(E478=E$2:E477)))))</f>
        <v/>
      </c>
      <c r="J478" s="14" t="str">
        <f aca="true">IF(OR(E478="",E478="!!!",F478="NEW"),"",COUNTBLANK(OFFSET(A$1,,,SUMPRODUCT(MAX(ROW(E$2:E478)*(E478=E$2:E478)))))-COUNTBLANK(OFFSET(A$1,,,SUMPRODUCT(MAX(ROW(E$1:E477)*(E478=E$1:E477))))))</f>
        <v/>
      </c>
      <c r="K478" s="14" t="str">
        <f aca="false">IF(OR(E478="",E478="!!!",F478="NEW"),"",INDEX(J$1:J477,SUMPRODUCT(MAX(ROW(E$1:E477)*(E478=E$1:E477)))))</f>
        <v/>
      </c>
      <c r="L478" s="15"/>
    </row>
    <row r="479" customFormat="false" ht="12.75" hidden="false" customHeight="false" outlineLevel="0" collapsed="false">
      <c r="A479" s="0" t="s">
        <v>154</v>
      </c>
      <c r="E479" s="9" t="str">
        <f aca="false">IF(D479="?OLD","!!!","")</f>
        <v/>
      </c>
      <c r="F479" s="10" t="str">
        <f aca="false">IF(OR(E479="",E479="!!!"),"",IF(NOT(ISNA(VLOOKUP(E479,E$1:E478,1,FALSE()))),"OLD",IF(AND(E479&lt;&gt;"",E479&lt;&gt;"!!!"),"NEW","")))</f>
        <v/>
      </c>
      <c r="G479" s="11" t="str">
        <f aca="false">IF(OR(E479="",E479="!!!"),"",IF(OR(J479=0,AND(J479=1,K479=1),AND(J479=1,I479="SBJ"),AND(J479=1,I479=0)),"?IN_FOCUS",IF(J479&lt;=2,"?ACTIVATED",IF(J479&lt;&gt;"","?FAMILIAR",IF(F479="NEW",IF(ISNA(VLOOKUP(E479,#REF!,1,FALSE())),"?TYPE_IDENTIFIABLE","?REFERENTIAL"),"_")))))</f>
        <v/>
      </c>
      <c r="H479" s="12" t="str">
        <f aca="false">IF(J479&lt;&gt;1,"",IF(I479="SBJ","CB","?"))</f>
        <v/>
      </c>
      <c r="I479" s="13" t="str">
        <f aca="false">IF(OR(E479="",E479="!!!",F479="NEW"),"",INDEX(B$2:B478,-1+SUMPRODUCT(MAX(ROW(E$2:E478)*(E479=E$2:E478)))))</f>
        <v/>
      </c>
      <c r="J479" s="14" t="str">
        <f aca="true">IF(OR(E479="",E479="!!!",F479="NEW"),"",COUNTBLANK(OFFSET(A$1,,,SUMPRODUCT(MAX(ROW(E$2:E479)*(E479=E$2:E479)))))-COUNTBLANK(OFFSET(A$1,,,SUMPRODUCT(MAX(ROW(E$1:E478)*(E479=E$1:E478))))))</f>
        <v/>
      </c>
      <c r="K479" s="14" t="str">
        <f aca="false">IF(OR(E479="",E479="!!!",F479="NEW"),"",INDEX(J$1:J478,SUMPRODUCT(MAX(ROW(E$1:E478)*(E479=E$1:E478)))))</f>
        <v/>
      </c>
      <c r="L479" s="15"/>
    </row>
    <row r="480" customFormat="false" ht="12.75" hidden="false" customHeight="false" outlineLevel="0" collapsed="false">
      <c r="A480" s="0" t="s">
        <v>66</v>
      </c>
      <c r="E480" s="9" t="str">
        <f aca="false">IF(D480="?OLD","!!!","")</f>
        <v/>
      </c>
      <c r="F480" s="10" t="str">
        <f aca="false">IF(OR(E480="",E480="!!!"),"",IF(NOT(ISNA(VLOOKUP(E480,E$1:E479,1,FALSE()))),"OLD",IF(AND(E480&lt;&gt;"",E480&lt;&gt;"!!!"),"NEW","")))</f>
        <v/>
      </c>
      <c r="G480" s="11" t="str">
        <f aca="false">IF(OR(E480="",E480="!!!"),"",IF(OR(J480=0,AND(J480=1,K480=1),AND(J480=1,I480="SBJ"),AND(J480=1,I480=0)),"?IN_FOCUS",IF(J480&lt;=2,"?ACTIVATED",IF(J480&lt;&gt;"","?FAMILIAR",IF(F480="NEW",IF(ISNA(VLOOKUP(E480,#REF!,1,FALSE())),"?TYPE_IDENTIFIABLE","?REFERENTIAL"),"_")))))</f>
        <v/>
      </c>
      <c r="H480" s="12" t="str">
        <f aca="false">IF(J480&lt;&gt;1,"",IF(I480="SBJ","CB","?"))</f>
        <v/>
      </c>
      <c r="I480" s="13" t="str">
        <f aca="false">IF(OR(E480="",E480="!!!",F480="NEW"),"",INDEX(B$2:B479,-1+SUMPRODUCT(MAX(ROW(E$2:E479)*(E480=E$2:E479)))))</f>
        <v/>
      </c>
      <c r="J480" s="14" t="str">
        <f aca="true">IF(OR(E480="",E480="!!!",F480="NEW"),"",COUNTBLANK(OFFSET(A$1,,,SUMPRODUCT(MAX(ROW(E$2:E480)*(E480=E$2:E480)))))-COUNTBLANK(OFFSET(A$1,,,SUMPRODUCT(MAX(ROW(E$1:E479)*(E480=E$1:E479))))))</f>
        <v/>
      </c>
      <c r="K480" s="14" t="str">
        <f aca="false">IF(OR(E480="",E480="!!!",F480="NEW"),"",INDEX(J$1:J479,SUMPRODUCT(MAX(ROW(E$1:E479)*(E480=E$1:E479)))))</f>
        <v/>
      </c>
      <c r="L480" s="15"/>
    </row>
    <row r="481" customFormat="false" ht="12.75" hidden="false" customHeight="false" outlineLevel="0" collapsed="false">
      <c r="A481" s="0" t="s">
        <v>272</v>
      </c>
      <c r="B481" s="0" t="s">
        <v>14</v>
      </c>
      <c r="C481" s="0" t="s">
        <v>111</v>
      </c>
      <c r="D481" s="0" t="s">
        <v>29</v>
      </c>
      <c r="E481" s="9" t="s">
        <v>265</v>
      </c>
      <c r="F481" s="10" t="str">
        <f aca="false">IF(OR(E481="",E481="!!!"),"",IF(NOT(ISNA(VLOOKUP(E481,E$1:E480,1,FALSE()))),"OLD",IF(AND(E481&lt;&gt;"",E481&lt;&gt;"!!!"),"NEW","")))</f>
        <v>OLD</v>
      </c>
      <c r="G481" s="11" t="s">
        <v>25</v>
      </c>
      <c r="H481" s="12" t="str">
        <f aca="false">IF(J481&lt;&gt;1,"",IF(I481="SBJ","CB","?"))</f>
        <v/>
      </c>
      <c r="I481" s="13" t="str">
        <f aca="false">IF(OR(E481="",E481="!!!",F481="NEW"),"",INDEX(B$2:B480,-1+SUMPRODUCT(MAX(ROW(E$2:E480)*(E481=E$2:E480)))))</f>
        <v>SBJ_9</v>
      </c>
      <c r="J481" s="14" t="n">
        <f aca="true">IF(OR(E481="",E481="!!!",F481="NEW"),"",COUNTBLANK(OFFSET(A$1,,,SUMPRODUCT(MAX(ROW(E$2:E481)*(E481=E$2:E481)))))-COUNTBLANK(OFFSET(A$1,,,SUMPRODUCT(MAX(ROW(E$1:E480)*(E481=E$1:E480))))))</f>
        <v>6</v>
      </c>
      <c r="K481" s="14" t="n">
        <f aca="false">IF(OR(E481="",E481="!!!",F481="NEW"),"",INDEX(J$1:J480,SUMPRODUCT(MAX(ROW(E$1:E480)*(E481=E$1:E480)))))</f>
        <v>0</v>
      </c>
      <c r="L481" s="15"/>
    </row>
    <row r="482" customFormat="false" ht="12.75" hidden="false" customHeight="false" outlineLevel="0" collapsed="false">
      <c r="A482" s="0" t="s">
        <v>173</v>
      </c>
      <c r="E482" s="9" t="str">
        <f aca="false">IF(D482="?OLD","!!!","")</f>
        <v/>
      </c>
      <c r="F482" s="10" t="str">
        <f aca="false">IF(OR(E482="",E482="!!!"),"",IF(NOT(ISNA(VLOOKUP(E482,E$1:E481,1,FALSE()))),"OLD",IF(AND(E482&lt;&gt;"",E482&lt;&gt;"!!!"),"NEW","")))</f>
        <v/>
      </c>
      <c r="G482" s="11" t="str">
        <f aca="false">IF(OR(E482="",E482="!!!"),"",IF(OR(J482=0,AND(J482=1,K482=1),AND(J482=1,I482="SBJ"),AND(J482=1,I482=0)),"?IN_FOCUS",IF(J482&lt;=2,"?ACTIVATED",IF(J482&lt;&gt;"","?FAMILIAR",IF(F482="NEW",IF(ISNA(VLOOKUP(E482,#REF!,1,FALSE())),"?TYPE_IDENTIFIABLE","?REFERENTIAL"),"_")))))</f>
        <v/>
      </c>
      <c r="H482" s="12" t="str">
        <f aca="false">IF(J482&lt;&gt;1,"",IF(I482="SBJ","CB","?"))</f>
        <v/>
      </c>
      <c r="I482" s="13" t="str">
        <f aca="false">IF(OR(E482="",E482="!!!",F482="NEW"),"",INDEX(B$2:B481,-1+SUMPRODUCT(MAX(ROW(E$2:E481)*(E482=E$2:E481)))))</f>
        <v/>
      </c>
      <c r="J482" s="14" t="str">
        <f aca="true">IF(OR(E482="",E482="!!!",F482="NEW"),"",COUNTBLANK(OFFSET(A$1,,,SUMPRODUCT(MAX(ROW(E$2:E482)*(E482=E$2:E482)))))-COUNTBLANK(OFFSET(A$1,,,SUMPRODUCT(MAX(ROW(E$1:E481)*(E482=E$1:E481))))))</f>
        <v/>
      </c>
      <c r="K482" s="14" t="str">
        <f aca="false">IF(OR(E482="",E482="!!!",F482="NEW"),"",INDEX(J$1:J481,SUMPRODUCT(MAX(ROW(E$1:E481)*(E482=E$1:E481)))))</f>
        <v/>
      </c>
      <c r="L482" s="15"/>
    </row>
    <row r="483" customFormat="false" ht="12.75" hidden="false" customHeight="false" outlineLevel="0" collapsed="false">
      <c r="A483" s="0" t="s">
        <v>40</v>
      </c>
      <c r="E483" s="9" t="str">
        <f aca="false">IF(D483="?OLD","!!!","")</f>
        <v/>
      </c>
      <c r="F483" s="10" t="str">
        <f aca="false">IF(OR(E483="",E483="!!!"),"",IF(NOT(ISNA(VLOOKUP(E483,E$1:E482,1,FALSE()))),"OLD",IF(AND(E483&lt;&gt;"",E483&lt;&gt;"!!!"),"NEW","")))</f>
        <v/>
      </c>
      <c r="G483" s="11" t="str">
        <f aca="false">IF(OR(E483="",E483="!!!"),"",IF(OR(J483=0,AND(J483=1,K483=1),AND(J483=1,I483="SBJ"),AND(J483=1,I483=0)),"?IN_FOCUS",IF(J483&lt;=2,"?ACTIVATED",IF(J483&lt;&gt;"","?FAMILIAR",IF(F483="NEW",IF(ISNA(VLOOKUP(E483,#REF!,1,FALSE())),"?TYPE_IDENTIFIABLE","?REFERENTIAL"),"_")))))</f>
        <v/>
      </c>
      <c r="H483" s="12" t="str">
        <f aca="false">IF(J483&lt;&gt;1,"",IF(I483="SBJ","CB","?"))</f>
        <v/>
      </c>
      <c r="I483" s="13" t="str">
        <f aca="false">IF(OR(E483="",E483="!!!",F483="NEW"),"",INDEX(B$2:B482,-1+SUMPRODUCT(MAX(ROW(E$2:E482)*(E483=E$2:E482)))))</f>
        <v/>
      </c>
      <c r="J483" s="14" t="str">
        <f aca="true">IF(OR(E483="",E483="!!!",F483="NEW"),"",COUNTBLANK(OFFSET(A$1,,,SUMPRODUCT(MAX(ROW(E$2:E483)*(E483=E$2:E483)))))-COUNTBLANK(OFFSET(A$1,,,SUMPRODUCT(MAX(ROW(E$1:E482)*(E483=E$1:E482))))))</f>
        <v/>
      </c>
      <c r="K483" s="14" t="str">
        <f aca="false">IF(OR(E483="",E483="!!!",F483="NEW"),"",INDEX(J$1:J482,SUMPRODUCT(MAX(ROW(E$1:E482)*(E483=E$1:E482)))))</f>
        <v/>
      </c>
      <c r="L483" s="15"/>
    </row>
    <row r="484" customFormat="false" ht="12.75" hidden="false" customHeight="false" outlineLevel="0" collapsed="false">
      <c r="A484" s="0" t="s">
        <v>321</v>
      </c>
      <c r="B484" s="0" t="s">
        <v>28</v>
      </c>
      <c r="C484" s="0" t="s">
        <v>43</v>
      </c>
      <c r="E484" s="9" t="str">
        <f aca="false">IF(D484="?OLD","!!!","")</f>
        <v/>
      </c>
      <c r="F484" s="10" t="str">
        <f aca="false">IF(OR(E484="",E484="!!!"),"",IF(NOT(ISNA(VLOOKUP(E484,E$1:E483,1,FALSE()))),"OLD",IF(AND(E484&lt;&gt;"",E484&lt;&gt;"!!!"),"NEW","")))</f>
        <v/>
      </c>
      <c r="G484" s="11" t="str">
        <f aca="false">IF(OR(E484="",E484="!!!"),"",IF(OR(J484=0,AND(J484=1,K484=1),AND(J484=1,I484="SBJ"),AND(J484=1,I484=0)),"?IN_FOCUS",IF(J484&lt;=2,"?ACTIVATED",IF(J484&lt;&gt;"","?FAMILIAR",IF(F484="NEW",IF(ISNA(VLOOKUP(E484,#REF!,1,FALSE())),"?TYPE_IDENTIFIABLE","?REFERENTIAL"),"_")))))</f>
        <v/>
      </c>
      <c r="H484" s="12" t="str">
        <f aca="false">IF(J484&lt;&gt;1,"",IF(I484="SBJ","CB","?"))</f>
        <v/>
      </c>
      <c r="I484" s="13" t="str">
        <f aca="false">IF(OR(E484="",E484="!!!",F484="NEW"),"",INDEX(B$2:B483,-1+SUMPRODUCT(MAX(ROW(E$2:E483)*(E484=E$2:E483)))))</f>
        <v/>
      </c>
      <c r="J484" s="14" t="str">
        <f aca="true">IF(OR(E484="",E484="!!!",F484="NEW"),"",COUNTBLANK(OFFSET(A$1,,,SUMPRODUCT(MAX(ROW(E$2:E484)*(E484=E$2:E484)))))-COUNTBLANK(OFFSET(A$1,,,SUMPRODUCT(MAX(ROW(E$1:E483)*(E484=E$1:E483))))))</f>
        <v/>
      </c>
      <c r="K484" s="14" t="str">
        <f aca="false">IF(OR(E484="",E484="!!!",F484="NEW"),"",INDEX(J$1:J483,SUMPRODUCT(MAX(ROW(E$1:E483)*(E484=E$1:E483)))))</f>
        <v/>
      </c>
      <c r="L484" s="15"/>
    </row>
    <row r="485" customFormat="false" ht="12.75" hidden="false" customHeight="false" outlineLevel="0" collapsed="false">
      <c r="A485" s="0" t="s">
        <v>31</v>
      </c>
      <c r="E485" s="9" t="str">
        <f aca="false">IF(D485="?OLD","!!!","")</f>
        <v/>
      </c>
      <c r="F485" s="10" t="str">
        <f aca="false">IF(OR(E485="",E485="!!!"),"",IF(NOT(ISNA(VLOOKUP(E485,E$1:E484,1,FALSE()))),"OLD",IF(AND(E485&lt;&gt;"",E485&lt;&gt;"!!!"),"NEW","")))</f>
        <v/>
      </c>
      <c r="G485" s="11" t="str">
        <f aca="false">IF(OR(E485="",E485="!!!"),"",IF(OR(J485=0,AND(J485=1,K485=1),AND(J485=1,I485="SBJ"),AND(J485=1,I485=0)),"?IN_FOCUS",IF(J485&lt;=2,"?ACTIVATED",IF(J485&lt;&gt;"","?FAMILIAR",IF(F485="NEW",IF(ISNA(VLOOKUP(E485,#REF!,1,FALSE())),"?TYPE_IDENTIFIABLE","?REFERENTIAL"),"_")))))</f>
        <v/>
      </c>
      <c r="H485" s="12" t="str">
        <f aca="false">IF(J485&lt;&gt;1,"",IF(I485="SBJ","CB","?"))</f>
        <v/>
      </c>
      <c r="I485" s="13" t="str">
        <f aca="false">IF(OR(E485="",E485="!!!",F485="NEW"),"",INDEX(B$2:B484,-1+SUMPRODUCT(MAX(ROW(E$2:E484)*(E485=E$2:E484)))))</f>
        <v/>
      </c>
      <c r="J485" s="14" t="str">
        <f aca="true">IF(OR(E485="",E485="!!!",F485="NEW"),"",COUNTBLANK(OFFSET(A$1,,,SUMPRODUCT(MAX(ROW(E$2:E485)*(E485=E$2:E485)))))-COUNTBLANK(OFFSET(A$1,,,SUMPRODUCT(MAX(ROW(E$1:E484)*(E485=E$1:E484))))))</f>
        <v/>
      </c>
      <c r="K485" s="14" t="str">
        <f aca="false">IF(OR(E485="",E485="!!!",F485="NEW"),"",INDEX(J$1:J484,SUMPRODUCT(MAX(ROW(E$1:E484)*(E485=E$1:E484)))))</f>
        <v/>
      </c>
      <c r="L485" s="15"/>
    </row>
    <row r="486" customFormat="false" ht="12.75" hidden="false" customHeight="false" outlineLevel="0" collapsed="false">
      <c r="A486" s="0" t="s">
        <v>322</v>
      </c>
      <c r="E486" s="9" t="str">
        <f aca="false">IF(D486="?OLD","!!!","")</f>
        <v/>
      </c>
      <c r="F486" s="10" t="str">
        <f aca="false">IF(OR(E486="",E486="!!!"),"",IF(NOT(ISNA(VLOOKUP(E486,E$1:E485,1,FALSE()))),"OLD",IF(AND(E486&lt;&gt;"",E486&lt;&gt;"!!!"),"NEW","")))</f>
        <v/>
      </c>
      <c r="G486" s="11" t="str">
        <f aca="false">IF(OR(E486="",E486="!!!"),"",IF(OR(J486=0,AND(J486=1,K486=1),AND(J486=1,I486="SBJ"),AND(J486=1,I486=0)),"?IN_FOCUS",IF(J486&lt;=2,"?ACTIVATED",IF(J486&lt;&gt;"","?FAMILIAR",IF(F486="NEW",IF(ISNA(VLOOKUP(E486,#REF!,1,FALSE())),"?TYPE_IDENTIFIABLE","?REFERENTIAL"),"_")))))</f>
        <v/>
      </c>
      <c r="H486" s="12" t="str">
        <f aca="false">IF(J486&lt;&gt;1,"",IF(I486="SBJ","CB","?"))</f>
        <v/>
      </c>
      <c r="I486" s="13" t="str">
        <f aca="false">IF(OR(E486="",E486="!!!",F486="NEW"),"",INDEX(B$2:B485,-1+SUMPRODUCT(MAX(ROW(E$2:E485)*(E486=E$2:E485)))))</f>
        <v/>
      </c>
      <c r="J486" s="14" t="str">
        <f aca="true">IF(OR(E486="",E486="!!!",F486="NEW"),"",COUNTBLANK(OFFSET(A$1,,,SUMPRODUCT(MAX(ROW(E$2:E486)*(E486=E$2:E486)))))-COUNTBLANK(OFFSET(A$1,,,SUMPRODUCT(MAX(ROW(E$1:E485)*(E486=E$1:E485))))))</f>
        <v/>
      </c>
      <c r="K486" s="14" t="str">
        <f aca="false">IF(OR(E486="",E486="!!!",F486="NEW"),"",INDEX(J$1:J485,SUMPRODUCT(MAX(ROW(E$1:E485)*(E486=E$1:E485)))))</f>
        <v/>
      </c>
      <c r="L486" s="15"/>
    </row>
    <row r="487" customFormat="false" ht="12.75" hidden="false" customHeight="false" outlineLevel="0" collapsed="false">
      <c r="A487" s="0" t="s">
        <v>323</v>
      </c>
      <c r="E487" s="9" t="str">
        <f aca="false">IF(D487="?OLD","!!!","")</f>
        <v/>
      </c>
      <c r="F487" s="10" t="str">
        <f aca="false">IF(OR(E487="",E487="!!!"),"",IF(NOT(ISNA(VLOOKUP(E487,E$1:E486,1,FALSE()))),"OLD",IF(AND(E487&lt;&gt;"",E487&lt;&gt;"!!!"),"NEW","")))</f>
        <v/>
      </c>
      <c r="G487" s="11" t="str">
        <f aca="false">IF(OR(E487="",E487="!!!"),"",IF(OR(J487=0,AND(J487=1,K487=1),AND(J487=1,I487="SBJ"),AND(J487=1,I487=0)),"?IN_FOCUS",IF(J487&lt;=2,"?ACTIVATED",IF(J487&lt;&gt;"","?FAMILIAR",IF(F487="NEW",IF(ISNA(VLOOKUP(E487,#REF!,1,FALSE())),"?TYPE_IDENTIFIABLE","?REFERENTIAL"),"_")))))</f>
        <v/>
      </c>
      <c r="H487" s="12" t="str">
        <f aca="false">IF(J487&lt;&gt;1,"",IF(I487="SBJ","CB","?"))</f>
        <v/>
      </c>
      <c r="I487" s="13" t="str">
        <f aca="false">IF(OR(E487="",E487="!!!",F487="NEW"),"",INDEX(B$2:B486,-1+SUMPRODUCT(MAX(ROW(E$2:E486)*(E487=E$2:E486)))))</f>
        <v/>
      </c>
      <c r="J487" s="14" t="str">
        <f aca="true">IF(OR(E487="",E487="!!!",F487="NEW"),"",COUNTBLANK(OFFSET(A$1,,,SUMPRODUCT(MAX(ROW(E$2:E487)*(E487=E$2:E487)))))-COUNTBLANK(OFFSET(A$1,,,SUMPRODUCT(MAX(ROW(E$1:E486)*(E487=E$1:E486))))))</f>
        <v/>
      </c>
      <c r="K487" s="14" t="str">
        <f aca="false">IF(OR(E487="",E487="!!!",F487="NEW"),"",INDEX(J$1:J486,SUMPRODUCT(MAX(ROW(E$1:E486)*(E487=E$1:E486)))))</f>
        <v/>
      </c>
      <c r="L487" s="15"/>
    </row>
    <row r="488" customFormat="false" ht="12.75" hidden="false" customHeight="false" outlineLevel="0" collapsed="false">
      <c r="A488" s="0" t="s">
        <v>97</v>
      </c>
      <c r="B488" s="0" t="s">
        <v>107</v>
      </c>
      <c r="C488" s="0" t="s">
        <v>38</v>
      </c>
      <c r="D488" s="0" t="s">
        <v>29</v>
      </c>
      <c r="E488" s="9" t="s">
        <v>265</v>
      </c>
      <c r="F488" s="10" t="str">
        <f aca="false">IF(OR(E488="",E488="!!!"),"",IF(NOT(ISNA(VLOOKUP(E488,E$1:E487,1,FALSE()))),"OLD",IF(AND(E488&lt;&gt;"",E488&lt;&gt;"!!!"),"NEW","")))</f>
        <v>OLD</v>
      </c>
      <c r="G488" s="11" t="s">
        <v>39</v>
      </c>
      <c r="H488" s="12" t="str">
        <f aca="false">IF(J488&lt;&gt;1,"",IF(I488="SBJ","CB","?"))</f>
        <v/>
      </c>
      <c r="I488" s="13" t="str">
        <f aca="false">IF(OR(E488="",E488="!!!",F488="NEW"),"",INDEX(B$2:B487,-1+SUMPRODUCT(MAX(ROW(E$2:E487)*(E488=E$2:E487)))))</f>
        <v>SBJ</v>
      </c>
      <c r="J488" s="14" t="n">
        <f aca="true">IF(OR(E488="",E488="!!!",F488="NEW"),"",COUNTBLANK(OFFSET(A$1,,,SUMPRODUCT(MAX(ROW(E$2:E488)*(E488=E$2:E488)))))-COUNTBLANK(OFFSET(A$1,,,SUMPRODUCT(MAX(ROW(E$1:E487)*(E488=E$1:E487))))))</f>
        <v>0</v>
      </c>
      <c r="K488" s="14" t="n">
        <f aca="false">IF(OR(E488="",E488="!!!",F488="NEW"),"",INDEX(J$1:J487,SUMPRODUCT(MAX(ROW(E$1:E487)*(E488=E$1:E487)))))</f>
        <v>6</v>
      </c>
      <c r="L488" s="15"/>
    </row>
    <row r="489" customFormat="false" ht="12.75" hidden="false" customHeight="false" outlineLevel="0" collapsed="false">
      <c r="A489" s="0" t="s">
        <v>145</v>
      </c>
      <c r="E489" s="9" t="str">
        <f aca="false">IF(D489="?OLD","!!!","")</f>
        <v/>
      </c>
      <c r="F489" s="10" t="str">
        <f aca="false">IF(OR(E489="",E489="!!!"),"",IF(NOT(ISNA(VLOOKUP(E489,E$1:E488,1,FALSE()))),"OLD",IF(AND(E489&lt;&gt;"",E489&lt;&gt;"!!!"),"NEW","")))</f>
        <v/>
      </c>
      <c r="G489" s="11" t="str">
        <f aca="false">IF(OR(E489="",E489="!!!"),"",IF(OR(J489=0,AND(J489=1,K489=1),AND(J489=1,I489="SBJ"),AND(J489=1,I489=0)),"?IN_FOCUS",IF(J489&lt;=2,"?ACTIVATED",IF(J489&lt;&gt;"","?FAMILIAR",IF(F489="NEW",IF(ISNA(VLOOKUP(E489,#REF!,1,FALSE())),"?TYPE_IDENTIFIABLE","?REFERENTIAL"),"_")))))</f>
        <v/>
      </c>
      <c r="H489" s="12" t="str">
        <f aca="false">IF(J489&lt;&gt;1,"",IF(I489="SBJ","CB","?"))</f>
        <v/>
      </c>
      <c r="I489" s="13" t="str">
        <f aca="false">IF(OR(E489="",E489="!!!",F489="NEW"),"",INDEX(B$2:B488,-1+SUMPRODUCT(MAX(ROW(E$2:E488)*(E489=E$2:E488)))))</f>
        <v/>
      </c>
      <c r="J489" s="14" t="str">
        <f aca="true">IF(OR(E489="",E489="!!!",F489="NEW"),"",COUNTBLANK(OFFSET(A$1,,,SUMPRODUCT(MAX(ROW(E$2:E489)*(E489=E$2:E489)))))-COUNTBLANK(OFFSET(A$1,,,SUMPRODUCT(MAX(ROW(E$1:E488)*(E489=E$1:E488))))))</f>
        <v/>
      </c>
      <c r="K489" s="14" t="str">
        <f aca="false">IF(OR(E489="",E489="!!!",F489="NEW"),"",INDEX(J$1:J488,SUMPRODUCT(MAX(ROW(E$1:E488)*(E489=E$1:E488)))))</f>
        <v/>
      </c>
      <c r="L489" s="15"/>
    </row>
    <row r="490" customFormat="false" ht="12.75" hidden="false" customHeight="false" outlineLevel="0" collapsed="false">
      <c r="A490" s="0" t="s">
        <v>66</v>
      </c>
      <c r="E490" s="9" t="str">
        <f aca="false">IF(D490="?OLD","!!!","")</f>
        <v/>
      </c>
      <c r="F490" s="10" t="str">
        <f aca="false">IF(OR(E490="",E490="!!!"),"",IF(NOT(ISNA(VLOOKUP(E490,E$1:E489,1,FALSE()))),"OLD",IF(AND(E490&lt;&gt;"",E490&lt;&gt;"!!!"),"NEW","")))</f>
        <v/>
      </c>
      <c r="G490" s="11" t="str">
        <f aca="false">IF(OR(E490="",E490="!!!"),"",IF(OR(J490=0,AND(J490=1,K490=1),AND(J490=1,I490="SBJ"),AND(J490=1,I490=0)),"?IN_FOCUS",IF(J490&lt;=2,"?ACTIVATED",IF(J490&lt;&gt;"","?FAMILIAR",IF(F490="NEW",IF(ISNA(VLOOKUP(E490,#REF!,1,FALSE())),"?TYPE_IDENTIFIABLE","?REFERENTIAL"),"_")))))</f>
        <v/>
      </c>
      <c r="H490" s="12" t="str">
        <f aca="false">IF(J490&lt;&gt;1,"",IF(I490="SBJ","CB","?"))</f>
        <v/>
      </c>
      <c r="I490" s="13" t="str">
        <f aca="false">IF(OR(E490="",E490="!!!",F490="NEW"),"",INDEX(B$2:B489,-1+SUMPRODUCT(MAX(ROW(E$2:E489)*(E490=E$2:E489)))))</f>
        <v/>
      </c>
      <c r="J490" s="14" t="str">
        <f aca="true">IF(OR(E490="",E490="!!!",F490="NEW"),"",COUNTBLANK(OFFSET(A$1,,,SUMPRODUCT(MAX(ROW(E$2:E490)*(E490=E$2:E490)))))-COUNTBLANK(OFFSET(A$1,,,SUMPRODUCT(MAX(ROW(E$1:E489)*(E490=E$1:E489))))))</f>
        <v/>
      </c>
      <c r="K490" s="14" t="str">
        <f aca="false">IF(OR(E490="",E490="!!!",F490="NEW"),"",INDEX(J$1:J489,SUMPRODUCT(MAX(ROW(E$1:E489)*(E490=E$1:E489)))))</f>
        <v/>
      </c>
      <c r="L490" s="15"/>
    </row>
    <row r="491" customFormat="false" ht="12.75" hidden="false" customHeight="false" outlineLevel="0" collapsed="false">
      <c r="A491" s="0" t="s">
        <v>324</v>
      </c>
      <c r="E491" s="9" t="str">
        <f aca="false">IF(D491="?OLD","!!!","")</f>
        <v/>
      </c>
      <c r="F491" s="10" t="str">
        <f aca="false">IF(OR(E491="",E491="!!!"),"",IF(NOT(ISNA(VLOOKUP(E491,E$1:E490,1,FALSE()))),"OLD",IF(AND(E491&lt;&gt;"",E491&lt;&gt;"!!!"),"NEW","")))</f>
        <v/>
      </c>
      <c r="G491" s="11" t="str">
        <f aca="false">IF(OR(E491="",E491="!!!"),"",IF(OR(J491=0,AND(J491=1,K491=1),AND(J491=1,I491="SBJ"),AND(J491=1,I491=0)),"?IN_FOCUS",IF(J491&lt;=2,"?ACTIVATED",IF(J491&lt;&gt;"","?FAMILIAR",IF(F491="NEW",IF(ISNA(VLOOKUP(E491,#REF!,1,FALSE())),"?TYPE_IDENTIFIABLE","?REFERENTIAL"),"_")))))</f>
        <v/>
      </c>
      <c r="H491" s="12" t="str">
        <f aca="false">IF(J491&lt;&gt;1,"",IF(I491="SBJ","CB","?"))</f>
        <v/>
      </c>
      <c r="I491" s="13" t="str">
        <f aca="false">IF(OR(E491="",E491="!!!",F491="NEW"),"",INDEX(B$2:B490,-1+SUMPRODUCT(MAX(ROW(E$2:E490)*(E491=E$2:E490)))))</f>
        <v/>
      </c>
      <c r="J491" s="14" t="str">
        <f aca="true">IF(OR(E491="",E491="!!!",F491="NEW"),"",COUNTBLANK(OFFSET(A$1,,,SUMPRODUCT(MAX(ROW(E$2:E491)*(E491=E$2:E491)))))-COUNTBLANK(OFFSET(A$1,,,SUMPRODUCT(MAX(ROW(E$1:E490)*(E491=E$1:E490))))))</f>
        <v/>
      </c>
      <c r="K491" s="14" t="str">
        <f aca="false">IF(OR(E491="",E491="!!!",F491="NEW"),"",INDEX(J$1:J490,SUMPRODUCT(MAX(ROW(E$1:E490)*(E491=E$1:E490)))))</f>
        <v/>
      </c>
      <c r="L491" s="15"/>
    </row>
    <row r="492" customFormat="false" ht="12.75" hidden="false" customHeight="false" outlineLevel="0" collapsed="false">
      <c r="A492" s="0" t="s">
        <v>325</v>
      </c>
      <c r="B492" s="0" t="s">
        <v>22</v>
      </c>
      <c r="C492" s="0" t="s">
        <v>15</v>
      </c>
      <c r="D492" s="0" t="s">
        <v>29</v>
      </c>
      <c r="E492" s="9" t="s">
        <v>68</v>
      </c>
      <c r="F492" s="10" t="str">
        <f aca="false">IF(OR(E492="",E492="!!!"),"",IF(NOT(ISNA(VLOOKUP(E492,E$1:E491,1,FALSE()))),"OLD",IF(AND(E492&lt;&gt;"",E492&lt;&gt;"!!!"),"NEW","")))</f>
        <v>OLD</v>
      </c>
      <c r="G492" s="11"/>
      <c r="H492" s="12" t="str">
        <f aca="false">IF(J492&lt;&gt;1,"",IF(I492="SBJ","CB","?"))</f>
        <v/>
      </c>
      <c r="I492" s="13" t="str">
        <f aca="false">IF(OR(E492="",E492="!!!",F492="NEW"),"",INDEX(B$2:B491,-1+SUMPRODUCT(MAX(ROW(E$2:E491)*(E492=E$2:E491)))))</f>
        <v>SBJ_2</v>
      </c>
      <c r="J492" s="14" t="n">
        <f aca="true">IF(OR(E492="",E492="!!!",F492="NEW"),"",COUNTBLANK(OFFSET(A$1,,,SUMPRODUCT(MAX(ROW(E$2:E492)*(E492=E$2:E492)))))-COUNTBLANK(OFFSET(A$1,,,SUMPRODUCT(MAX(ROW(E$1:E491)*(E492=E$1:E491))))))</f>
        <v>0</v>
      </c>
      <c r="K492" s="14" t="n">
        <f aca="false">IF(OR(E492="",E492="!!!",F492="NEW"),"",INDEX(J$1:J491,SUMPRODUCT(MAX(ROW(E$1:E491)*(E492=E$1:E491)))))</f>
        <v>0</v>
      </c>
      <c r="L492" s="15"/>
    </row>
    <row r="493" customFormat="false" ht="12.75" hidden="false" customHeight="false" outlineLevel="0" collapsed="false">
      <c r="A493" s="0" t="s">
        <v>19</v>
      </c>
      <c r="E493" s="9" t="str">
        <f aca="false">IF(D493="?OLD","!!!","")</f>
        <v/>
      </c>
      <c r="F493" s="10" t="str">
        <f aca="false">IF(OR(E493="",E493="!!!"),"",IF(NOT(ISNA(VLOOKUP(E493,E$1:E492,1,FALSE()))),"OLD",IF(AND(E493&lt;&gt;"",E493&lt;&gt;"!!!"),"NEW","")))</f>
        <v/>
      </c>
      <c r="G493" s="11" t="str">
        <f aca="false">IF(OR(E493="",E493="!!!"),"",IF(OR(J493=0,AND(J493=1,K493=1),AND(J493=1,I493="SBJ"),AND(J493=1,I493=0)),"?IN_FOCUS",IF(J493&lt;=2,"?ACTIVATED",IF(J493&lt;&gt;"","?FAMILIAR",IF(F493="NEW",IF(ISNA(VLOOKUP(E493,#REF!,1,FALSE())),"?TYPE_IDENTIFIABLE","?REFERENTIAL"),"_")))))</f>
        <v/>
      </c>
      <c r="H493" s="12" t="str">
        <f aca="false">IF(J493&lt;&gt;1,"",IF(I493="SBJ","CB","?"))</f>
        <v/>
      </c>
      <c r="I493" s="13" t="str">
        <f aca="false">IF(OR(E493="",E493="!!!",F493="NEW"),"",INDEX(B$2:B492,-1+SUMPRODUCT(MAX(ROW(E$2:E492)*(E493=E$2:E492)))))</f>
        <v/>
      </c>
      <c r="J493" s="14" t="str">
        <f aca="true">IF(OR(E493="",E493="!!!",F493="NEW"),"",COUNTBLANK(OFFSET(A$1,,,SUMPRODUCT(MAX(ROW(E$2:E493)*(E493=E$2:E493)))))-COUNTBLANK(OFFSET(A$1,,,SUMPRODUCT(MAX(ROW(E$1:E492)*(E493=E$1:E492))))))</f>
        <v/>
      </c>
      <c r="K493" s="14" t="str">
        <f aca="false">IF(OR(E493="",E493="!!!",F493="NEW"),"",INDEX(J$1:J492,SUMPRODUCT(MAX(ROW(E$1:E492)*(E493=E$1:E492)))))</f>
        <v/>
      </c>
      <c r="L493" s="15"/>
    </row>
    <row r="494" customFormat="false" ht="12.75" hidden="false" customHeight="false" outlineLevel="0" collapsed="false">
      <c r="A494" s="0" t="s">
        <v>66</v>
      </c>
      <c r="E494" s="9" t="str">
        <f aca="false">IF(D494="?OLD","!!!","")</f>
        <v/>
      </c>
      <c r="F494" s="10" t="str">
        <f aca="false">IF(OR(E494="",E494="!!!"),"",IF(NOT(ISNA(VLOOKUP(E494,E$1:E493,1,FALSE()))),"OLD",IF(AND(E494&lt;&gt;"",E494&lt;&gt;"!!!"),"NEW","")))</f>
        <v/>
      </c>
      <c r="G494" s="11" t="str">
        <f aca="false">IF(OR(E494="",E494="!!!"),"",IF(OR(J494=0,AND(J494=1,K494=1),AND(J494=1,I494="SBJ"),AND(J494=1,I494=0)),"?IN_FOCUS",IF(J494&lt;=2,"?ACTIVATED",IF(J494&lt;&gt;"","?FAMILIAR",IF(F494="NEW",IF(ISNA(VLOOKUP(E494,#REF!,1,FALSE())),"?TYPE_IDENTIFIABLE","?REFERENTIAL"),"_")))))</f>
        <v/>
      </c>
      <c r="H494" s="12" t="str">
        <f aca="false">IF(J494&lt;&gt;1,"",IF(I494="SBJ","CB","?"))</f>
        <v/>
      </c>
      <c r="I494" s="13" t="str">
        <f aca="false">IF(OR(E494="",E494="!!!",F494="NEW"),"",INDEX(B$2:B493,-1+SUMPRODUCT(MAX(ROW(E$2:E493)*(E494=E$2:E493)))))</f>
        <v/>
      </c>
      <c r="J494" s="14" t="str">
        <f aca="true">IF(OR(E494="",E494="!!!",F494="NEW"),"",COUNTBLANK(OFFSET(A$1,,,SUMPRODUCT(MAX(ROW(E$2:E494)*(E494=E$2:E494)))))-COUNTBLANK(OFFSET(A$1,,,SUMPRODUCT(MAX(ROW(E$1:E493)*(E494=E$1:E493))))))</f>
        <v/>
      </c>
      <c r="K494" s="14" t="str">
        <f aca="false">IF(OR(E494="",E494="!!!",F494="NEW"),"",INDEX(J$1:J493,SUMPRODUCT(MAX(ROW(E$1:E493)*(E494=E$1:E493)))))</f>
        <v/>
      </c>
      <c r="L494" s="15"/>
    </row>
    <row r="495" customFormat="false" ht="12.75" hidden="false" customHeight="false" outlineLevel="0" collapsed="false">
      <c r="A495" s="0" t="s">
        <v>326</v>
      </c>
      <c r="B495" s="0" t="s">
        <v>64</v>
      </c>
      <c r="C495" s="0" t="s">
        <v>23</v>
      </c>
      <c r="D495" s="0" t="s">
        <v>29</v>
      </c>
      <c r="E495" s="9" t="s">
        <v>68</v>
      </c>
      <c r="F495" s="10" t="str">
        <f aca="false">IF(OR(E495="",E495="!!!"),"",IF(NOT(ISNA(VLOOKUP(E495,E$1:E494,1,FALSE()))),"OLD",IF(AND(E495&lt;&gt;"",E495&lt;&gt;"!!!"),"NEW","")))</f>
        <v>OLD</v>
      </c>
      <c r="G495" s="11"/>
      <c r="H495" s="12" t="str">
        <f aca="false">IF(J495&lt;&gt;1,"",IF(I495="SBJ","CB","?"))</f>
        <v/>
      </c>
      <c r="I495" s="13" t="str">
        <f aca="false">IF(OR(E495="",E495="!!!",F495="NEW"),"",INDEX(B$2:B494,-1+SUMPRODUCT(MAX(ROW(E$2:E494)*(E495=E$2:E494)))))</f>
        <v>other_3</v>
      </c>
      <c r="J495" s="14" t="n">
        <f aca="true">IF(OR(E495="",E495="!!!",F495="NEW"),"",COUNTBLANK(OFFSET(A$1,,,SUMPRODUCT(MAX(ROW(E$2:E495)*(E495=E$2:E495)))))-COUNTBLANK(OFFSET(A$1,,,SUMPRODUCT(MAX(ROW(E$1:E494)*(E495=E$1:E494))))))</f>
        <v>0</v>
      </c>
      <c r="K495" s="14" t="n">
        <f aca="false">IF(OR(E495="",E495="!!!",F495="NEW"),"",INDEX(J$1:J494,SUMPRODUCT(MAX(ROW(E$1:E494)*(E495=E$1:E494)))))</f>
        <v>0</v>
      </c>
      <c r="L495" s="15"/>
    </row>
    <row r="496" customFormat="false" ht="12.75" hidden="false" customHeight="false" outlineLevel="0" collapsed="false">
      <c r="A496" s="0" t="s">
        <v>88</v>
      </c>
      <c r="E496" s="9" t="str">
        <f aca="false">IF(D496="?OLD","!!!","")</f>
        <v/>
      </c>
      <c r="F496" s="10" t="str">
        <f aca="false">IF(OR(E496="",E496="!!!"),"",IF(NOT(ISNA(VLOOKUP(E496,E$1:E495,1,FALSE()))),"OLD",IF(AND(E496&lt;&gt;"",E496&lt;&gt;"!!!"),"NEW","")))</f>
        <v/>
      </c>
      <c r="G496" s="11" t="str">
        <f aca="false">IF(OR(E496="",E496="!!!"),"",IF(OR(J496=0,AND(J496=1,K496=1),AND(J496=1,I496="SBJ"),AND(J496=1,I496=0)),"?IN_FOCUS",IF(J496&lt;=2,"?ACTIVATED",IF(J496&lt;&gt;"","?FAMILIAR",IF(F496="NEW",IF(ISNA(VLOOKUP(E496,#REF!,1,FALSE())),"?TYPE_IDENTIFIABLE","?REFERENTIAL"),"_")))))</f>
        <v/>
      </c>
      <c r="H496" s="12" t="str">
        <f aca="false">IF(J496&lt;&gt;1,"",IF(I496="SBJ","CB","?"))</f>
        <v/>
      </c>
      <c r="I496" s="13" t="str">
        <f aca="false">IF(OR(E496="",E496="!!!",F496="NEW"),"",INDEX(B$2:B495,-1+SUMPRODUCT(MAX(ROW(E$2:E495)*(E496=E$2:E495)))))</f>
        <v/>
      </c>
      <c r="J496" s="14" t="str">
        <f aca="true">IF(OR(E496="",E496="!!!",F496="NEW"),"",COUNTBLANK(OFFSET(A$1,,,SUMPRODUCT(MAX(ROW(E$2:E496)*(E496=E$2:E496)))))-COUNTBLANK(OFFSET(A$1,,,SUMPRODUCT(MAX(ROW(E$1:E495)*(E496=E$1:E495))))))</f>
        <v/>
      </c>
      <c r="K496" s="14" t="str">
        <f aca="false">IF(OR(E496="",E496="!!!",F496="NEW"),"",INDEX(J$1:J495,SUMPRODUCT(MAX(ROW(E$1:E495)*(E496=E$1:E495)))))</f>
        <v/>
      </c>
      <c r="L496" s="15"/>
    </row>
    <row r="497" customFormat="false" ht="12.75" hidden="false" customHeight="false" outlineLevel="0" collapsed="false">
      <c r="A497" s="0" t="s">
        <v>145</v>
      </c>
      <c r="E497" s="9" t="str">
        <f aca="false">IF(D497="?OLD","!!!","")</f>
        <v/>
      </c>
      <c r="F497" s="10" t="str">
        <f aca="false">IF(OR(E497="",E497="!!!"),"",IF(NOT(ISNA(VLOOKUP(E497,E$1:E496,1,FALSE()))),"OLD",IF(AND(E497&lt;&gt;"",E497&lt;&gt;"!!!"),"NEW","")))</f>
        <v/>
      </c>
      <c r="G497" s="11" t="str">
        <f aca="false">IF(OR(E497="",E497="!!!"),"",IF(OR(J497=0,AND(J497=1,K497=1),AND(J497=1,I497="SBJ"),AND(J497=1,I497=0)),"?IN_FOCUS",IF(J497&lt;=2,"?ACTIVATED",IF(J497&lt;&gt;"","?FAMILIAR",IF(F497="NEW",IF(ISNA(VLOOKUP(E497,#REF!,1,FALSE())),"?TYPE_IDENTIFIABLE","?REFERENTIAL"),"_")))))</f>
        <v/>
      </c>
      <c r="H497" s="12" t="str">
        <f aca="false">IF(J497&lt;&gt;1,"",IF(I497="SBJ","CB","?"))</f>
        <v/>
      </c>
      <c r="I497" s="13" t="str">
        <f aca="false">IF(OR(E497="",E497="!!!",F497="NEW"),"",INDEX(B$2:B496,-1+SUMPRODUCT(MAX(ROW(E$2:E496)*(E497=E$2:E496)))))</f>
        <v/>
      </c>
      <c r="J497" s="14" t="str">
        <f aca="true">IF(OR(E497="",E497="!!!",F497="NEW"),"",COUNTBLANK(OFFSET(A$1,,,SUMPRODUCT(MAX(ROW(E$2:E497)*(E497=E$2:E497)))))-COUNTBLANK(OFFSET(A$1,,,SUMPRODUCT(MAX(ROW(E$1:E496)*(E497=E$1:E496))))))</f>
        <v/>
      </c>
      <c r="K497" s="14" t="str">
        <f aca="false">IF(OR(E497="",E497="!!!",F497="NEW"),"",INDEX(J$1:J496,SUMPRODUCT(MAX(ROW(E$1:E496)*(E497=E$1:E496)))))</f>
        <v/>
      </c>
      <c r="L497" s="15"/>
    </row>
    <row r="498" customFormat="false" ht="12.75" hidden="false" customHeight="false" outlineLevel="0" collapsed="false">
      <c r="A498" s="0" t="s">
        <v>66</v>
      </c>
      <c r="E498" s="9" t="str">
        <f aca="false">IF(D498="?OLD","!!!","")</f>
        <v/>
      </c>
      <c r="F498" s="10" t="str">
        <f aca="false">IF(OR(E498="",E498="!!!"),"",IF(NOT(ISNA(VLOOKUP(E498,E$1:E497,1,FALSE()))),"OLD",IF(AND(E498&lt;&gt;"",E498&lt;&gt;"!!!"),"NEW","")))</f>
        <v/>
      </c>
      <c r="G498" s="11" t="str">
        <f aca="false">IF(OR(E498="",E498="!!!"),"",IF(OR(J498=0,AND(J498=1,K498=1),AND(J498=1,I498="SBJ"),AND(J498=1,I498=0)),"?IN_FOCUS",IF(J498&lt;=2,"?ACTIVATED",IF(J498&lt;&gt;"","?FAMILIAR",IF(F498="NEW",IF(ISNA(VLOOKUP(E498,#REF!,1,FALSE())),"?TYPE_IDENTIFIABLE","?REFERENTIAL"),"_")))))</f>
        <v/>
      </c>
      <c r="H498" s="12" t="str">
        <f aca="false">IF(J498&lt;&gt;1,"",IF(I498="SBJ","CB","?"))</f>
        <v/>
      </c>
      <c r="I498" s="13" t="str">
        <f aca="false">IF(OR(E498="",E498="!!!",F498="NEW"),"",INDEX(B$2:B497,-1+SUMPRODUCT(MAX(ROW(E$2:E497)*(E498=E$2:E497)))))</f>
        <v/>
      </c>
      <c r="J498" s="14" t="str">
        <f aca="true">IF(OR(E498="",E498="!!!",F498="NEW"),"",COUNTBLANK(OFFSET(A$1,,,SUMPRODUCT(MAX(ROW(E$2:E498)*(E498=E$2:E498)))))-COUNTBLANK(OFFSET(A$1,,,SUMPRODUCT(MAX(ROW(E$1:E497)*(E498=E$1:E497))))))</f>
        <v/>
      </c>
      <c r="K498" s="14" t="str">
        <f aca="false">IF(OR(E498="",E498="!!!",F498="NEW"),"",INDEX(J$1:J497,SUMPRODUCT(MAX(ROW(E$1:E497)*(E498=E$1:E497)))))</f>
        <v/>
      </c>
      <c r="L498" s="15"/>
    </row>
    <row r="499" customFormat="false" ht="12.75" hidden="false" customHeight="false" outlineLevel="0" collapsed="false">
      <c r="A499" s="0" t="s">
        <v>327</v>
      </c>
      <c r="E499" s="9" t="str">
        <f aca="false">IF(D499="?OLD","!!!","")</f>
        <v/>
      </c>
      <c r="F499" s="10" t="str">
        <f aca="false">IF(OR(E499="",E499="!!!"),"",IF(NOT(ISNA(VLOOKUP(E499,E$1:E498,1,FALSE()))),"OLD",IF(AND(E499&lt;&gt;"",E499&lt;&gt;"!!!"),"NEW","")))</f>
        <v/>
      </c>
      <c r="G499" s="11" t="str">
        <f aca="false">IF(OR(E499="",E499="!!!"),"",IF(OR(J499=0,AND(J499=1,K499=1),AND(J499=1,I499="SBJ"),AND(J499=1,I499=0)),"?IN_FOCUS",IF(J499&lt;=2,"?ACTIVATED",IF(J499&lt;&gt;"","?FAMILIAR",IF(F499="NEW",IF(ISNA(VLOOKUP(E499,#REF!,1,FALSE())),"?TYPE_IDENTIFIABLE","?REFERENTIAL"),"_")))))</f>
        <v/>
      </c>
      <c r="H499" s="12" t="str">
        <f aca="false">IF(J499&lt;&gt;1,"",IF(I499="SBJ","CB","?"))</f>
        <v/>
      </c>
      <c r="I499" s="13" t="str">
        <f aca="false">IF(OR(E499="",E499="!!!",F499="NEW"),"",INDEX(B$2:B498,-1+SUMPRODUCT(MAX(ROW(E$2:E498)*(E499=E$2:E498)))))</f>
        <v/>
      </c>
      <c r="J499" s="14" t="str">
        <f aca="true">IF(OR(E499="",E499="!!!",F499="NEW"),"",COUNTBLANK(OFFSET(A$1,,,SUMPRODUCT(MAX(ROW(E$2:E499)*(E499=E$2:E499)))))-COUNTBLANK(OFFSET(A$1,,,SUMPRODUCT(MAX(ROW(E$1:E498)*(E499=E$1:E498))))))</f>
        <v/>
      </c>
      <c r="K499" s="14" t="str">
        <f aca="false">IF(OR(E499="",E499="!!!",F499="NEW"),"",INDEX(J$1:J498,SUMPRODUCT(MAX(ROW(E$1:E498)*(E499=E$1:E498)))))</f>
        <v/>
      </c>
      <c r="L499" s="15"/>
    </row>
    <row r="500" customFormat="false" ht="12.75" hidden="false" customHeight="false" outlineLevel="0" collapsed="false">
      <c r="A500" s="0" t="s">
        <v>328</v>
      </c>
      <c r="B500" s="0" t="s">
        <v>22</v>
      </c>
      <c r="C500" s="0" t="s">
        <v>111</v>
      </c>
      <c r="D500" s="0" t="s">
        <v>29</v>
      </c>
      <c r="E500" s="9" t="s">
        <v>68</v>
      </c>
      <c r="F500" s="10" t="str">
        <f aca="false">IF(OR(E500="",E500="!!!"),"",IF(NOT(ISNA(VLOOKUP(E500,E$1:E499,1,FALSE()))),"OLD",IF(AND(E500&lt;&gt;"",E500&lt;&gt;"!!!"),"NEW","")))</f>
        <v>OLD</v>
      </c>
      <c r="G500" s="11"/>
      <c r="H500" s="12" t="str">
        <f aca="false">IF(J500&lt;&gt;1,"",IF(I500="SBJ","CB","?"))</f>
        <v/>
      </c>
      <c r="I500" s="13" t="str">
        <f aca="false">IF(OR(E500="",E500="!!!",F500="NEW"),"",INDEX(B$2:B499,-1+SUMPRODUCT(MAX(ROW(E$2:E499)*(E500=E$2:E499)))))</f>
        <v>other_4</v>
      </c>
      <c r="J500" s="14" t="n">
        <f aca="true">IF(OR(E500="",E500="!!!",F500="NEW"),"",COUNTBLANK(OFFSET(A$1,,,SUMPRODUCT(MAX(ROW(E$2:E500)*(E500=E$2:E500)))))-COUNTBLANK(OFFSET(A$1,,,SUMPRODUCT(MAX(ROW(E$1:E499)*(E500=E$1:E499))))))</f>
        <v>0</v>
      </c>
      <c r="K500" s="14" t="n">
        <f aca="false">IF(OR(E500="",E500="!!!",F500="NEW"),"",INDEX(J$1:J499,SUMPRODUCT(MAX(ROW(E$1:E499)*(E500=E$1:E499)))))</f>
        <v>0</v>
      </c>
      <c r="L500" s="15"/>
    </row>
    <row r="501" customFormat="false" ht="12.75" hidden="false" customHeight="false" outlineLevel="0" collapsed="false">
      <c r="A501" s="0" t="s">
        <v>19</v>
      </c>
      <c r="E501" s="9" t="str">
        <f aca="false">IF(D501="?OLD","!!!","")</f>
        <v/>
      </c>
      <c r="F501" s="10" t="str">
        <f aca="false">IF(OR(E501="",E501="!!!"),"",IF(NOT(ISNA(VLOOKUP(E501,E$1:E500,1,FALSE()))),"OLD",IF(AND(E501&lt;&gt;"",E501&lt;&gt;"!!!"),"NEW","")))</f>
        <v/>
      </c>
      <c r="G501" s="11" t="str">
        <f aca="false">IF(OR(E501="",E501="!!!"),"",IF(OR(J501=0,AND(J501=1,K501=1),AND(J501=1,I501="SBJ"),AND(J501=1,I501=0)),"?IN_FOCUS",IF(J501&lt;=2,"?ACTIVATED",IF(J501&lt;&gt;"","?FAMILIAR",IF(F501="NEW",IF(ISNA(VLOOKUP(E501,#REF!,1,FALSE())),"?TYPE_IDENTIFIABLE","?REFERENTIAL"),"_")))))</f>
        <v/>
      </c>
      <c r="H501" s="12" t="str">
        <f aca="false">IF(J501&lt;&gt;1,"",IF(I501="SBJ","CB","?"))</f>
        <v/>
      </c>
      <c r="I501" s="13" t="str">
        <f aca="false">IF(OR(E501="",E501="!!!",F501="NEW"),"",INDEX(B$2:B500,-1+SUMPRODUCT(MAX(ROW(E$2:E500)*(E501=E$2:E500)))))</f>
        <v/>
      </c>
      <c r="J501" s="14" t="str">
        <f aca="true">IF(OR(E501="",E501="!!!",F501="NEW"),"",COUNTBLANK(OFFSET(A$1,,,SUMPRODUCT(MAX(ROW(E$2:E501)*(E501=E$2:E501)))))-COUNTBLANK(OFFSET(A$1,,,SUMPRODUCT(MAX(ROW(E$1:E500)*(E501=E$1:E500))))))</f>
        <v/>
      </c>
      <c r="K501" s="14" t="str">
        <f aca="false">IF(OR(E501="",E501="!!!",F501="NEW"),"",INDEX(J$1:J500,SUMPRODUCT(MAX(ROW(E$1:E500)*(E501=E$1:E500)))))</f>
        <v/>
      </c>
      <c r="L501" s="15"/>
    </row>
    <row r="502" customFormat="false" ht="12.75" hidden="false" customHeight="false" outlineLevel="0" collapsed="false">
      <c r="A502" s="0" t="s">
        <v>329</v>
      </c>
      <c r="B502" s="0" t="s">
        <v>64</v>
      </c>
      <c r="C502" s="0" t="s">
        <v>120</v>
      </c>
      <c r="E502" s="9" t="str">
        <f aca="false">IF(D502="?OLD","!!!","")</f>
        <v/>
      </c>
      <c r="F502" s="10" t="str">
        <f aca="false">IF(OR(E502="",E502="!!!"),"",IF(NOT(ISNA(VLOOKUP(E502,E$1:E501,1,FALSE()))),"OLD",IF(AND(E502&lt;&gt;"",E502&lt;&gt;"!!!"),"NEW","")))</f>
        <v/>
      </c>
      <c r="G502" s="11" t="str">
        <f aca="false">IF(OR(E502="",E502="!!!"),"",IF(OR(J502=0,AND(J502=1,K502=1),AND(J502=1,I502="SBJ"),AND(J502=1,I502=0)),"?IN_FOCUS",IF(J502&lt;=2,"?ACTIVATED",IF(J502&lt;&gt;"","?FAMILIAR",IF(F502="NEW",IF(ISNA(VLOOKUP(E502,#REF!,1,FALSE())),"?TYPE_IDENTIFIABLE","?REFERENTIAL"),"_")))))</f>
        <v/>
      </c>
      <c r="H502" s="12" t="str">
        <f aca="false">IF(J502&lt;&gt;1,"",IF(I502="SBJ","CB","?"))</f>
        <v/>
      </c>
      <c r="I502" s="13" t="str">
        <f aca="false">IF(OR(E502="",E502="!!!",F502="NEW"),"",INDEX(B$2:B501,-1+SUMPRODUCT(MAX(ROW(E$2:E501)*(E502=E$2:E501)))))</f>
        <v/>
      </c>
      <c r="J502" s="14" t="str">
        <f aca="true">IF(OR(E502="",E502="!!!",F502="NEW"),"",COUNTBLANK(OFFSET(A$1,,,SUMPRODUCT(MAX(ROW(E$2:E502)*(E502=E$2:E502)))))-COUNTBLANK(OFFSET(A$1,,,SUMPRODUCT(MAX(ROW(E$1:E501)*(E502=E$1:E501))))))</f>
        <v/>
      </c>
      <c r="K502" s="14" t="str">
        <f aca="false">IF(OR(E502="",E502="!!!",F502="NEW"),"",INDEX(J$1:J501,SUMPRODUCT(MAX(ROW(E$1:E501)*(E502=E$1:E501)))))</f>
        <v/>
      </c>
      <c r="L502" s="15"/>
    </row>
    <row r="503" customFormat="false" ht="12.75" hidden="false" customHeight="false" outlineLevel="0" collapsed="false">
      <c r="A503" s="0" t="s">
        <v>85</v>
      </c>
      <c r="B503" s="0" t="s">
        <v>330</v>
      </c>
      <c r="E503" s="9" t="str">
        <f aca="false">IF(D503="?OLD","!!!","")</f>
        <v/>
      </c>
      <c r="F503" s="10" t="str">
        <f aca="false">IF(OR(E503="",E503="!!!"),"",IF(NOT(ISNA(VLOOKUP(E503,E$1:E502,1,FALSE()))),"OLD",IF(AND(E503&lt;&gt;"",E503&lt;&gt;"!!!"),"NEW","")))</f>
        <v/>
      </c>
      <c r="G503" s="11" t="str">
        <f aca="false">IF(OR(E503="",E503="!!!"),"",IF(OR(J503=0,AND(J503=1,K503=1),AND(J503=1,I503="SBJ"),AND(J503=1,I503=0)),"?IN_FOCUS",IF(J503&lt;=2,"?ACTIVATED",IF(J503&lt;&gt;"","?FAMILIAR",IF(F503="NEW",IF(ISNA(VLOOKUP(E503,#REF!,1,FALSE())),"?TYPE_IDENTIFIABLE","?REFERENTIAL"),"_")))))</f>
        <v/>
      </c>
      <c r="H503" s="12" t="str">
        <f aca="false">IF(J503&lt;&gt;1,"",IF(I503="SBJ","CB","?"))</f>
        <v/>
      </c>
      <c r="I503" s="13" t="str">
        <f aca="false">IF(OR(E503="",E503="!!!",F503="NEW"),"",INDEX(B$2:B502,-1+SUMPRODUCT(MAX(ROW(E$2:E502)*(E503=E$2:E502)))))</f>
        <v/>
      </c>
      <c r="J503" s="14" t="str">
        <f aca="true">IF(OR(E503="",E503="!!!",F503="NEW"),"",COUNTBLANK(OFFSET(A$1,,,SUMPRODUCT(MAX(ROW(E$2:E503)*(E503=E$2:E503)))))-COUNTBLANK(OFFSET(A$1,,,SUMPRODUCT(MAX(ROW(E$1:E502)*(E503=E$1:E502))))))</f>
        <v/>
      </c>
      <c r="K503" s="14" t="str">
        <f aca="false">IF(OR(E503="",E503="!!!",F503="NEW"),"",INDEX(J$1:J502,SUMPRODUCT(MAX(ROW(E$1:E502)*(E503=E$1:E502)))))</f>
        <v/>
      </c>
      <c r="L503" s="15"/>
    </row>
    <row r="504" customFormat="false" ht="12.75" hidden="false" customHeight="false" outlineLevel="0" collapsed="false">
      <c r="A504" s="0" t="s">
        <v>331</v>
      </c>
      <c r="E504" s="9" t="str">
        <f aca="false">IF(D504="?OLD","!!!","")</f>
        <v/>
      </c>
      <c r="F504" s="10" t="str">
        <f aca="false">IF(OR(E504="",E504="!!!"),"",IF(NOT(ISNA(VLOOKUP(E504,E$1:E503,1,FALSE()))),"OLD",IF(AND(E504&lt;&gt;"",E504&lt;&gt;"!!!"),"NEW","")))</f>
        <v/>
      </c>
      <c r="G504" s="11" t="str">
        <f aca="false">IF(OR(E504="",E504="!!!"),"",IF(OR(J504=0,AND(J504=1,K504=1),AND(J504=1,I504="SBJ"),AND(J504=1,I504=0)),"?IN_FOCUS",IF(J504&lt;=2,"?ACTIVATED",IF(J504&lt;&gt;"","?FAMILIAR",IF(F504="NEW",IF(ISNA(VLOOKUP(E504,#REF!,1,FALSE())),"?TYPE_IDENTIFIABLE","?REFERENTIAL"),"_")))))</f>
        <v/>
      </c>
      <c r="H504" s="12" t="str">
        <f aca="false">IF(J504&lt;&gt;1,"",IF(I504="SBJ","CB","?"))</f>
        <v/>
      </c>
      <c r="I504" s="13" t="str">
        <f aca="false">IF(OR(E504="",E504="!!!",F504="NEW"),"",INDEX(B$2:B503,-1+SUMPRODUCT(MAX(ROW(E$2:E503)*(E504=E$2:E503)))))</f>
        <v/>
      </c>
      <c r="J504" s="14" t="str">
        <f aca="true">IF(OR(E504="",E504="!!!",F504="NEW"),"",COUNTBLANK(OFFSET(A$1,,,SUMPRODUCT(MAX(ROW(E$2:E504)*(E504=E$2:E504)))))-COUNTBLANK(OFFSET(A$1,,,SUMPRODUCT(MAX(ROW(E$1:E503)*(E504=E$1:E503))))))</f>
        <v/>
      </c>
      <c r="K504" s="14" t="str">
        <f aca="false">IF(OR(E504="",E504="!!!",F504="NEW"),"",INDEX(J$1:J503,SUMPRODUCT(MAX(ROW(E$1:E503)*(E504=E$1:E503)))))</f>
        <v/>
      </c>
      <c r="L504" s="15"/>
    </row>
    <row r="505" customFormat="false" ht="12.75" hidden="false" customHeight="false" outlineLevel="0" collapsed="false">
      <c r="A505" s="0" t="s">
        <v>332</v>
      </c>
      <c r="E505" s="9" t="str">
        <f aca="false">IF(D505="?OLD","!!!","")</f>
        <v/>
      </c>
      <c r="F505" s="10" t="str">
        <f aca="false">IF(OR(E505="",E505="!!!"),"",IF(NOT(ISNA(VLOOKUP(E505,E$1:E504,1,FALSE()))),"OLD",IF(AND(E505&lt;&gt;"",E505&lt;&gt;"!!!"),"NEW","")))</f>
        <v/>
      </c>
      <c r="G505" s="11" t="str">
        <f aca="false">IF(OR(E505="",E505="!!!"),"",IF(OR(J505=0,AND(J505=1,K505=1),AND(J505=1,I505="SBJ"),AND(J505=1,I505=0)),"?IN_FOCUS",IF(J505&lt;=2,"?ACTIVATED",IF(J505&lt;&gt;"","?FAMILIAR",IF(F505="NEW",IF(ISNA(VLOOKUP(E505,#REF!,1,FALSE())),"?TYPE_IDENTIFIABLE","?REFERENTIAL"),"_")))))</f>
        <v/>
      </c>
      <c r="H505" s="12" t="str">
        <f aca="false">IF(J505&lt;&gt;1,"",IF(I505="SBJ","CB","?"))</f>
        <v/>
      </c>
      <c r="I505" s="13" t="str">
        <f aca="false">IF(OR(E505="",E505="!!!",F505="NEW"),"",INDEX(B$2:B504,-1+SUMPRODUCT(MAX(ROW(E$2:E504)*(E505=E$2:E504)))))</f>
        <v/>
      </c>
      <c r="J505" s="14" t="str">
        <f aca="true">IF(OR(E505="",E505="!!!",F505="NEW"),"",COUNTBLANK(OFFSET(A$1,,,SUMPRODUCT(MAX(ROW(E$2:E505)*(E505=E$2:E505)))))-COUNTBLANK(OFFSET(A$1,,,SUMPRODUCT(MAX(ROW(E$1:E504)*(E505=E$1:E504))))))</f>
        <v/>
      </c>
      <c r="K505" s="14" t="str">
        <f aca="false">IF(OR(E505="",E505="!!!",F505="NEW"),"",INDEX(J$1:J504,SUMPRODUCT(MAX(ROW(E$1:E504)*(E505=E$1:E504)))))</f>
        <v/>
      </c>
      <c r="L505" s="15"/>
    </row>
    <row r="506" customFormat="false" ht="12.75" hidden="false" customHeight="false" outlineLevel="0" collapsed="false">
      <c r="A506" s="0" t="s">
        <v>66</v>
      </c>
      <c r="E506" s="9" t="str">
        <f aca="false">IF(D506="?OLD","!!!","")</f>
        <v/>
      </c>
      <c r="F506" s="10" t="str">
        <f aca="false">IF(OR(E506="",E506="!!!"),"",IF(NOT(ISNA(VLOOKUP(E506,E$1:E505,1,FALSE()))),"OLD",IF(AND(E506&lt;&gt;"",E506&lt;&gt;"!!!"),"NEW","")))</f>
        <v/>
      </c>
      <c r="G506" s="11" t="str">
        <f aca="false">IF(OR(E506="",E506="!!!"),"",IF(OR(J506=0,AND(J506=1,K506=1),AND(J506=1,I506="SBJ"),AND(J506=1,I506=0)),"?IN_FOCUS",IF(J506&lt;=2,"?ACTIVATED",IF(J506&lt;&gt;"","?FAMILIAR",IF(F506="NEW",IF(ISNA(VLOOKUP(E506,#REF!,1,FALSE())),"?TYPE_IDENTIFIABLE","?REFERENTIAL"),"_")))))</f>
        <v/>
      </c>
      <c r="H506" s="12" t="str">
        <f aca="false">IF(J506&lt;&gt;1,"",IF(I506="SBJ","CB","?"))</f>
        <v/>
      </c>
      <c r="I506" s="13" t="str">
        <f aca="false">IF(OR(E506="",E506="!!!",F506="NEW"),"",INDEX(B$2:B505,-1+SUMPRODUCT(MAX(ROW(E$2:E505)*(E506=E$2:E505)))))</f>
        <v/>
      </c>
      <c r="J506" s="14" t="str">
        <f aca="true">IF(OR(E506="",E506="!!!",F506="NEW"),"",COUNTBLANK(OFFSET(A$1,,,SUMPRODUCT(MAX(ROW(E$2:E506)*(E506=E$2:E506)))))-COUNTBLANK(OFFSET(A$1,,,SUMPRODUCT(MAX(ROW(E$1:E505)*(E506=E$1:E505))))))</f>
        <v/>
      </c>
      <c r="K506" s="14" t="str">
        <f aca="false">IF(OR(E506="",E506="!!!",F506="NEW"),"",INDEX(J$1:J505,SUMPRODUCT(MAX(ROW(E$1:E505)*(E506=E$1:E505)))))</f>
        <v/>
      </c>
      <c r="L506" s="15"/>
    </row>
    <row r="507" customFormat="false" ht="12.75" hidden="false" customHeight="false" outlineLevel="0" collapsed="false">
      <c r="A507" s="0" t="s">
        <v>333</v>
      </c>
      <c r="E507" s="9" t="str">
        <f aca="false">IF(D507="?OLD","!!!","")</f>
        <v/>
      </c>
      <c r="F507" s="10" t="str">
        <f aca="false">IF(OR(E507="",E507="!!!"),"",IF(NOT(ISNA(VLOOKUP(E507,E$1:E506,1,FALSE()))),"OLD",IF(AND(E507&lt;&gt;"",E507&lt;&gt;"!!!"),"NEW","")))</f>
        <v/>
      </c>
      <c r="G507" s="11" t="str">
        <f aca="false">IF(OR(E507="",E507="!!!"),"",IF(OR(J507=0,AND(J507=1,K507=1),AND(J507=1,I507="SBJ"),AND(J507=1,I507=0)),"?IN_FOCUS",IF(J507&lt;=2,"?ACTIVATED",IF(J507&lt;&gt;"","?FAMILIAR",IF(F507="NEW",IF(ISNA(VLOOKUP(E507,#REF!,1,FALSE())),"?TYPE_IDENTIFIABLE","?REFERENTIAL"),"_")))))</f>
        <v/>
      </c>
      <c r="H507" s="12" t="str">
        <f aca="false">IF(J507&lt;&gt;1,"",IF(I507="SBJ","CB","?"))</f>
        <v/>
      </c>
      <c r="I507" s="13" t="str">
        <f aca="false">IF(OR(E507="",E507="!!!",F507="NEW"),"",INDEX(B$2:B506,-1+SUMPRODUCT(MAX(ROW(E$2:E506)*(E507=E$2:E506)))))</f>
        <v/>
      </c>
      <c r="J507" s="14" t="str">
        <f aca="true">IF(OR(E507="",E507="!!!",F507="NEW"),"",COUNTBLANK(OFFSET(A$1,,,SUMPRODUCT(MAX(ROW(E$2:E507)*(E507=E$2:E507)))))-COUNTBLANK(OFFSET(A$1,,,SUMPRODUCT(MAX(ROW(E$1:E506)*(E507=E$1:E506))))))</f>
        <v/>
      </c>
      <c r="K507" s="14" t="str">
        <f aca="false">IF(OR(E507="",E507="!!!",F507="NEW"),"",INDEX(J$1:J506,SUMPRODUCT(MAX(ROW(E$1:E506)*(E507=E$1:E506)))))</f>
        <v/>
      </c>
      <c r="L507" s="15"/>
    </row>
    <row r="508" customFormat="false" ht="12.75" hidden="false" customHeight="false" outlineLevel="0" collapsed="false">
      <c r="A508" s="0" t="s">
        <v>334</v>
      </c>
      <c r="B508" s="0" t="s">
        <v>54</v>
      </c>
      <c r="C508" s="0" t="s">
        <v>23</v>
      </c>
      <c r="D508" s="0" t="s">
        <v>29</v>
      </c>
      <c r="E508" s="9" t="s">
        <v>68</v>
      </c>
      <c r="F508" s="10" t="str">
        <f aca="false">IF(OR(E508="",E508="!!!"),"",IF(NOT(ISNA(VLOOKUP(E508,E$1:E507,1,FALSE()))),"OLD",IF(AND(E508&lt;&gt;"",E508&lt;&gt;"!!!"),"NEW","")))</f>
        <v>OLD</v>
      </c>
      <c r="G508" s="11"/>
      <c r="H508" s="12" t="str">
        <f aca="false">IF(J508&lt;&gt;1,"",IF(I508="SBJ","CB","?"))</f>
        <v/>
      </c>
      <c r="I508" s="13" t="str">
        <f aca="false">IF(OR(E508="",E508="!!!",F508="NEW"),"",INDEX(B$2:B507,-1+SUMPRODUCT(MAX(ROW(E$2:E507)*(E508=E$2:E507)))))</f>
        <v>other_3</v>
      </c>
      <c r="J508" s="14" t="n">
        <f aca="true">IF(OR(E508="",E508="!!!",F508="NEW"),"",COUNTBLANK(OFFSET(A$1,,,SUMPRODUCT(MAX(ROW(E$2:E508)*(E508=E$2:E508)))))-COUNTBLANK(OFFSET(A$1,,,SUMPRODUCT(MAX(ROW(E$1:E507)*(E508=E$1:E507))))))</f>
        <v>0</v>
      </c>
      <c r="K508" s="14" t="n">
        <f aca="false">IF(OR(E508="",E508="!!!",F508="NEW"),"",INDEX(J$1:J507,SUMPRODUCT(MAX(ROW(E$1:E507)*(E508=E$1:E507)))))</f>
        <v>0</v>
      </c>
      <c r="L508" s="15"/>
    </row>
    <row r="509" customFormat="false" ht="12.75" hidden="false" customHeight="false" outlineLevel="0" collapsed="false">
      <c r="A509" s="0" t="s">
        <v>73</v>
      </c>
      <c r="E509" s="9" t="str">
        <f aca="false">IF(D509="?OLD","!!!","")</f>
        <v/>
      </c>
      <c r="F509" s="10" t="str">
        <f aca="false">IF(OR(E509="",E509="!!!"),"",IF(NOT(ISNA(VLOOKUP(E509,E$1:E508,1,FALSE()))),"OLD",IF(AND(E509&lt;&gt;"",E509&lt;&gt;"!!!"),"NEW","")))</f>
        <v/>
      </c>
      <c r="G509" s="11" t="str">
        <f aca="false">IF(OR(E509="",E509="!!!"),"",IF(OR(J509=0,AND(J509=1,K509=1),AND(J509=1,I509="SBJ"),AND(J509=1,I509=0)),"?IN_FOCUS",IF(J509&lt;=2,"?ACTIVATED",IF(J509&lt;&gt;"","?FAMILIAR",IF(F509="NEW",IF(ISNA(VLOOKUP(E509,#REF!,1,FALSE())),"?TYPE_IDENTIFIABLE","?REFERENTIAL"),"_")))))</f>
        <v/>
      </c>
      <c r="H509" s="12" t="str">
        <f aca="false">IF(J509&lt;&gt;1,"",IF(I509="SBJ","CB","?"))</f>
        <v/>
      </c>
      <c r="I509" s="13" t="str">
        <f aca="false">IF(OR(E509="",E509="!!!",F509="NEW"),"",INDEX(B$2:B508,-1+SUMPRODUCT(MAX(ROW(E$2:E508)*(E509=E$2:E508)))))</f>
        <v/>
      </c>
      <c r="J509" s="14" t="str">
        <f aca="true">IF(OR(E509="",E509="!!!",F509="NEW"),"",COUNTBLANK(OFFSET(A$1,,,SUMPRODUCT(MAX(ROW(E$2:E509)*(E509=E$2:E509)))))-COUNTBLANK(OFFSET(A$1,,,SUMPRODUCT(MAX(ROW(E$1:E508)*(E509=E$1:E508))))))</f>
        <v/>
      </c>
      <c r="K509" s="14" t="str">
        <f aca="false">IF(OR(E509="",E509="!!!",F509="NEW"),"",INDEX(J$1:J508,SUMPRODUCT(MAX(ROW(E$1:E508)*(E509=E$1:E508)))))</f>
        <v/>
      </c>
      <c r="L509" s="15"/>
    </row>
    <row r="510" customFormat="false" ht="12.75" hidden="false" customHeight="false" outlineLevel="0" collapsed="false">
      <c r="E510" s="9" t="str">
        <f aca="false">IF(D510="?OLD","!!!","")</f>
        <v/>
      </c>
      <c r="F510" s="10" t="str">
        <f aca="false">IF(OR(E510="",E510="!!!"),"",IF(NOT(ISNA(VLOOKUP(E510,E$1:E509,1,FALSE()))),"OLD",IF(AND(E510&lt;&gt;"",E510&lt;&gt;"!!!"),"NEW","")))</f>
        <v/>
      </c>
      <c r="G510" s="11" t="str">
        <f aca="false">IF(OR(E510="",E510="!!!"),"",IF(OR(J510=0,AND(J510=1,K510=1),AND(J510=1,I510="SBJ"),AND(J510=1,I510=0)),"?IN_FOCUS",IF(J510&lt;=2,"?ACTIVATED",IF(J510&lt;&gt;"","?FAMILIAR",IF(F510="NEW",IF(ISNA(VLOOKUP(E510,#REF!,1,FALSE())),"?TYPE_IDENTIFIABLE","?REFERENTIAL"),"_")))))</f>
        <v/>
      </c>
      <c r="H510" s="12" t="str">
        <f aca="false">IF(J510&lt;&gt;1,"",IF(I510="SBJ","CB","?"))</f>
        <v/>
      </c>
      <c r="I510" s="13" t="str">
        <f aca="false">IF(OR(E510="",E510="!!!",F510="NEW"),"",INDEX(B$2:B509,-1+SUMPRODUCT(MAX(ROW(E$2:E509)*(E510=E$2:E509)))))</f>
        <v/>
      </c>
      <c r="J510" s="14" t="str">
        <f aca="true">IF(OR(E510="",E510="!!!",F510="NEW"),"",COUNTBLANK(OFFSET(A$1,,,SUMPRODUCT(MAX(ROW(E$2:E510)*(E510=E$2:E510)))))-COUNTBLANK(OFFSET(A$1,,,SUMPRODUCT(MAX(ROW(E$1:E509)*(E510=E$1:E509))))))</f>
        <v/>
      </c>
      <c r="K510" s="14" t="str">
        <f aca="false">IF(OR(E510="",E510="!!!",F510="NEW"),"",INDEX(J$1:J509,SUMPRODUCT(MAX(ROW(E$1:E509)*(E510=E$1:E509)))))</f>
        <v/>
      </c>
      <c r="L510" s="15"/>
    </row>
    <row r="511" customFormat="false" ht="12.75" hidden="false" customHeight="false" outlineLevel="0" collapsed="false">
      <c r="A511" s="0" t="s">
        <v>260</v>
      </c>
      <c r="E511" s="9" t="str">
        <f aca="false">IF(D511="?OLD","!!!","")</f>
        <v/>
      </c>
      <c r="F511" s="10" t="str">
        <f aca="false">IF(OR(E511="",E511="!!!"),"",IF(NOT(ISNA(VLOOKUP(E511,E$1:E510,1,FALSE()))),"OLD",IF(AND(E511&lt;&gt;"",E511&lt;&gt;"!!!"),"NEW","")))</f>
        <v/>
      </c>
      <c r="G511" s="11" t="str">
        <f aca="false">IF(OR(E511="",E511="!!!"),"",IF(OR(J511=0,AND(J511=1,K511=1),AND(J511=1,I511="SBJ"),AND(J511=1,I511=0)),"?IN_FOCUS",IF(J511&lt;=2,"?ACTIVATED",IF(J511&lt;&gt;"","?FAMILIAR",IF(F511="NEW",IF(ISNA(VLOOKUP(E511,#REF!,1,FALSE())),"?TYPE_IDENTIFIABLE","?REFERENTIAL"),"_")))))</f>
        <v/>
      </c>
      <c r="H511" s="12" t="str">
        <f aca="false">IF(J511&lt;&gt;1,"",IF(I511="SBJ","CB","?"))</f>
        <v/>
      </c>
      <c r="I511" s="13" t="str">
        <f aca="false">IF(OR(E511="",E511="!!!",F511="NEW"),"",INDEX(B$2:B510,-1+SUMPRODUCT(MAX(ROW(E$2:E510)*(E511=E$2:E510)))))</f>
        <v/>
      </c>
      <c r="J511" s="14" t="str">
        <f aca="true">IF(OR(E511="",E511="!!!",F511="NEW"),"",COUNTBLANK(OFFSET(A$1,,,SUMPRODUCT(MAX(ROW(E$2:E511)*(E511=E$2:E511)))))-COUNTBLANK(OFFSET(A$1,,,SUMPRODUCT(MAX(ROW(E$1:E510)*(E511=E$1:E510))))))</f>
        <v/>
      </c>
      <c r="K511" s="14" t="str">
        <f aca="false">IF(OR(E511="",E511="!!!",F511="NEW"),"",INDEX(J$1:J510,SUMPRODUCT(MAX(ROW(E$1:E510)*(E511=E$1:E510)))))</f>
        <v/>
      </c>
      <c r="L511" s="15"/>
    </row>
    <row r="512" customFormat="false" ht="12.75" hidden="false" customHeight="false" outlineLevel="0" collapsed="false">
      <c r="A512" s="0" t="s">
        <v>335</v>
      </c>
      <c r="E512" s="9" t="str">
        <f aca="false">IF(D512="?OLD","!!!","")</f>
        <v/>
      </c>
      <c r="F512" s="10" t="str">
        <f aca="false">IF(OR(E512="",E512="!!!"),"",IF(NOT(ISNA(VLOOKUP(E512,E$1:E511,1,FALSE()))),"OLD",IF(AND(E512&lt;&gt;"",E512&lt;&gt;"!!!"),"NEW","")))</f>
        <v/>
      </c>
      <c r="G512" s="11" t="str">
        <f aca="false">IF(OR(E512="",E512="!!!"),"",IF(OR(J512=0,AND(J512=1,K512=1),AND(J512=1,I512="SBJ"),AND(J512=1,I512=0)),"?IN_FOCUS",IF(J512&lt;=2,"?ACTIVATED",IF(J512&lt;&gt;"","?FAMILIAR",IF(F512="NEW",IF(ISNA(VLOOKUP(E512,#REF!,1,FALSE())),"?TYPE_IDENTIFIABLE","?REFERENTIAL"),"_")))))</f>
        <v/>
      </c>
      <c r="H512" s="12" t="str">
        <f aca="false">IF(J512&lt;&gt;1,"",IF(I512="SBJ","CB","?"))</f>
        <v/>
      </c>
      <c r="I512" s="13" t="str">
        <f aca="false">IF(OR(E512="",E512="!!!",F512="NEW"),"",INDEX(B$2:B511,-1+SUMPRODUCT(MAX(ROW(E$2:E511)*(E512=E$2:E511)))))</f>
        <v/>
      </c>
      <c r="J512" s="14" t="str">
        <f aca="true">IF(OR(E512="",E512="!!!",F512="NEW"),"",COUNTBLANK(OFFSET(A$1,,,SUMPRODUCT(MAX(ROW(E$2:E512)*(E512=E$2:E512)))))-COUNTBLANK(OFFSET(A$1,,,SUMPRODUCT(MAX(ROW(E$1:E511)*(E512=E$1:E511))))))</f>
        <v/>
      </c>
      <c r="K512" s="14" t="str">
        <f aca="false">IF(OR(E512="",E512="!!!",F512="NEW"),"",INDEX(J$1:J511,SUMPRODUCT(MAX(ROW(E$1:E511)*(E512=E$1:E511)))))</f>
        <v/>
      </c>
      <c r="L512" s="15"/>
    </row>
    <row r="513" customFormat="false" ht="12.75" hidden="false" customHeight="false" outlineLevel="0" collapsed="false">
      <c r="A513" s="0" t="s">
        <v>262</v>
      </c>
      <c r="E513" s="9" t="str">
        <f aca="false">IF(D513="?OLD","!!!","")</f>
        <v/>
      </c>
      <c r="F513" s="10" t="str">
        <f aca="false">IF(OR(E513="",E513="!!!"),"",IF(NOT(ISNA(VLOOKUP(E513,E$1:E512,1,FALSE()))),"OLD",IF(AND(E513&lt;&gt;"",E513&lt;&gt;"!!!"),"NEW","")))</f>
        <v/>
      </c>
      <c r="G513" s="11" t="str">
        <f aca="false">IF(OR(E513="",E513="!!!"),"",IF(OR(J513=0,AND(J513=1,K513=1),AND(J513=1,I513="SBJ"),AND(J513=1,I513=0)),"?IN_FOCUS",IF(J513&lt;=2,"?ACTIVATED",IF(J513&lt;&gt;"","?FAMILIAR",IF(F513="NEW",IF(ISNA(VLOOKUP(E513,#REF!,1,FALSE())),"?TYPE_IDENTIFIABLE","?REFERENTIAL"),"_")))))</f>
        <v/>
      </c>
      <c r="H513" s="12" t="str">
        <f aca="false">IF(J513&lt;&gt;1,"",IF(I513="SBJ","CB","?"))</f>
        <v/>
      </c>
      <c r="I513" s="13" t="str">
        <f aca="false">IF(OR(E513="",E513="!!!",F513="NEW"),"",INDEX(B$2:B512,-1+SUMPRODUCT(MAX(ROW(E$2:E512)*(E513=E$2:E512)))))</f>
        <v/>
      </c>
      <c r="J513" s="14" t="str">
        <f aca="true">IF(OR(E513="",E513="!!!",F513="NEW"),"",COUNTBLANK(OFFSET(A$1,,,SUMPRODUCT(MAX(ROW(E$2:E513)*(E513=E$2:E513)))))-COUNTBLANK(OFFSET(A$1,,,SUMPRODUCT(MAX(ROW(E$1:E512)*(E513=E$1:E512))))))</f>
        <v/>
      </c>
      <c r="K513" s="14" t="str">
        <f aca="false">IF(OR(E513="",E513="!!!",F513="NEW"),"",INDEX(J$1:J512,SUMPRODUCT(MAX(ROW(E$1:E512)*(E513=E$1:E512)))))</f>
        <v/>
      </c>
      <c r="L513" s="15"/>
    </row>
    <row r="514" customFormat="false" ht="12.75" hidden="false" customHeight="false" outlineLevel="0" collapsed="false">
      <c r="A514" s="0" t="s">
        <v>122</v>
      </c>
      <c r="B514" s="0" t="s">
        <v>14</v>
      </c>
      <c r="C514" s="0" t="s">
        <v>38</v>
      </c>
      <c r="D514" s="0" t="s">
        <v>29</v>
      </c>
      <c r="E514" s="9" t="s">
        <v>269</v>
      </c>
      <c r="F514" s="10" t="str">
        <f aca="false">IF(OR(E514="",E514="!!!"),"",IF(NOT(ISNA(VLOOKUP(E514,E$1:E513,1,FALSE()))),"OLD",IF(AND(E514&lt;&gt;"",E514&lt;&gt;"!!!"),"NEW","")))</f>
        <v>OLD</v>
      </c>
      <c r="G514" s="11"/>
      <c r="H514" s="12" t="e">
        <f aca="false">IF(J514&lt;&gt;1,"",IF(I514="SBJ","CB","?"))</f>
        <v>#VALUE!</v>
      </c>
      <c r="I514" s="13" t="e">
        <f aca="false">IF(OR(E514="",E514="!!!",F514="NEW"),"",INDEX(B$2:B513,-1+SUMPRODUCT(MAX(ROW(E$2:E513)*(E514=E$2:E513)))))</f>
        <v>#VALUE!</v>
      </c>
      <c r="J514" s="14" t="e">
        <f aca="true">IF(OR(E514="",E514="!!!",F514="NEW"),"",COUNTBLANK(OFFSET(A$1,,,SUMPRODUCT(MAX(ROW(E$2:E514)*(E514=E$2:E514)))))-COUNTBLANK(OFFSET(A$1,,,SUMPRODUCT(MAX(ROW(E$1:E513)*(E514=E$1:E513))))))</f>
        <v>#VALUE!</v>
      </c>
      <c r="K514" s="14" t="e">
        <f aca="false">IF(OR(E514="",E514="!!!",F514="NEW"),"",INDEX(J$1:J513,SUMPRODUCT(MAX(ROW(E$1:E513)*(E514=E$1:E513)))))</f>
        <v>#VALUE!</v>
      </c>
      <c r="L514" s="15"/>
    </row>
    <row r="515" customFormat="false" ht="12.75" hidden="false" customHeight="false" outlineLevel="0" collapsed="false">
      <c r="A515" s="0" t="s">
        <v>336</v>
      </c>
      <c r="E515" s="9" t="str">
        <f aca="false">IF(D515="?OLD","!!!","")</f>
        <v/>
      </c>
      <c r="F515" s="10" t="str">
        <f aca="false">IF(OR(E515="",E515="!!!"),"",IF(NOT(ISNA(VLOOKUP(E515,E$1:E514,1,FALSE()))),"OLD",IF(AND(E515&lt;&gt;"",E515&lt;&gt;"!!!"),"NEW","")))</f>
        <v/>
      </c>
      <c r="G515" s="11" t="str">
        <f aca="false">IF(OR(E515="",E515="!!!"),"",IF(OR(J515=0,AND(J515=1,K515=1),AND(J515=1,I515="SBJ"),AND(J515=1,I515=0)),"?IN_FOCUS",IF(J515&lt;=2,"?ACTIVATED",IF(J515&lt;&gt;"","?FAMILIAR",IF(F515="NEW",IF(ISNA(VLOOKUP(E515,#REF!,1,FALSE())),"?TYPE_IDENTIFIABLE","?REFERENTIAL"),"_")))))</f>
        <v/>
      </c>
      <c r="H515" s="12" t="str">
        <f aca="false">IF(J515&lt;&gt;1,"",IF(I515="SBJ","CB","?"))</f>
        <v/>
      </c>
      <c r="I515" s="13" t="str">
        <f aca="false">IF(OR(E515="",E515="!!!",F515="NEW"),"",INDEX(B$2:B514,-1+SUMPRODUCT(MAX(ROW(E$2:E514)*(E515=E$2:E514)))))</f>
        <v/>
      </c>
      <c r="J515" s="14" t="str">
        <f aca="true">IF(OR(E515="",E515="!!!",F515="NEW"),"",COUNTBLANK(OFFSET(A$1,,,SUMPRODUCT(MAX(ROW(E$2:E515)*(E515=E$2:E515)))))-COUNTBLANK(OFFSET(A$1,,,SUMPRODUCT(MAX(ROW(E$1:E514)*(E515=E$1:E514))))))</f>
        <v/>
      </c>
      <c r="K515" s="14" t="str">
        <f aca="false">IF(OR(E515="",E515="!!!",F515="NEW"),"",INDEX(J$1:J514,SUMPRODUCT(MAX(ROW(E$1:E514)*(E515=E$1:E514)))))</f>
        <v/>
      </c>
      <c r="L515" s="15"/>
    </row>
    <row r="516" customFormat="false" ht="12.75" hidden="false" customHeight="false" outlineLevel="0" collapsed="false">
      <c r="A516" s="0" t="s">
        <v>66</v>
      </c>
      <c r="E516" s="9" t="str">
        <f aca="false">IF(D516="?OLD","!!!","")</f>
        <v/>
      </c>
      <c r="F516" s="10" t="str">
        <f aca="false">IF(OR(E516="",E516="!!!"),"",IF(NOT(ISNA(VLOOKUP(E516,E$1:E515,1,FALSE()))),"OLD",IF(AND(E516&lt;&gt;"",E516&lt;&gt;"!!!"),"NEW","")))</f>
        <v/>
      </c>
      <c r="G516" s="11" t="str">
        <f aca="false">IF(OR(E516="",E516="!!!"),"",IF(OR(J516=0,AND(J516=1,K516=1),AND(J516=1,I516="SBJ"),AND(J516=1,I516=0)),"?IN_FOCUS",IF(J516&lt;=2,"?ACTIVATED",IF(J516&lt;&gt;"","?FAMILIAR",IF(F516="NEW",IF(ISNA(VLOOKUP(E516,#REF!,1,FALSE())),"?TYPE_IDENTIFIABLE","?REFERENTIAL"),"_")))))</f>
        <v/>
      </c>
      <c r="H516" s="12" t="str">
        <f aca="false">IF(J516&lt;&gt;1,"",IF(I516="SBJ","CB","?"))</f>
        <v/>
      </c>
      <c r="I516" s="13" t="str">
        <f aca="false">IF(OR(E516="",E516="!!!",F516="NEW"),"",INDEX(B$2:B515,-1+SUMPRODUCT(MAX(ROW(E$2:E515)*(E516=E$2:E515)))))</f>
        <v/>
      </c>
      <c r="J516" s="14" t="str">
        <f aca="true">IF(OR(E516="",E516="!!!",F516="NEW"),"",COUNTBLANK(OFFSET(A$1,,,SUMPRODUCT(MAX(ROW(E$2:E516)*(E516=E$2:E516)))))-COUNTBLANK(OFFSET(A$1,,,SUMPRODUCT(MAX(ROW(E$1:E515)*(E516=E$1:E515))))))</f>
        <v/>
      </c>
      <c r="K516" s="14" t="str">
        <f aca="false">IF(OR(E516="",E516="!!!",F516="NEW"),"",INDEX(J$1:J515,SUMPRODUCT(MAX(ROW(E$1:E515)*(E516=E$1:E515)))))</f>
        <v/>
      </c>
      <c r="L516" s="15"/>
    </row>
    <row r="517" customFormat="false" ht="12.75" hidden="false" customHeight="false" outlineLevel="0" collapsed="false">
      <c r="A517" s="0" t="s">
        <v>337</v>
      </c>
      <c r="B517" s="0" t="s">
        <v>37</v>
      </c>
      <c r="C517" s="0" t="s">
        <v>111</v>
      </c>
      <c r="D517" s="0" t="s">
        <v>29</v>
      </c>
      <c r="E517" s="9" t="s">
        <v>68</v>
      </c>
      <c r="F517" s="10" t="s">
        <v>69</v>
      </c>
      <c r="G517" s="11"/>
      <c r="H517" s="12" t="str">
        <f aca="false">IF(J517&lt;&gt;1,"",IF(I517="SBJ","CB","?"))</f>
        <v>?</v>
      </c>
      <c r="I517" s="13" t="str">
        <f aca="false">IF(OR(E517="",E517="!!!",F517="NEW"),"",INDEX(B$2:B516,-1+SUMPRODUCT(MAX(ROW(E$2:E516)*(E517=E$2:E516)))))</f>
        <v>other_5</v>
      </c>
      <c r="J517" s="14" t="n">
        <f aca="true">IF(OR(E517="",E517="!!!",F517="NEW"),"",COUNTBLANK(OFFSET(A$1,,,SUMPRODUCT(MAX(ROW(E$2:E517)*(E517=E$2:E517)))))-COUNTBLANK(OFFSET(A$1,,,SUMPRODUCT(MAX(ROW(E$1:E516)*(E517=E$1:E516))))))</f>
        <v>1</v>
      </c>
      <c r="K517" s="14" t="n">
        <f aca="false">IF(OR(E517="",E517="!!!",F517="NEW"),"",INDEX(J$1:J516,SUMPRODUCT(MAX(ROW(E$1:E516)*(E517=E$1:E516)))))</f>
        <v>0</v>
      </c>
      <c r="L517" s="15"/>
    </row>
    <row r="518" customFormat="false" ht="12.75" hidden="false" customHeight="false" outlineLevel="0" collapsed="false">
      <c r="A518" s="0" t="s">
        <v>19</v>
      </c>
      <c r="E518" s="9" t="str">
        <f aca="false">IF(D518="?OLD","!!!","")</f>
        <v/>
      </c>
      <c r="F518" s="10" t="str">
        <f aca="false">IF(OR(E518="",E518="!!!"),"",IF(NOT(ISNA(VLOOKUP(E518,E$1:E517,1,FALSE()))),"OLD",IF(AND(E518&lt;&gt;"",E518&lt;&gt;"!!!"),"NEW","")))</f>
        <v/>
      </c>
      <c r="G518" s="11" t="str">
        <f aca="false">IF(OR(E518="",E518="!!!"),"",IF(OR(J518=0,AND(J518=1,K518=1),AND(J518=1,I518="SBJ"),AND(J518=1,I518=0)),"?IN_FOCUS",IF(J518&lt;=2,"?ACTIVATED",IF(J518&lt;&gt;"","?FAMILIAR",IF(F518="NEW",IF(ISNA(VLOOKUP(E518,#REF!,1,FALSE())),"?TYPE_IDENTIFIABLE","?REFERENTIAL"),"_")))))</f>
        <v/>
      </c>
      <c r="H518" s="12" t="str">
        <f aca="false">IF(J518&lt;&gt;1,"",IF(I518="SBJ","CB","?"))</f>
        <v/>
      </c>
      <c r="I518" s="13" t="str">
        <f aca="false">IF(OR(E518="",E518="!!!",F518="NEW"),"",INDEX(B$2:B517,-1+SUMPRODUCT(MAX(ROW(E$2:E517)*(E518=E$2:E517)))))</f>
        <v/>
      </c>
      <c r="J518" s="14" t="str">
        <f aca="true">IF(OR(E518="",E518="!!!",F518="NEW"),"",COUNTBLANK(OFFSET(A$1,,,SUMPRODUCT(MAX(ROW(E$2:E518)*(E518=E$2:E518)))))-COUNTBLANK(OFFSET(A$1,,,SUMPRODUCT(MAX(ROW(E$1:E517)*(E518=E$1:E517))))))</f>
        <v/>
      </c>
      <c r="K518" s="14" t="str">
        <f aca="false">IF(OR(E518="",E518="!!!",F518="NEW"),"",INDEX(J$1:J517,SUMPRODUCT(MAX(ROW(E$1:E517)*(E518=E$1:E517)))))</f>
        <v/>
      </c>
      <c r="L518" s="15"/>
    </row>
    <row r="519" customFormat="false" ht="12.75" hidden="false" customHeight="false" outlineLevel="0" collapsed="false">
      <c r="A519" s="0" t="s">
        <v>40</v>
      </c>
      <c r="E519" s="9" t="str">
        <f aca="false">IF(D519="?OLD","!!!","")</f>
        <v/>
      </c>
      <c r="F519" s="10" t="str">
        <f aca="false">IF(OR(E519="",E519="!!!"),"",IF(NOT(ISNA(VLOOKUP(E519,E$1:E518,1,FALSE()))),"OLD",IF(AND(E519&lt;&gt;"",E519&lt;&gt;"!!!"),"NEW","")))</f>
        <v/>
      </c>
      <c r="G519" s="11" t="str">
        <f aca="false">IF(OR(E519="",E519="!!!"),"",IF(OR(J519=0,AND(J519=1,K519=1),AND(J519=1,I519="SBJ"),AND(J519=1,I519=0)),"?IN_FOCUS",IF(J519&lt;=2,"?ACTIVATED",IF(J519&lt;&gt;"","?FAMILIAR",IF(F519="NEW",IF(ISNA(VLOOKUP(E519,#REF!,1,FALSE())),"?TYPE_IDENTIFIABLE","?REFERENTIAL"),"_")))))</f>
        <v/>
      </c>
      <c r="H519" s="12" t="str">
        <f aca="false">IF(J519&lt;&gt;1,"",IF(I519="SBJ","CB","?"))</f>
        <v/>
      </c>
      <c r="I519" s="13" t="str">
        <f aca="false">IF(OR(E519="",E519="!!!",F519="NEW"),"",INDEX(B$2:B518,-1+SUMPRODUCT(MAX(ROW(E$2:E518)*(E519=E$2:E518)))))</f>
        <v/>
      </c>
      <c r="J519" s="14" t="str">
        <f aca="true">IF(OR(E519="",E519="!!!",F519="NEW"),"",COUNTBLANK(OFFSET(A$1,,,SUMPRODUCT(MAX(ROW(E$2:E519)*(E519=E$2:E519)))))-COUNTBLANK(OFFSET(A$1,,,SUMPRODUCT(MAX(ROW(E$1:E518)*(E519=E$1:E518))))))</f>
        <v/>
      </c>
      <c r="K519" s="14" t="str">
        <f aca="false">IF(OR(E519="",E519="!!!",F519="NEW"),"",INDEX(J$1:J518,SUMPRODUCT(MAX(ROW(E$1:E518)*(E519=E$1:E518)))))</f>
        <v/>
      </c>
      <c r="L519" s="15"/>
    </row>
    <row r="520" customFormat="false" ht="12.75" hidden="false" customHeight="false" outlineLevel="0" collapsed="false">
      <c r="A520" s="0" t="s">
        <v>231</v>
      </c>
      <c r="B520" s="0" t="s">
        <v>28</v>
      </c>
      <c r="C520" s="0" t="s">
        <v>15</v>
      </c>
      <c r="D520" s="0" t="s">
        <v>29</v>
      </c>
      <c r="E520" s="9" t="s">
        <v>338</v>
      </c>
      <c r="F520" s="10" t="str">
        <f aca="false">IF(OR(E520="",E520="!!!"),"",IF(NOT(ISNA(VLOOKUP(E520,E$1:E519,1,FALSE()))),"OLD",IF(AND(E520&lt;&gt;"",E520&lt;&gt;"!!!"),"NEW","")))</f>
        <v>NEW</v>
      </c>
      <c r="G520" s="11" t="s">
        <v>266</v>
      </c>
      <c r="H520" s="12" t="str">
        <f aca="false">IF(J520&lt;&gt;1,"",IF(I520="SBJ","CB","?"))</f>
        <v/>
      </c>
      <c r="I520" s="13" t="str">
        <f aca="false">IF(OR(E520="",E520="!!!",F520="NEW"),"",INDEX(B$2:B519,-1+SUMPRODUCT(MAX(ROW(E$2:E519)*(E520=E$2:E519)))))</f>
        <v/>
      </c>
      <c r="J520" s="14" t="str">
        <f aca="true">IF(OR(E520="",E520="!!!",F520="NEW"),"",COUNTBLANK(OFFSET(A$1,,,SUMPRODUCT(MAX(ROW(E$2:E520)*(E520=E$2:E520)))))-COUNTBLANK(OFFSET(A$1,,,SUMPRODUCT(MAX(ROW(E$1:E519)*(E520=E$1:E519))))))</f>
        <v/>
      </c>
      <c r="K520" s="14" t="str">
        <f aca="false">IF(OR(E520="",E520="!!!",F520="NEW"),"",INDEX(J$1:J519,SUMPRODUCT(MAX(ROW(E$1:E519)*(E520=E$1:E519)))))</f>
        <v/>
      </c>
      <c r="L520" s="15"/>
    </row>
    <row r="521" customFormat="false" ht="12.75" hidden="false" customHeight="false" outlineLevel="0" collapsed="false">
      <c r="A521" s="0" t="s">
        <v>339</v>
      </c>
      <c r="E521" s="9" t="str">
        <f aca="false">IF(D521="?OLD","!!!","")</f>
        <v/>
      </c>
      <c r="F521" s="10" t="str">
        <f aca="false">IF(OR(E521="",E521="!!!"),"",IF(NOT(ISNA(VLOOKUP(E521,E$1:E520,1,FALSE()))),"OLD",IF(AND(E521&lt;&gt;"",E521&lt;&gt;"!!!"),"NEW","")))</f>
        <v/>
      </c>
      <c r="G521" s="11" t="str">
        <f aca="false">IF(OR(E521="",E521="!!!"),"",IF(OR(J521=0,AND(J521=1,K521=1),AND(J521=1,I521="SBJ"),AND(J521=1,I521=0)),"?IN_FOCUS",IF(J521&lt;=2,"?ACTIVATED",IF(J521&lt;&gt;"","?FAMILIAR",IF(F521="NEW",IF(ISNA(VLOOKUP(E521,#REF!,1,FALSE())),"?TYPE_IDENTIFIABLE","?REFERENTIAL"),"_")))))</f>
        <v/>
      </c>
      <c r="H521" s="12" t="str">
        <f aca="false">IF(J521&lt;&gt;1,"",IF(I521="SBJ","CB","?"))</f>
        <v/>
      </c>
      <c r="I521" s="13" t="str">
        <f aca="false">IF(OR(E521="",E521="!!!",F521="NEW"),"",INDEX(B$2:B520,-1+SUMPRODUCT(MAX(ROW(E$2:E520)*(E521=E$2:E520)))))</f>
        <v/>
      </c>
      <c r="J521" s="14" t="str">
        <f aca="true">IF(OR(E521="",E521="!!!",F521="NEW"),"",COUNTBLANK(OFFSET(A$1,,,SUMPRODUCT(MAX(ROW(E$2:E521)*(E521=E$2:E521)))))-COUNTBLANK(OFFSET(A$1,,,SUMPRODUCT(MAX(ROW(E$1:E520)*(E521=E$1:E520))))))</f>
        <v/>
      </c>
      <c r="K521" s="14" t="str">
        <f aca="false">IF(OR(E521="",E521="!!!",F521="NEW"),"",INDEX(J$1:J520,SUMPRODUCT(MAX(ROW(E$1:E520)*(E521=E$1:E520)))))</f>
        <v/>
      </c>
      <c r="L521" s="15"/>
    </row>
    <row r="522" customFormat="false" ht="12.75" hidden="false" customHeight="false" outlineLevel="0" collapsed="false">
      <c r="A522" s="0" t="s">
        <v>19</v>
      </c>
      <c r="E522" s="9" t="str">
        <f aca="false">IF(D522="?OLD","!!!","")</f>
        <v/>
      </c>
      <c r="F522" s="10" t="str">
        <f aca="false">IF(OR(E522="",E522="!!!"),"",IF(NOT(ISNA(VLOOKUP(E522,E$1:E521,1,FALSE()))),"OLD",IF(AND(E522&lt;&gt;"",E522&lt;&gt;"!!!"),"NEW","")))</f>
        <v/>
      </c>
      <c r="G522" s="11" t="str">
        <f aca="false">IF(OR(E522="",E522="!!!"),"",IF(OR(J522=0,AND(J522=1,K522=1),AND(J522=1,I522="SBJ"),AND(J522=1,I522=0)),"?IN_FOCUS",IF(J522&lt;=2,"?ACTIVATED",IF(J522&lt;&gt;"","?FAMILIAR",IF(F522="NEW",IF(ISNA(VLOOKUP(E522,#REF!,1,FALSE())),"?TYPE_IDENTIFIABLE","?REFERENTIAL"),"_")))))</f>
        <v/>
      </c>
      <c r="H522" s="12" t="str">
        <f aca="false">IF(J522&lt;&gt;1,"",IF(I522="SBJ","CB","?"))</f>
        <v/>
      </c>
      <c r="I522" s="13" t="str">
        <f aca="false">IF(OR(E522="",E522="!!!",F522="NEW"),"",INDEX(B$2:B521,-1+SUMPRODUCT(MAX(ROW(E$2:E521)*(E522=E$2:E521)))))</f>
        <v/>
      </c>
      <c r="J522" s="14" t="str">
        <f aca="true">IF(OR(E522="",E522="!!!",F522="NEW"),"",COUNTBLANK(OFFSET(A$1,,,SUMPRODUCT(MAX(ROW(E$2:E522)*(E522=E$2:E522)))))-COUNTBLANK(OFFSET(A$1,,,SUMPRODUCT(MAX(ROW(E$1:E521)*(E522=E$1:E521))))))</f>
        <v/>
      </c>
      <c r="K522" s="14" t="str">
        <f aca="false">IF(OR(E522="",E522="!!!",F522="NEW"),"",INDEX(J$1:J521,SUMPRODUCT(MAX(ROW(E$1:E521)*(E522=E$1:E521)))))</f>
        <v/>
      </c>
      <c r="L522" s="15"/>
    </row>
    <row r="523" customFormat="false" ht="12.75" hidden="false" customHeight="false" outlineLevel="0" collapsed="false">
      <c r="A523" s="0" t="s">
        <v>142</v>
      </c>
      <c r="B523" s="0" t="s">
        <v>22</v>
      </c>
      <c r="C523" s="0" t="s">
        <v>38</v>
      </c>
      <c r="D523" s="0" t="s">
        <v>29</v>
      </c>
      <c r="E523" s="9" t="s">
        <v>340</v>
      </c>
      <c r="F523" s="10" t="str">
        <f aca="false">IF(OR(E523="",E523="!!!"),"",IF(NOT(ISNA(VLOOKUP(E523,E$1:E522,1,FALSE()))),"OLD",IF(AND(E523&lt;&gt;"",E523&lt;&gt;"!!!"),"NEW","")))</f>
        <v>NEW</v>
      </c>
      <c r="G523" s="11" t="s">
        <v>39</v>
      </c>
      <c r="H523" s="12" t="str">
        <f aca="false">IF(J523&lt;&gt;1,"",IF(I523="SBJ","CB","?"))</f>
        <v/>
      </c>
      <c r="I523" s="13" t="str">
        <f aca="false">IF(OR(E523="",E523="!!!",F523="NEW"),"",INDEX(B$2:B522,-1+SUMPRODUCT(MAX(ROW(E$2:E522)*(E523=E$2:E522)))))</f>
        <v/>
      </c>
      <c r="J523" s="14" t="str">
        <f aca="true">IF(OR(E523="",E523="!!!",F523="NEW"),"",COUNTBLANK(OFFSET(A$1,,,SUMPRODUCT(MAX(ROW(E$2:E523)*(E523=E$2:E523)))))-COUNTBLANK(OFFSET(A$1,,,SUMPRODUCT(MAX(ROW(E$1:E522)*(E523=E$1:E522))))))</f>
        <v/>
      </c>
      <c r="K523" s="14" t="str">
        <f aca="false">IF(OR(E523="",E523="!!!",F523="NEW"),"",INDEX(J$1:J522,SUMPRODUCT(MAX(ROW(E$1:E522)*(E523=E$1:E522)))))</f>
        <v/>
      </c>
      <c r="L523" s="15"/>
    </row>
    <row r="524" customFormat="false" ht="12.75" hidden="false" customHeight="false" outlineLevel="0" collapsed="false">
      <c r="A524" s="0" t="s">
        <v>73</v>
      </c>
      <c r="E524" s="9" t="str">
        <f aca="false">IF(D524="?OLD","!!!","")</f>
        <v/>
      </c>
      <c r="F524" s="10" t="str">
        <f aca="false">IF(OR(E524="",E524="!!!"),"",IF(NOT(ISNA(VLOOKUP(E524,E$1:E523,1,FALSE()))),"OLD",IF(AND(E524&lt;&gt;"",E524&lt;&gt;"!!!"),"NEW","")))</f>
        <v/>
      </c>
      <c r="G524" s="11" t="str">
        <f aca="false">IF(OR(E524="",E524="!!!"),"",IF(OR(J524=0,AND(J524=1,K524=1),AND(J524=1,I524="SBJ"),AND(J524=1,I524=0)),"?IN_FOCUS",IF(J524&lt;=2,"?ACTIVATED",IF(J524&lt;&gt;"","?FAMILIAR",IF(F524="NEW",IF(ISNA(VLOOKUP(E524,#REF!,1,FALSE())),"?TYPE_IDENTIFIABLE","?REFERENTIAL"),"_")))))</f>
        <v/>
      </c>
      <c r="H524" s="12" t="str">
        <f aca="false">IF(J524&lt;&gt;1,"",IF(I524="SBJ","CB","?"))</f>
        <v/>
      </c>
      <c r="I524" s="13" t="str">
        <f aca="false">IF(OR(E524="",E524="!!!",F524="NEW"),"",INDEX(B$2:B523,-1+SUMPRODUCT(MAX(ROW(E$2:E523)*(E524=E$2:E523)))))</f>
        <v/>
      </c>
      <c r="J524" s="14" t="str">
        <f aca="true">IF(OR(E524="",E524="!!!",F524="NEW"),"",COUNTBLANK(OFFSET(A$1,,,SUMPRODUCT(MAX(ROW(E$2:E524)*(E524=E$2:E524)))))-COUNTBLANK(OFFSET(A$1,,,SUMPRODUCT(MAX(ROW(E$1:E523)*(E524=E$1:E523))))))</f>
        <v/>
      </c>
      <c r="K524" s="14" t="str">
        <f aca="false">IF(OR(E524="",E524="!!!",F524="NEW"),"",INDEX(J$1:J523,SUMPRODUCT(MAX(ROW(E$1:E523)*(E524=E$1:E523)))))</f>
        <v/>
      </c>
      <c r="L524" s="15"/>
    </row>
    <row r="525" customFormat="false" ht="12.75" hidden="false" customHeight="false" outlineLevel="0" collapsed="false">
      <c r="A525" s="0" t="s">
        <v>262</v>
      </c>
      <c r="E525" s="9" t="str">
        <f aca="false">IF(D525="?OLD","!!!","")</f>
        <v/>
      </c>
      <c r="F525" s="10" t="str">
        <f aca="false">IF(OR(E525="",E525="!!!"),"",IF(NOT(ISNA(VLOOKUP(E525,E$1:E524,1,FALSE()))),"OLD",IF(AND(E525&lt;&gt;"",E525&lt;&gt;"!!!"),"NEW","")))</f>
        <v/>
      </c>
      <c r="G525" s="11" t="str">
        <f aca="false">IF(OR(E525="",E525="!!!"),"",IF(OR(J525=0,AND(J525=1,K525=1),AND(J525=1,I525="SBJ"),AND(J525=1,I525=0)),"?IN_FOCUS",IF(J525&lt;=2,"?ACTIVATED",IF(J525&lt;&gt;"","?FAMILIAR",IF(F525="NEW",IF(ISNA(VLOOKUP(E525,#REF!,1,FALSE())),"?TYPE_IDENTIFIABLE","?REFERENTIAL"),"_")))))</f>
        <v/>
      </c>
      <c r="H525" s="12" t="str">
        <f aca="false">IF(J525&lt;&gt;1,"",IF(I525="SBJ","CB","?"))</f>
        <v/>
      </c>
      <c r="I525" s="13" t="str">
        <f aca="false">IF(OR(E525="",E525="!!!",F525="NEW"),"",INDEX(B$2:B524,-1+SUMPRODUCT(MAX(ROW(E$2:E524)*(E525=E$2:E524)))))</f>
        <v/>
      </c>
      <c r="J525" s="14" t="str">
        <f aca="true">IF(OR(E525="",E525="!!!",F525="NEW"),"",COUNTBLANK(OFFSET(A$1,,,SUMPRODUCT(MAX(ROW(E$2:E525)*(E525=E$2:E525)))))-COUNTBLANK(OFFSET(A$1,,,SUMPRODUCT(MAX(ROW(E$1:E524)*(E525=E$1:E524))))))</f>
        <v/>
      </c>
      <c r="K525" s="14" t="str">
        <f aca="false">IF(OR(E525="",E525="!!!",F525="NEW"),"",INDEX(J$1:J524,SUMPRODUCT(MAX(ROW(E$1:E524)*(E525=E$1:E524)))))</f>
        <v/>
      </c>
      <c r="L525" s="15"/>
    </row>
    <row r="526" customFormat="false" ht="12.75" hidden="false" customHeight="false" outlineLevel="0" collapsed="false">
      <c r="E526" s="9" t="str">
        <f aca="false">IF(D526="?OLD","!!!","")</f>
        <v/>
      </c>
      <c r="F526" s="10" t="str">
        <f aca="false">IF(OR(E526="",E526="!!!"),"",IF(NOT(ISNA(VLOOKUP(E526,E$1:E525,1,FALSE()))),"OLD",IF(AND(E526&lt;&gt;"",E526&lt;&gt;"!!!"),"NEW","")))</f>
        <v/>
      </c>
      <c r="G526" s="11" t="str">
        <f aca="false">IF(OR(E526="",E526="!!!"),"",IF(OR(J526=0,AND(J526=1,K526=1),AND(J526=1,I526="SBJ"),AND(J526=1,I526=0)),"?IN_FOCUS",IF(J526&lt;=2,"?ACTIVATED",IF(J526&lt;&gt;"","?FAMILIAR",IF(F526="NEW",IF(ISNA(VLOOKUP(E526,#REF!,1,FALSE())),"?TYPE_IDENTIFIABLE","?REFERENTIAL"),"_")))))</f>
        <v/>
      </c>
      <c r="H526" s="12" t="str">
        <f aca="false">IF(J526&lt;&gt;1,"",IF(I526="SBJ","CB","?"))</f>
        <v/>
      </c>
      <c r="I526" s="13" t="str">
        <f aca="false">IF(OR(E526="",E526="!!!",F526="NEW"),"",INDEX(B$2:B525,-1+SUMPRODUCT(MAX(ROW(E$2:E525)*(E526=E$2:E525)))))</f>
        <v/>
      </c>
      <c r="J526" s="14" t="str">
        <f aca="true">IF(OR(E526="",E526="!!!",F526="NEW"),"",COUNTBLANK(OFFSET(A$1,,,SUMPRODUCT(MAX(ROW(E$2:E526)*(E526=E$2:E526)))))-COUNTBLANK(OFFSET(A$1,,,SUMPRODUCT(MAX(ROW(E$1:E525)*(E526=E$1:E525))))))</f>
        <v/>
      </c>
      <c r="K526" s="14" t="str">
        <f aca="false">IF(OR(E526="",E526="!!!",F526="NEW"),"",INDEX(J$1:J525,SUMPRODUCT(MAX(ROW(E$1:E525)*(E526=E$1:E525)))))</f>
        <v/>
      </c>
      <c r="L526" s="15"/>
    </row>
    <row r="527" customFormat="false" ht="12.75" hidden="false" customHeight="false" outlineLevel="0" collapsed="false">
      <c r="A527" s="0" t="s">
        <v>260</v>
      </c>
      <c r="E527" s="9" t="str">
        <f aca="false">IF(D527="?OLD","!!!","")</f>
        <v/>
      </c>
      <c r="F527" s="10" t="str">
        <f aca="false">IF(OR(E527="",E527="!!!"),"",IF(NOT(ISNA(VLOOKUP(E527,E$1:E526,1,FALSE()))),"OLD",IF(AND(E527&lt;&gt;"",E527&lt;&gt;"!!!"),"NEW","")))</f>
        <v/>
      </c>
      <c r="G527" s="11" t="str">
        <f aca="false">IF(OR(E527="",E527="!!!"),"",IF(OR(J527=0,AND(J527=1,K527=1),AND(J527=1,I527="SBJ"),AND(J527=1,I527=0)),"?IN_FOCUS",IF(J527&lt;=2,"?ACTIVATED",IF(J527&lt;&gt;"","?FAMILIAR",IF(F527="NEW",IF(ISNA(VLOOKUP(E527,#REF!,1,FALSE())),"?TYPE_IDENTIFIABLE","?REFERENTIAL"),"_")))))</f>
        <v/>
      </c>
      <c r="H527" s="12" t="str">
        <f aca="false">IF(J527&lt;&gt;1,"",IF(I527="SBJ","CB","?"))</f>
        <v/>
      </c>
      <c r="I527" s="13" t="str">
        <f aca="false">IF(OR(E527="",E527="!!!",F527="NEW"),"",INDEX(B$2:B526,-1+SUMPRODUCT(MAX(ROW(E$2:E526)*(E527=E$2:E526)))))</f>
        <v/>
      </c>
      <c r="J527" s="14" t="str">
        <f aca="true">IF(OR(E527="",E527="!!!",F527="NEW"),"",COUNTBLANK(OFFSET(A$1,,,SUMPRODUCT(MAX(ROW(E$2:E527)*(E527=E$2:E527)))))-COUNTBLANK(OFFSET(A$1,,,SUMPRODUCT(MAX(ROW(E$1:E526)*(E527=E$1:E526))))))</f>
        <v/>
      </c>
      <c r="K527" s="14" t="str">
        <f aca="false">IF(OR(E527="",E527="!!!",F527="NEW"),"",INDEX(J$1:J526,SUMPRODUCT(MAX(ROW(E$1:E526)*(E527=E$1:E526)))))</f>
        <v/>
      </c>
      <c r="L527" s="15"/>
    </row>
    <row r="528" customFormat="false" ht="12.75" hidden="false" customHeight="false" outlineLevel="0" collapsed="false">
      <c r="A528" s="0" t="s">
        <v>341</v>
      </c>
      <c r="E528" s="9" t="str">
        <f aca="false">IF(D528="?OLD","!!!","")</f>
        <v/>
      </c>
      <c r="F528" s="10" t="str">
        <f aca="false">IF(OR(E528="",E528="!!!"),"",IF(NOT(ISNA(VLOOKUP(E528,E$1:E527,1,FALSE()))),"OLD",IF(AND(E528&lt;&gt;"",E528&lt;&gt;"!!!"),"NEW","")))</f>
        <v/>
      </c>
      <c r="G528" s="11" t="str">
        <f aca="false">IF(OR(E528="",E528="!!!"),"",IF(OR(J528=0,AND(J528=1,K528=1),AND(J528=1,I528="SBJ"),AND(J528=1,I528=0)),"?IN_FOCUS",IF(J528&lt;=2,"?ACTIVATED",IF(J528&lt;&gt;"","?FAMILIAR",IF(F528="NEW",IF(ISNA(VLOOKUP(E528,#REF!,1,FALSE())),"?TYPE_IDENTIFIABLE","?REFERENTIAL"),"_")))))</f>
        <v/>
      </c>
      <c r="H528" s="12" t="str">
        <f aca="false">IF(J528&lt;&gt;1,"",IF(I528="SBJ","CB","?"))</f>
        <v/>
      </c>
      <c r="I528" s="13" t="str">
        <f aca="false">IF(OR(E528="",E528="!!!",F528="NEW"),"",INDEX(B$2:B527,-1+SUMPRODUCT(MAX(ROW(E$2:E527)*(E528=E$2:E527)))))</f>
        <v/>
      </c>
      <c r="J528" s="14" t="str">
        <f aca="true">IF(OR(E528="",E528="!!!",F528="NEW"),"",COUNTBLANK(OFFSET(A$1,,,SUMPRODUCT(MAX(ROW(E$2:E528)*(E528=E$2:E528)))))-COUNTBLANK(OFFSET(A$1,,,SUMPRODUCT(MAX(ROW(E$1:E527)*(E528=E$1:E527))))))</f>
        <v/>
      </c>
      <c r="K528" s="14" t="str">
        <f aca="false">IF(OR(E528="",E528="!!!",F528="NEW"),"",INDEX(J$1:J527,SUMPRODUCT(MAX(ROW(E$1:E527)*(E528=E$1:E527)))))</f>
        <v/>
      </c>
      <c r="L528" s="15"/>
    </row>
    <row r="529" customFormat="false" ht="12.75" hidden="false" customHeight="false" outlineLevel="0" collapsed="false">
      <c r="A529" s="0" t="s">
        <v>262</v>
      </c>
      <c r="E529" s="9" t="str">
        <f aca="false">IF(D529="?OLD","!!!","")</f>
        <v/>
      </c>
      <c r="F529" s="10" t="str">
        <f aca="false">IF(OR(E529="",E529="!!!"),"",IF(NOT(ISNA(VLOOKUP(E529,E$1:E528,1,FALSE()))),"OLD",IF(AND(E529&lt;&gt;"",E529&lt;&gt;"!!!"),"NEW","")))</f>
        <v/>
      </c>
      <c r="G529" s="11" t="str">
        <f aca="false">IF(OR(E529="",E529="!!!"),"",IF(OR(J529=0,AND(J529=1,K529=1),AND(J529=1,I529="SBJ"),AND(J529=1,I529=0)),"?IN_FOCUS",IF(J529&lt;=2,"?ACTIVATED",IF(J529&lt;&gt;"","?FAMILIAR",IF(F529="NEW",IF(ISNA(VLOOKUP(E529,#REF!,1,FALSE())),"?TYPE_IDENTIFIABLE","?REFERENTIAL"),"_")))))</f>
        <v/>
      </c>
      <c r="H529" s="12" t="str">
        <f aca="false">IF(J529&lt;&gt;1,"",IF(I529="SBJ","CB","?"))</f>
        <v/>
      </c>
      <c r="I529" s="13" t="str">
        <f aca="false">IF(OR(E529="",E529="!!!",F529="NEW"),"",INDEX(B$2:B528,-1+SUMPRODUCT(MAX(ROW(E$2:E528)*(E529=E$2:E528)))))</f>
        <v/>
      </c>
      <c r="J529" s="14" t="str">
        <f aca="true">IF(OR(E529="",E529="!!!",F529="NEW"),"",COUNTBLANK(OFFSET(A$1,,,SUMPRODUCT(MAX(ROW(E$2:E529)*(E529=E$2:E529)))))-COUNTBLANK(OFFSET(A$1,,,SUMPRODUCT(MAX(ROW(E$1:E528)*(E529=E$1:E528))))))</f>
        <v/>
      </c>
      <c r="K529" s="14" t="str">
        <f aca="false">IF(OR(E529="",E529="!!!",F529="NEW"),"",INDEX(J$1:J528,SUMPRODUCT(MAX(ROW(E$1:E528)*(E529=E$1:E528)))))</f>
        <v/>
      </c>
      <c r="L529" s="15"/>
    </row>
    <row r="530" customFormat="false" ht="12.75" hidden="false" customHeight="false" outlineLevel="0" collapsed="false">
      <c r="A530" s="0" t="s">
        <v>342</v>
      </c>
      <c r="B530" s="0" t="s">
        <v>14</v>
      </c>
      <c r="C530" s="0" t="s">
        <v>92</v>
      </c>
      <c r="D530" s="0" t="s">
        <v>29</v>
      </c>
      <c r="E530" s="9" t="s">
        <v>338</v>
      </c>
      <c r="F530" s="10" t="str">
        <f aca="false">IF(OR(E530="",E530="!!!"),"",IF(NOT(ISNA(VLOOKUP(E530,E$1:E529,1,FALSE()))),"OLD",IF(AND(E530&lt;&gt;"",E530&lt;&gt;"!!!"),"NEW","")))</f>
        <v>OLD</v>
      </c>
      <c r="G530" s="11" t="s">
        <v>25</v>
      </c>
      <c r="H530" s="12" t="str">
        <f aca="false">IF(J530&lt;&gt;1,"",IF(I530="SBJ","CB","?"))</f>
        <v>?</v>
      </c>
      <c r="I530" s="13" t="str">
        <f aca="false">IF(OR(E530="",E530="!!!",F530="NEW"),"",INDEX(B$2:B529,-1+SUMPRODUCT(MAX(ROW(E$2:E529)*(E530=E$2:E529)))))</f>
        <v>other_2</v>
      </c>
      <c r="J530" s="14" t="n">
        <f aca="true">IF(OR(E530="",E530="!!!",F530="NEW"),"",COUNTBLANK(OFFSET(A$1,,,SUMPRODUCT(MAX(ROW(E$2:E530)*(E530=E$2:E530)))))-COUNTBLANK(OFFSET(A$1,,,SUMPRODUCT(MAX(ROW(E$1:E529)*(E530=E$1:E529))))))</f>
        <v>1</v>
      </c>
      <c r="K530" s="14" t="str">
        <f aca="false">IF(OR(E530="",E530="!!!",F530="NEW"),"",INDEX(J$1:J529,SUMPRODUCT(MAX(ROW(E$1:E529)*(E530=E$1:E529)))))</f>
        <v/>
      </c>
      <c r="L530" s="15"/>
    </row>
    <row r="531" customFormat="false" ht="12.75" hidden="false" customHeight="false" outlineLevel="0" collapsed="false">
      <c r="A531" s="0" t="s">
        <v>343</v>
      </c>
      <c r="E531" s="9" t="str">
        <f aca="false">IF(D531="?OLD","!!!","")</f>
        <v/>
      </c>
      <c r="F531" s="10" t="str">
        <f aca="false">IF(OR(E531="",E531="!!!"),"",IF(NOT(ISNA(VLOOKUP(E531,E$1:E530,1,FALSE()))),"OLD",IF(AND(E531&lt;&gt;"",E531&lt;&gt;"!!!"),"NEW","")))</f>
        <v/>
      </c>
      <c r="G531" s="11" t="str">
        <f aca="false">IF(OR(E531="",E531="!!!"),"",IF(OR(J531=0,AND(J531=1,K531=1),AND(J531=1,I531="SBJ"),AND(J531=1,I531=0)),"?IN_FOCUS",IF(J531&lt;=2,"?ACTIVATED",IF(J531&lt;&gt;"","?FAMILIAR",IF(F531="NEW",IF(ISNA(VLOOKUP(E531,#REF!,1,FALSE())),"?TYPE_IDENTIFIABLE","?REFERENTIAL"),"_")))))</f>
        <v/>
      </c>
      <c r="H531" s="12" t="str">
        <f aca="false">IF(J531&lt;&gt;1,"",IF(I531="SBJ","CB","?"))</f>
        <v/>
      </c>
      <c r="I531" s="13" t="str">
        <f aca="false">IF(OR(E531="",E531="!!!",F531="NEW"),"",INDEX(B$2:B530,-1+SUMPRODUCT(MAX(ROW(E$2:E530)*(E531=E$2:E530)))))</f>
        <v/>
      </c>
      <c r="J531" s="14" t="str">
        <f aca="true">IF(OR(E531="",E531="!!!",F531="NEW"),"",COUNTBLANK(OFFSET(A$1,,,SUMPRODUCT(MAX(ROW(E$2:E531)*(E531=E$2:E531)))))-COUNTBLANK(OFFSET(A$1,,,SUMPRODUCT(MAX(ROW(E$1:E530)*(E531=E$1:E530))))))</f>
        <v/>
      </c>
      <c r="K531" s="14" t="str">
        <f aca="false">IF(OR(E531="",E531="!!!",F531="NEW"),"",INDEX(J$1:J530,SUMPRODUCT(MAX(ROW(E$1:E530)*(E531=E$1:E530)))))</f>
        <v/>
      </c>
      <c r="L531" s="15"/>
    </row>
    <row r="532" customFormat="false" ht="12.75" hidden="false" customHeight="false" outlineLevel="0" collapsed="false">
      <c r="A532" s="0" t="s">
        <v>258</v>
      </c>
      <c r="E532" s="9" t="str">
        <f aca="false">IF(D532="?OLD","!!!","")</f>
        <v/>
      </c>
      <c r="F532" s="10" t="str">
        <f aca="false">IF(OR(E532="",E532="!!!"),"",IF(NOT(ISNA(VLOOKUP(E532,E$1:E531,1,FALSE()))),"OLD",IF(AND(E532&lt;&gt;"",E532&lt;&gt;"!!!"),"NEW","")))</f>
        <v/>
      </c>
      <c r="G532" s="11" t="str">
        <f aca="false">IF(OR(E532="",E532="!!!"),"",IF(OR(J532=0,AND(J532=1,K532=1),AND(J532=1,I532="SBJ"),AND(J532=1,I532=0)),"?IN_FOCUS",IF(J532&lt;=2,"?ACTIVATED",IF(J532&lt;&gt;"","?FAMILIAR",IF(F532="NEW",IF(ISNA(VLOOKUP(E532,#REF!,1,FALSE())),"?TYPE_IDENTIFIABLE","?REFERENTIAL"),"_")))))</f>
        <v/>
      </c>
      <c r="H532" s="12" t="str">
        <f aca="false">IF(J532&lt;&gt;1,"",IF(I532="SBJ","CB","?"))</f>
        <v/>
      </c>
      <c r="I532" s="13" t="str">
        <f aca="false">IF(OR(E532="",E532="!!!",F532="NEW"),"",INDEX(B$2:B531,-1+SUMPRODUCT(MAX(ROW(E$2:E531)*(E532=E$2:E531)))))</f>
        <v/>
      </c>
      <c r="J532" s="14" t="str">
        <f aca="true">IF(OR(E532="",E532="!!!",F532="NEW"),"",COUNTBLANK(OFFSET(A$1,,,SUMPRODUCT(MAX(ROW(E$2:E532)*(E532=E$2:E532)))))-COUNTBLANK(OFFSET(A$1,,,SUMPRODUCT(MAX(ROW(E$1:E531)*(E532=E$1:E531))))))</f>
        <v/>
      </c>
      <c r="K532" s="14" t="str">
        <f aca="false">IF(OR(E532="",E532="!!!",F532="NEW"),"",INDEX(J$1:J531,SUMPRODUCT(MAX(ROW(E$1:E531)*(E532=E$1:E531)))))</f>
        <v/>
      </c>
      <c r="L532" s="15"/>
    </row>
    <row r="533" customFormat="false" ht="12.75" hidden="false" customHeight="false" outlineLevel="0" collapsed="false">
      <c r="A533" s="0" t="s">
        <v>259</v>
      </c>
      <c r="B533" s="0" t="s">
        <v>62</v>
      </c>
      <c r="C533" s="0" t="s">
        <v>23</v>
      </c>
      <c r="D533" s="0" t="s">
        <v>29</v>
      </c>
      <c r="E533" s="9" t="s">
        <v>45</v>
      </c>
      <c r="F533" s="10" t="str">
        <f aca="false">IF(OR(E533="",E533="!!!"),"",IF(NOT(ISNA(VLOOKUP(E533,E$1:E532,1,FALSE()))),"OLD",IF(AND(E533&lt;&gt;"",E533&lt;&gt;"!!!"),"NEW","")))</f>
        <v>NEW</v>
      </c>
      <c r="G533" s="11" t="s">
        <v>80</v>
      </c>
      <c r="H533" s="12" t="str">
        <f aca="false">IF(J533&lt;&gt;1,"",IF(I533="SBJ","CB","?"))</f>
        <v/>
      </c>
      <c r="I533" s="13" t="str">
        <f aca="false">IF(OR(E533="",E533="!!!",F533="NEW"),"",INDEX(B$2:B532,-1+SUMPRODUCT(MAX(ROW(E$2:E532)*(E533=E$2:E532)))))</f>
        <v/>
      </c>
      <c r="J533" s="14" t="str">
        <f aca="true">IF(OR(E533="",E533="!!!",F533="NEW"),"",COUNTBLANK(OFFSET(A$1,,,SUMPRODUCT(MAX(ROW(E$2:E533)*(E533=E$2:E533)))))-COUNTBLANK(OFFSET(A$1,,,SUMPRODUCT(MAX(ROW(E$1:E532)*(E533=E$1:E532))))))</f>
        <v/>
      </c>
      <c r="K533" s="14" t="str">
        <f aca="false">IF(OR(E533="",E533="!!!",F533="NEW"),"",INDEX(J$1:J532,SUMPRODUCT(MAX(ROW(E$1:E532)*(E533=E$1:E532)))))</f>
        <v/>
      </c>
      <c r="L533" s="15"/>
    </row>
    <row r="534" customFormat="false" ht="12.75" hidden="false" customHeight="false" outlineLevel="0" collapsed="false">
      <c r="A534" s="0" t="s">
        <v>88</v>
      </c>
      <c r="E534" s="9" t="str">
        <f aca="false">IF(D534="?OLD","!!!","")</f>
        <v/>
      </c>
      <c r="F534" s="10" t="str">
        <f aca="false">IF(OR(E534="",E534="!!!"),"",IF(NOT(ISNA(VLOOKUP(E534,E$1:E533,1,FALSE()))),"OLD",IF(AND(E534&lt;&gt;"",E534&lt;&gt;"!!!"),"NEW","")))</f>
        <v/>
      </c>
      <c r="G534" s="11" t="str">
        <f aca="false">IF(OR(E534="",E534="!!!"),"",IF(OR(J534=0,AND(J534=1,K534=1),AND(J534=1,I534="SBJ"),AND(J534=1,I534=0)),"?IN_FOCUS",IF(J534&lt;=2,"?ACTIVATED",IF(J534&lt;&gt;"","?FAMILIAR",IF(F534="NEW",IF(ISNA(VLOOKUP(E534,#REF!,1,FALSE())),"?TYPE_IDENTIFIABLE","?REFERENTIAL"),"_")))))</f>
        <v/>
      </c>
      <c r="H534" s="12" t="str">
        <f aca="false">IF(J534&lt;&gt;1,"",IF(I534="SBJ","CB","?"))</f>
        <v/>
      </c>
      <c r="I534" s="13" t="str">
        <f aca="false">IF(OR(E534="",E534="!!!",F534="NEW"),"",INDEX(B$2:B533,-1+SUMPRODUCT(MAX(ROW(E$2:E533)*(E534=E$2:E533)))))</f>
        <v/>
      </c>
      <c r="J534" s="14" t="str">
        <f aca="true">IF(OR(E534="",E534="!!!",F534="NEW"),"",COUNTBLANK(OFFSET(A$1,,,SUMPRODUCT(MAX(ROW(E$2:E534)*(E534=E$2:E534)))))-COUNTBLANK(OFFSET(A$1,,,SUMPRODUCT(MAX(ROW(E$1:E533)*(E534=E$1:E533))))))</f>
        <v/>
      </c>
      <c r="K534" s="14" t="str">
        <f aca="false">IF(OR(E534="",E534="!!!",F534="NEW"),"",INDEX(J$1:J533,SUMPRODUCT(MAX(ROW(E$1:E533)*(E534=E$1:E533)))))</f>
        <v/>
      </c>
      <c r="L534" s="15"/>
    </row>
    <row r="535" customFormat="false" ht="12.75" hidden="false" customHeight="false" outlineLevel="0" collapsed="false">
      <c r="A535" s="0" t="s">
        <v>66</v>
      </c>
      <c r="E535" s="9" t="str">
        <f aca="false">IF(D535="?OLD","!!!","")</f>
        <v/>
      </c>
      <c r="F535" s="10" t="str">
        <f aca="false">IF(OR(E535="",E535="!!!"),"",IF(NOT(ISNA(VLOOKUP(E535,E$1:E534,1,FALSE()))),"OLD",IF(AND(E535&lt;&gt;"",E535&lt;&gt;"!!!"),"NEW","")))</f>
        <v/>
      </c>
      <c r="G535" s="11" t="str">
        <f aca="false">IF(OR(E535="",E535="!!!"),"",IF(OR(J535=0,AND(J535=1,K535=1),AND(J535=1,I535="SBJ"),AND(J535=1,I535=0)),"?IN_FOCUS",IF(J535&lt;=2,"?ACTIVATED",IF(J535&lt;&gt;"","?FAMILIAR",IF(F535="NEW",IF(ISNA(VLOOKUP(E535,#REF!,1,FALSE())),"?TYPE_IDENTIFIABLE","?REFERENTIAL"),"_")))))</f>
        <v/>
      </c>
      <c r="H535" s="12" t="str">
        <f aca="false">IF(J535&lt;&gt;1,"",IF(I535="SBJ","CB","?"))</f>
        <v/>
      </c>
      <c r="I535" s="13" t="str">
        <f aca="false">IF(OR(E535="",E535="!!!",F535="NEW"),"",INDEX(B$2:B534,-1+SUMPRODUCT(MAX(ROW(E$2:E534)*(E535=E$2:E534)))))</f>
        <v/>
      </c>
      <c r="J535" s="14" t="str">
        <f aca="true">IF(OR(E535="",E535="!!!",F535="NEW"),"",COUNTBLANK(OFFSET(A$1,,,SUMPRODUCT(MAX(ROW(E$2:E535)*(E535=E$2:E535)))))-COUNTBLANK(OFFSET(A$1,,,SUMPRODUCT(MAX(ROW(E$1:E534)*(E535=E$1:E534))))))</f>
        <v/>
      </c>
      <c r="K535" s="14" t="str">
        <f aca="false">IF(OR(E535="",E535="!!!",F535="NEW"),"",INDEX(J$1:J534,SUMPRODUCT(MAX(ROW(E$1:E534)*(E535=E$1:E534)))))</f>
        <v/>
      </c>
      <c r="L535" s="15"/>
    </row>
    <row r="536" customFormat="false" ht="12.75" hidden="false" customHeight="false" outlineLevel="0" collapsed="false">
      <c r="A536" s="0" t="s">
        <v>344</v>
      </c>
      <c r="B536" s="0" t="s">
        <v>62</v>
      </c>
      <c r="C536" s="0" t="s">
        <v>15</v>
      </c>
      <c r="D536" s="0" t="s">
        <v>29</v>
      </c>
      <c r="E536" s="9" t="s">
        <v>68</v>
      </c>
      <c r="F536" s="10" t="s">
        <v>69</v>
      </c>
      <c r="G536" s="11"/>
      <c r="H536" s="12" t="str">
        <f aca="false">IF(J536&lt;&gt;1,"",IF(I536="SBJ","CB","?"))</f>
        <v>?</v>
      </c>
      <c r="I536" s="13" t="str">
        <f aca="false">IF(OR(E536="",E536="!!!",F536="NEW"),"",INDEX(B$2:B535,-1+SUMPRODUCT(MAX(ROW(E$2:E535)*(E536=E$2:E535)))))</f>
        <v>OBJ</v>
      </c>
      <c r="J536" s="14" t="n">
        <f aca="true">IF(OR(E536="",E536="!!!",F536="NEW"),"",COUNTBLANK(OFFSET(A$1,,,SUMPRODUCT(MAX(ROW(E$2:E536)*(E536=E$2:E536)))))-COUNTBLANK(OFFSET(A$1,,,SUMPRODUCT(MAX(ROW(E$1:E535)*(E536=E$1:E535))))))</f>
        <v>1</v>
      </c>
      <c r="K536" s="14" t="n">
        <f aca="false">IF(OR(E536="",E536="!!!",F536="NEW"),"",INDEX(J$1:J535,SUMPRODUCT(MAX(ROW(E$1:E535)*(E536=E$1:E535)))))</f>
        <v>1</v>
      </c>
      <c r="L536" s="15"/>
    </row>
    <row r="537" customFormat="false" ht="12.75" hidden="false" customHeight="false" outlineLevel="0" collapsed="false">
      <c r="A537" s="0" t="s">
        <v>19</v>
      </c>
      <c r="E537" s="9" t="str">
        <f aca="false">IF(D537="?OLD","!!!","")</f>
        <v/>
      </c>
      <c r="F537" s="10" t="str">
        <f aca="false">IF(OR(E537="",E537="!!!"),"",IF(NOT(ISNA(VLOOKUP(E537,E$1:E536,1,FALSE()))),"OLD",IF(AND(E537&lt;&gt;"",E537&lt;&gt;"!!!"),"NEW","")))</f>
        <v/>
      </c>
      <c r="G537" s="11" t="str">
        <f aca="false">IF(OR(E537="",E537="!!!"),"",IF(OR(J537=0,AND(J537=1,K537=1),AND(J537=1,I537="SBJ"),AND(J537=1,I537=0)),"?IN_FOCUS",IF(J537&lt;=2,"?ACTIVATED",IF(J537&lt;&gt;"","?FAMILIAR",IF(F537="NEW",IF(ISNA(VLOOKUP(E537,#REF!,1,FALSE())),"?TYPE_IDENTIFIABLE","?REFERENTIAL"),"_")))))</f>
        <v/>
      </c>
      <c r="H537" s="12" t="str">
        <f aca="false">IF(J537&lt;&gt;1,"",IF(I537="SBJ","CB","?"))</f>
        <v/>
      </c>
      <c r="I537" s="13" t="str">
        <f aca="false">IF(OR(E537="",E537="!!!",F537="NEW"),"",INDEX(B$2:B536,-1+SUMPRODUCT(MAX(ROW(E$2:E536)*(E537=E$2:E536)))))</f>
        <v/>
      </c>
      <c r="J537" s="14" t="str">
        <f aca="true">IF(OR(E537="",E537="!!!",F537="NEW"),"",COUNTBLANK(OFFSET(A$1,,,SUMPRODUCT(MAX(ROW(E$2:E537)*(E537=E$2:E537)))))-COUNTBLANK(OFFSET(A$1,,,SUMPRODUCT(MAX(ROW(E$1:E536)*(E537=E$1:E536))))))</f>
        <v/>
      </c>
      <c r="K537" s="14" t="str">
        <f aca="false">IF(OR(E537="",E537="!!!",F537="NEW"),"",INDEX(J$1:J536,SUMPRODUCT(MAX(ROW(E$1:E536)*(E537=E$1:E536)))))</f>
        <v/>
      </c>
      <c r="L537" s="15"/>
    </row>
    <row r="538" customFormat="false" ht="12.75" hidden="false" customHeight="false" outlineLevel="0" collapsed="false">
      <c r="A538" s="0" t="s">
        <v>150</v>
      </c>
      <c r="B538" s="0" t="s">
        <v>22</v>
      </c>
      <c r="C538" s="0" t="s">
        <v>55</v>
      </c>
      <c r="D538" s="0" t="s">
        <v>29</v>
      </c>
      <c r="E538" s="9" t="s">
        <v>340</v>
      </c>
      <c r="F538" s="10" t="str">
        <f aca="false">IF(OR(E538="",E538="!!!"),"",IF(NOT(ISNA(VLOOKUP(E538,E$1:E537,1,FALSE()))),"OLD",IF(AND(E538&lt;&gt;"",E538&lt;&gt;"!!!"),"NEW","")))</f>
        <v>OLD</v>
      </c>
      <c r="G538" s="11" t="s">
        <v>39</v>
      </c>
      <c r="H538" s="12" t="str">
        <f aca="false">IF(J538&lt;&gt;1,"",IF(I538="SBJ","CB","?"))</f>
        <v>?</v>
      </c>
      <c r="I538" s="13" t="str">
        <f aca="false">IF(OR(E538="",E538="!!!",F538="NEW"),"",INDEX(B$2:B537,-1+SUMPRODUCT(MAX(ROW(E$2:E537)*(E538=E$2:E537)))))</f>
        <v>other_3</v>
      </c>
      <c r="J538" s="14" t="n">
        <f aca="true">IF(OR(E538="",E538="!!!",F538="NEW"),"",COUNTBLANK(OFFSET(A$1,,,SUMPRODUCT(MAX(ROW(E$2:E538)*(E538=E$2:E538)))))-COUNTBLANK(OFFSET(A$1,,,SUMPRODUCT(MAX(ROW(E$1:E537)*(E538=E$1:E537))))))</f>
        <v>1</v>
      </c>
      <c r="K538" s="14" t="str">
        <f aca="false">IF(OR(E538="",E538="!!!",F538="NEW"),"",INDEX(J$1:J537,SUMPRODUCT(MAX(ROW(E$1:E537)*(E538=E$1:E537)))))</f>
        <v/>
      </c>
      <c r="L538" s="15"/>
    </row>
    <row r="539" customFormat="false" ht="12.75" hidden="false" customHeight="false" outlineLevel="0" collapsed="false">
      <c r="A539" s="0" t="s">
        <v>345</v>
      </c>
      <c r="B539" s="0" t="s">
        <v>28</v>
      </c>
      <c r="C539" s="0" t="s">
        <v>15</v>
      </c>
      <c r="D539" s="0" t="s">
        <v>29</v>
      </c>
      <c r="E539" s="9" t="s">
        <v>68</v>
      </c>
      <c r="F539" s="10" t="s">
        <v>69</v>
      </c>
      <c r="G539" s="11"/>
      <c r="H539" s="12" t="str">
        <f aca="false">IF(J539&lt;&gt;1,"",IF(I539="SBJ","CB","?"))</f>
        <v/>
      </c>
      <c r="I539" s="13" t="str">
        <f aca="false">IF(OR(E539="",E539="!!!",F539="NEW"),"",INDEX(B$2:B538,-1+SUMPRODUCT(MAX(ROW(E$2:E538)*(E539=E$2:E538)))))</f>
        <v>other</v>
      </c>
      <c r="J539" s="14" t="n">
        <f aca="true">IF(OR(E539="",E539="!!!",F539="NEW"),"",COUNTBLANK(OFFSET(A$1,,,SUMPRODUCT(MAX(ROW(E$2:E539)*(E539=E$2:E539)))))-COUNTBLANK(OFFSET(A$1,,,SUMPRODUCT(MAX(ROW(E$1:E538)*(E539=E$1:E538))))))</f>
        <v>0</v>
      </c>
      <c r="K539" s="14" t="n">
        <f aca="false">IF(OR(E539="",E539="!!!",F539="NEW"),"",INDEX(J$1:J538,SUMPRODUCT(MAX(ROW(E$1:E538)*(E539=E$1:E538)))))</f>
        <v>1</v>
      </c>
      <c r="L539" s="15"/>
    </row>
    <row r="540" customFormat="false" ht="12.75" hidden="false" customHeight="false" outlineLevel="0" collapsed="false">
      <c r="A540" s="0" t="s">
        <v>73</v>
      </c>
      <c r="E540" s="9" t="str">
        <f aca="false">IF(D540="?OLD","!!!","")</f>
        <v/>
      </c>
      <c r="F540" s="10" t="str">
        <f aca="false">IF(OR(E540="",E540="!!!"),"",IF(NOT(ISNA(VLOOKUP(E540,E$1:E539,1,FALSE()))),"OLD",IF(AND(E540&lt;&gt;"",E540&lt;&gt;"!!!"),"NEW","")))</f>
        <v/>
      </c>
      <c r="G540" s="11" t="str">
        <f aca="false">IF(OR(E540="",E540="!!!"),"",IF(OR(J540=0,AND(J540=1,K540=1),AND(J540=1,I540="SBJ"),AND(J540=1,I540=0)),"?IN_FOCUS",IF(J540&lt;=2,"?ACTIVATED",IF(J540&lt;&gt;"","?FAMILIAR",IF(F540="NEW",IF(ISNA(VLOOKUP(E540,#REF!,1,FALSE())),"?TYPE_IDENTIFIABLE","?REFERENTIAL"),"_")))))</f>
        <v/>
      </c>
      <c r="H540" s="12" t="str">
        <f aca="false">IF(J540&lt;&gt;1,"",IF(I540="SBJ","CB","?"))</f>
        <v/>
      </c>
      <c r="I540" s="13" t="str">
        <f aca="false">IF(OR(E540="",E540="!!!",F540="NEW"),"",INDEX(B$2:B539,-1+SUMPRODUCT(MAX(ROW(E$2:E539)*(E540=E$2:E539)))))</f>
        <v/>
      </c>
      <c r="J540" s="14" t="str">
        <f aca="true">IF(OR(E540="",E540="!!!",F540="NEW"),"",COUNTBLANK(OFFSET(A$1,,,SUMPRODUCT(MAX(ROW(E$2:E540)*(E540=E$2:E540)))))-COUNTBLANK(OFFSET(A$1,,,SUMPRODUCT(MAX(ROW(E$1:E539)*(E540=E$1:E539))))))</f>
        <v/>
      </c>
      <c r="K540" s="14" t="str">
        <f aca="false">IF(OR(E540="",E540="!!!",F540="NEW"),"",INDEX(J$1:J539,SUMPRODUCT(MAX(ROW(E$1:E539)*(E540=E$1:E539)))))</f>
        <v/>
      </c>
      <c r="L540" s="15"/>
    </row>
    <row r="541" customFormat="false" ht="12.75" hidden="false" customHeight="false" outlineLevel="0" collapsed="false">
      <c r="E541" s="9" t="str">
        <f aca="false">IF(D541="?OLD","!!!","")</f>
        <v/>
      </c>
      <c r="F541" s="10" t="str">
        <f aca="false">IF(OR(E541="",E541="!!!"),"",IF(NOT(ISNA(VLOOKUP(E541,E$1:E540,1,FALSE()))),"OLD",IF(AND(E541&lt;&gt;"",E541&lt;&gt;"!!!"),"NEW","")))</f>
        <v/>
      </c>
      <c r="G541" s="11" t="str">
        <f aca="false">IF(OR(E541="",E541="!!!"),"",IF(OR(J541=0,AND(J541=1,K541=1),AND(J541=1,I541="SBJ"),AND(J541=1,I541=0)),"?IN_FOCUS",IF(J541&lt;=2,"?ACTIVATED",IF(J541&lt;&gt;"","?FAMILIAR",IF(F541="NEW",IF(ISNA(VLOOKUP(E541,#REF!,1,FALSE())),"?TYPE_IDENTIFIABLE","?REFERENTIAL"),"_")))))</f>
        <v/>
      </c>
      <c r="H541" s="12" t="str">
        <f aca="false">IF(J541&lt;&gt;1,"",IF(I541="SBJ","CB","?"))</f>
        <v/>
      </c>
      <c r="I541" s="13" t="str">
        <f aca="false">IF(OR(E541="",E541="!!!",F541="NEW"),"",INDEX(B$2:B540,-1+SUMPRODUCT(MAX(ROW(E$2:E540)*(E541=E$2:E540)))))</f>
        <v/>
      </c>
      <c r="J541" s="14" t="str">
        <f aca="true">IF(OR(E541="",E541="!!!",F541="NEW"),"",COUNTBLANK(OFFSET(A$1,,,SUMPRODUCT(MAX(ROW(E$2:E541)*(E541=E$2:E541)))))-COUNTBLANK(OFFSET(A$1,,,SUMPRODUCT(MAX(ROW(E$1:E540)*(E541=E$1:E540))))))</f>
        <v/>
      </c>
      <c r="K541" s="14" t="str">
        <f aca="false">IF(OR(E541="",E541="!!!",F541="NEW"),"",INDEX(J$1:J540,SUMPRODUCT(MAX(ROW(E$1:E540)*(E541=E$1:E540)))))</f>
        <v/>
      </c>
      <c r="L541" s="15"/>
    </row>
    <row r="542" customFormat="false" ht="12.75" hidden="false" customHeight="false" outlineLevel="0" collapsed="false">
      <c r="A542" s="0" t="s">
        <v>260</v>
      </c>
      <c r="E542" s="9" t="str">
        <f aca="false">IF(D542="?OLD","!!!","")</f>
        <v/>
      </c>
      <c r="F542" s="10" t="str">
        <f aca="false">IF(OR(E542="",E542="!!!"),"",IF(NOT(ISNA(VLOOKUP(E542,E$1:E541,1,FALSE()))),"OLD",IF(AND(E542&lt;&gt;"",E542&lt;&gt;"!!!"),"NEW","")))</f>
        <v/>
      </c>
      <c r="G542" s="11" t="str">
        <f aca="false">IF(OR(E542="",E542="!!!"),"",IF(OR(J542=0,AND(J542=1,K542=1),AND(J542=1,I542="SBJ"),AND(J542=1,I542=0)),"?IN_FOCUS",IF(J542&lt;=2,"?ACTIVATED",IF(J542&lt;&gt;"","?FAMILIAR",IF(F542="NEW",IF(ISNA(VLOOKUP(E542,#REF!,1,FALSE())),"?TYPE_IDENTIFIABLE","?REFERENTIAL"),"_")))))</f>
        <v/>
      </c>
      <c r="H542" s="12" t="str">
        <f aca="false">IF(J542&lt;&gt;1,"",IF(I542="SBJ","CB","?"))</f>
        <v/>
      </c>
      <c r="I542" s="13" t="str">
        <f aca="false">IF(OR(E542="",E542="!!!",F542="NEW"),"",INDEX(B$2:B541,-1+SUMPRODUCT(MAX(ROW(E$2:E541)*(E542=E$2:E541)))))</f>
        <v/>
      </c>
      <c r="J542" s="14" t="str">
        <f aca="true">IF(OR(E542="",E542="!!!",F542="NEW"),"",COUNTBLANK(OFFSET(A$1,,,SUMPRODUCT(MAX(ROW(E$2:E542)*(E542=E$2:E542)))))-COUNTBLANK(OFFSET(A$1,,,SUMPRODUCT(MAX(ROW(E$1:E541)*(E542=E$1:E541))))))</f>
        <v/>
      </c>
      <c r="K542" s="14" t="str">
        <f aca="false">IF(OR(E542="",E542="!!!",F542="NEW"),"",INDEX(J$1:J541,SUMPRODUCT(MAX(ROW(E$1:E541)*(E542=E$1:E541)))))</f>
        <v/>
      </c>
      <c r="L542" s="15"/>
    </row>
    <row r="543" customFormat="false" ht="12.75" hidden="false" customHeight="false" outlineLevel="0" collapsed="false">
      <c r="A543" s="0" t="s">
        <v>346</v>
      </c>
      <c r="E543" s="9" t="str">
        <f aca="false">IF(D543="?OLD","!!!","")</f>
        <v/>
      </c>
      <c r="F543" s="10" t="str">
        <f aca="false">IF(OR(E543="",E543="!!!"),"",IF(NOT(ISNA(VLOOKUP(E543,E$1:E542,1,FALSE()))),"OLD",IF(AND(E543&lt;&gt;"",E543&lt;&gt;"!!!"),"NEW","")))</f>
        <v/>
      </c>
      <c r="G543" s="11" t="str">
        <f aca="false">IF(OR(E543="",E543="!!!"),"",IF(OR(J543=0,AND(J543=1,K543=1),AND(J543=1,I543="SBJ"),AND(J543=1,I543=0)),"?IN_FOCUS",IF(J543&lt;=2,"?ACTIVATED",IF(J543&lt;&gt;"","?FAMILIAR",IF(F543="NEW",IF(ISNA(VLOOKUP(E543,#REF!,1,FALSE())),"?TYPE_IDENTIFIABLE","?REFERENTIAL"),"_")))))</f>
        <v/>
      </c>
      <c r="H543" s="12" t="str">
        <f aca="false">IF(J543&lt;&gt;1,"",IF(I543="SBJ","CB","?"))</f>
        <v/>
      </c>
      <c r="I543" s="13" t="str">
        <f aca="false">IF(OR(E543="",E543="!!!",F543="NEW"),"",INDEX(B$2:B542,-1+SUMPRODUCT(MAX(ROW(E$2:E542)*(E543=E$2:E542)))))</f>
        <v/>
      </c>
      <c r="J543" s="14" t="str">
        <f aca="true">IF(OR(E543="",E543="!!!",F543="NEW"),"",COUNTBLANK(OFFSET(A$1,,,SUMPRODUCT(MAX(ROW(E$2:E543)*(E543=E$2:E543)))))-COUNTBLANK(OFFSET(A$1,,,SUMPRODUCT(MAX(ROW(E$1:E542)*(E543=E$1:E542))))))</f>
        <v/>
      </c>
      <c r="K543" s="14" t="str">
        <f aca="false">IF(OR(E543="",E543="!!!",F543="NEW"),"",INDEX(J$1:J542,SUMPRODUCT(MAX(ROW(E$1:E542)*(E543=E$1:E542)))))</f>
        <v/>
      </c>
      <c r="L543" s="15"/>
    </row>
    <row r="544" customFormat="false" ht="12.75" hidden="false" customHeight="false" outlineLevel="0" collapsed="false">
      <c r="A544" s="0" t="s">
        <v>122</v>
      </c>
      <c r="B544" s="0" t="s">
        <v>14</v>
      </c>
      <c r="C544" s="0" t="s">
        <v>38</v>
      </c>
      <c r="D544" s="0" t="s">
        <v>29</v>
      </c>
      <c r="E544" s="9" t="s">
        <v>24</v>
      </c>
      <c r="F544" s="10" t="str">
        <f aca="false">IF(OR(E544="",E544="!!!"),"",IF(NOT(ISNA(VLOOKUP(E544,E$1:E543,1,FALSE()))),"OLD",IF(AND(E544&lt;&gt;"",E544&lt;&gt;"!!!"),"NEW","")))</f>
        <v>OLD</v>
      </c>
      <c r="G544" s="11" t="s">
        <v>25</v>
      </c>
      <c r="H544" s="12" t="str">
        <f aca="false">IF(J544&lt;&gt;1,"",IF(I544="SBJ","CB","?"))</f>
        <v/>
      </c>
      <c r="I544" s="13" t="str">
        <f aca="false">IF(OR(E544="",E544="!!!",F544="NEW"),"",INDEX(B$2:B543,-1+SUMPRODUCT(MAX(ROW(E$2:E543)*(E544=E$2:E543)))))</f>
        <v>other</v>
      </c>
      <c r="J544" s="14" t="n">
        <f aca="true">IF(OR(E544="",E544="!!!",F544="NEW"),"",COUNTBLANK(OFFSET(A$1,,,SUMPRODUCT(MAX(ROW(E$2:E544)*(E544=E$2:E544)))))-COUNTBLANK(OFFSET(A$1,,,SUMPRODUCT(MAX(ROW(E$1:E543)*(E544=E$1:E543))))))</f>
        <v>6</v>
      </c>
      <c r="K544" s="14" t="n">
        <f aca="false">IF(OR(E544="",E544="!!!",F544="NEW"),"",INDEX(J$1:J543,SUMPRODUCT(MAX(ROW(E$1:E543)*(E544=E$1:E543)))))</f>
        <v>0</v>
      </c>
      <c r="L544" s="15"/>
    </row>
    <row r="545" customFormat="false" ht="12.75" hidden="false" customHeight="false" outlineLevel="0" collapsed="false">
      <c r="A545" s="0" t="s">
        <v>347</v>
      </c>
      <c r="E545" s="9" t="str">
        <f aca="false">IF(D545="?OLD","!!!","")</f>
        <v/>
      </c>
      <c r="F545" s="10" t="str">
        <f aca="false">IF(OR(E545="",E545="!!!"),"",IF(NOT(ISNA(VLOOKUP(E545,E$1:E544,1,FALSE()))),"OLD",IF(AND(E545&lt;&gt;"",E545&lt;&gt;"!!!"),"NEW","")))</f>
        <v/>
      </c>
      <c r="G545" s="11" t="str">
        <f aca="false">IF(OR(E545="",E545="!!!"),"",IF(OR(J545=0,AND(J545=1,K545=1),AND(J545=1,I545="SBJ"),AND(J545=1,I545=0)),"?IN_FOCUS",IF(J545&lt;=2,"?ACTIVATED",IF(J545&lt;&gt;"","?FAMILIAR",IF(F545="NEW",IF(ISNA(VLOOKUP(E545,#REF!,1,FALSE())),"?TYPE_IDENTIFIABLE","?REFERENTIAL"),"_")))))</f>
        <v/>
      </c>
      <c r="H545" s="12" t="str">
        <f aca="false">IF(J545&lt;&gt;1,"",IF(I545="SBJ","CB","?"))</f>
        <v/>
      </c>
      <c r="I545" s="13" t="str">
        <f aca="false">IF(OR(E545="",E545="!!!",F545="NEW"),"",INDEX(B$2:B544,-1+SUMPRODUCT(MAX(ROW(E$2:E544)*(E545=E$2:E544)))))</f>
        <v/>
      </c>
      <c r="J545" s="14" t="str">
        <f aca="true">IF(OR(E545="",E545="!!!",F545="NEW"),"",COUNTBLANK(OFFSET(A$1,,,SUMPRODUCT(MAX(ROW(E$2:E545)*(E545=E$2:E545)))))-COUNTBLANK(OFFSET(A$1,,,SUMPRODUCT(MAX(ROW(E$1:E544)*(E545=E$1:E544))))))</f>
        <v/>
      </c>
      <c r="K545" s="14" t="str">
        <f aca="false">IF(OR(E545="",E545="!!!",F545="NEW"),"",INDEX(J$1:J544,SUMPRODUCT(MAX(ROW(E$1:E544)*(E545=E$1:E544)))))</f>
        <v/>
      </c>
      <c r="L545" s="15"/>
    </row>
    <row r="546" customFormat="false" ht="12.75" hidden="false" customHeight="false" outlineLevel="0" collapsed="false">
      <c r="A546" s="0" t="s">
        <v>348</v>
      </c>
      <c r="E546" s="9" t="str">
        <f aca="false">IF(D546="?OLD","!!!","")</f>
        <v/>
      </c>
      <c r="F546" s="10" t="str">
        <f aca="false">IF(OR(E546="",E546="!!!"),"",IF(NOT(ISNA(VLOOKUP(E546,E$1:E545,1,FALSE()))),"OLD",IF(AND(E546&lt;&gt;"",E546&lt;&gt;"!!!"),"NEW","")))</f>
        <v/>
      </c>
      <c r="G546" s="11" t="str">
        <f aca="false">IF(OR(E546="",E546="!!!"),"",IF(OR(J546=0,AND(J546=1,K546=1),AND(J546=1,I546="SBJ"),AND(J546=1,I546=0)),"?IN_FOCUS",IF(J546&lt;=2,"?ACTIVATED",IF(J546&lt;&gt;"","?FAMILIAR",IF(F546="NEW",IF(ISNA(VLOOKUP(E546,#REF!,1,FALSE())),"?TYPE_IDENTIFIABLE","?REFERENTIAL"),"_")))))</f>
        <v/>
      </c>
      <c r="H546" s="12" t="str">
        <f aca="false">IF(J546&lt;&gt;1,"",IF(I546="SBJ","CB","?"))</f>
        <v/>
      </c>
      <c r="I546" s="13" t="str">
        <f aca="false">IF(OR(E546="",E546="!!!",F546="NEW"),"",INDEX(B$2:B545,-1+SUMPRODUCT(MAX(ROW(E$2:E545)*(E546=E$2:E545)))))</f>
        <v/>
      </c>
      <c r="J546" s="14" t="str">
        <f aca="true">IF(OR(E546="",E546="!!!",F546="NEW"),"",COUNTBLANK(OFFSET(A$1,,,SUMPRODUCT(MAX(ROW(E$2:E546)*(E546=E$2:E546)))))-COUNTBLANK(OFFSET(A$1,,,SUMPRODUCT(MAX(ROW(E$1:E545)*(E546=E$1:E545))))))</f>
        <v/>
      </c>
      <c r="K546" s="14" t="str">
        <f aca="false">IF(OR(E546="",E546="!!!",F546="NEW"),"",INDEX(J$1:J545,SUMPRODUCT(MAX(ROW(E$1:E545)*(E546=E$1:E545)))))</f>
        <v/>
      </c>
      <c r="L546" s="15"/>
    </row>
    <row r="547" customFormat="false" ht="12.75" hidden="false" customHeight="false" outlineLevel="0" collapsed="false">
      <c r="A547" s="0" t="s">
        <v>264</v>
      </c>
      <c r="B547" s="0" t="s">
        <v>37</v>
      </c>
      <c r="C547" s="0" t="s">
        <v>38</v>
      </c>
      <c r="D547" s="0" t="s">
        <v>29</v>
      </c>
      <c r="E547" s="9" t="s">
        <v>349</v>
      </c>
      <c r="F547" s="10" t="str">
        <f aca="false">IF(OR(E547="",E547="!!!"),"",IF(NOT(ISNA(VLOOKUP(E547,E$1:E546,1,FALSE()))),"OLD",IF(AND(E547&lt;&gt;"",E547&lt;&gt;"!!!"),"NEW","")))</f>
        <v>NEW</v>
      </c>
      <c r="G547" s="11" t="s">
        <v>39</v>
      </c>
      <c r="H547" s="12" t="str">
        <f aca="false">IF(J547&lt;&gt;1,"",IF(I547="SBJ","CB","?"))</f>
        <v/>
      </c>
      <c r="I547" s="13" t="str">
        <f aca="false">IF(OR(E547="",E547="!!!",F547="NEW"),"",INDEX(B$2:B546,-1+SUMPRODUCT(MAX(ROW(E$2:E546)*(E547=E$2:E546)))))</f>
        <v/>
      </c>
      <c r="J547" s="14" t="str">
        <f aca="true">IF(OR(E547="",E547="!!!",F547="NEW"),"",COUNTBLANK(OFFSET(A$1,,,SUMPRODUCT(MAX(ROW(E$2:E547)*(E547=E$2:E547)))))-COUNTBLANK(OFFSET(A$1,,,SUMPRODUCT(MAX(ROW(E$1:E546)*(E547=E$1:E546))))))</f>
        <v/>
      </c>
      <c r="K547" s="14" t="str">
        <f aca="false">IF(OR(E547="",E547="!!!",F547="NEW"),"",INDEX(J$1:J546,SUMPRODUCT(MAX(ROW(E$1:E546)*(E547=E$1:E546)))))</f>
        <v/>
      </c>
      <c r="L547" s="15"/>
    </row>
    <row r="548" customFormat="false" ht="12.75" hidden="false" customHeight="false" outlineLevel="0" collapsed="false">
      <c r="A548" s="0" t="s">
        <v>51</v>
      </c>
      <c r="E548" s="9" t="str">
        <f aca="false">IF(D548="?OLD","!!!","")</f>
        <v/>
      </c>
      <c r="F548" s="10" t="str">
        <f aca="false">IF(OR(E548="",E548="!!!"),"",IF(NOT(ISNA(VLOOKUP(E548,E$1:E547,1,FALSE()))),"OLD",IF(AND(E548&lt;&gt;"",E548&lt;&gt;"!!!"),"NEW","")))</f>
        <v/>
      </c>
      <c r="G548" s="11" t="str">
        <f aca="false">IF(OR(E548="",E548="!!!"),"",IF(OR(J548=0,AND(J548=1,K548=1),AND(J548=1,I548="SBJ"),AND(J548=1,I548=0)),"?IN_FOCUS",IF(J548&lt;=2,"?ACTIVATED",IF(J548&lt;&gt;"","?FAMILIAR",IF(F548="NEW",IF(ISNA(VLOOKUP(E548,#REF!,1,FALSE())),"?TYPE_IDENTIFIABLE","?REFERENTIAL"),"_")))))</f>
        <v/>
      </c>
      <c r="H548" s="12" t="str">
        <f aca="false">IF(J548&lt;&gt;1,"",IF(I548="SBJ","CB","?"))</f>
        <v/>
      </c>
      <c r="I548" s="13" t="str">
        <f aca="false">IF(OR(E548="",E548="!!!",F548="NEW"),"",INDEX(B$2:B547,-1+SUMPRODUCT(MAX(ROW(E$2:E547)*(E548=E$2:E547)))))</f>
        <v/>
      </c>
      <c r="J548" s="14" t="str">
        <f aca="true">IF(OR(E548="",E548="!!!",F548="NEW"),"",COUNTBLANK(OFFSET(A$1,,,SUMPRODUCT(MAX(ROW(E$2:E548)*(E548=E$2:E548)))))-COUNTBLANK(OFFSET(A$1,,,SUMPRODUCT(MAX(ROW(E$1:E547)*(E548=E$1:E547))))))</f>
        <v/>
      </c>
      <c r="K548" s="14" t="str">
        <f aca="false">IF(OR(E548="",E548="!!!",F548="NEW"),"",INDEX(J$1:J547,SUMPRODUCT(MAX(ROW(E$1:E547)*(E548=E$1:E547)))))</f>
        <v/>
      </c>
      <c r="L548" s="15"/>
    </row>
    <row r="549" customFormat="false" ht="12.75" hidden="false" customHeight="false" outlineLevel="0" collapsed="false">
      <c r="A549" s="0" t="s">
        <v>257</v>
      </c>
      <c r="E549" s="9" t="str">
        <f aca="false">IF(D549="?OLD","!!!","")</f>
        <v/>
      </c>
      <c r="F549" s="10" t="str">
        <f aca="false">IF(OR(E549="",E549="!!!"),"",IF(NOT(ISNA(VLOOKUP(E549,E$1:E548,1,FALSE()))),"OLD",IF(AND(E549&lt;&gt;"",E549&lt;&gt;"!!!"),"NEW","")))</f>
        <v/>
      </c>
      <c r="G549" s="11" t="str">
        <f aca="false">IF(OR(E549="",E549="!!!"),"",IF(OR(J549=0,AND(J549=1,K549=1),AND(J549=1,I549="SBJ"),AND(J549=1,I549=0)),"?IN_FOCUS",IF(J549&lt;=2,"?ACTIVATED",IF(J549&lt;&gt;"","?FAMILIAR",IF(F549="NEW",IF(ISNA(VLOOKUP(E549,#REF!,1,FALSE())),"?TYPE_IDENTIFIABLE","?REFERENTIAL"),"_")))))</f>
        <v/>
      </c>
      <c r="H549" s="12" t="str">
        <f aca="false">IF(J549&lt;&gt;1,"",IF(I549="SBJ","CB","?"))</f>
        <v/>
      </c>
      <c r="I549" s="13" t="str">
        <f aca="false">IF(OR(E549="",E549="!!!",F549="NEW"),"",INDEX(B$2:B548,-1+SUMPRODUCT(MAX(ROW(E$2:E548)*(E549=E$2:E548)))))</f>
        <v/>
      </c>
      <c r="J549" s="14" t="str">
        <f aca="true">IF(OR(E549="",E549="!!!",F549="NEW"),"",COUNTBLANK(OFFSET(A$1,,,SUMPRODUCT(MAX(ROW(E$2:E549)*(E549=E$2:E549)))))-COUNTBLANK(OFFSET(A$1,,,SUMPRODUCT(MAX(ROW(E$1:E548)*(E549=E$1:E548))))))</f>
        <v/>
      </c>
      <c r="K549" s="14" t="str">
        <f aca="false">IF(OR(E549="",E549="!!!",F549="NEW"),"",INDEX(J$1:J548,SUMPRODUCT(MAX(ROW(E$1:E548)*(E549=E$1:E548)))))</f>
        <v/>
      </c>
      <c r="L549" s="15"/>
    </row>
    <row r="550" customFormat="false" ht="12.75" hidden="false" customHeight="false" outlineLevel="0" collapsed="false">
      <c r="A550" s="0" t="s">
        <v>183</v>
      </c>
      <c r="E550" s="9" t="str">
        <f aca="false">IF(D550="?OLD","!!!","")</f>
        <v/>
      </c>
      <c r="F550" s="10" t="str">
        <f aca="false">IF(OR(E550="",E550="!!!"),"",IF(NOT(ISNA(VLOOKUP(E550,E$1:E549,1,FALSE()))),"OLD",IF(AND(E550&lt;&gt;"",E550&lt;&gt;"!!!"),"NEW","")))</f>
        <v/>
      </c>
      <c r="G550" s="11" t="str">
        <f aca="false">IF(OR(E550="",E550="!!!"),"",IF(OR(J550=0,AND(J550=1,K550=1),AND(J550=1,I550="SBJ"),AND(J550=1,I550=0)),"?IN_FOCUS",IF(J550&lt;=2,"?ACTIVATED",IF(J550&lt;&gt;"","?FAMILIAR",IF(F550="NEW",IF(ISNA(VLOOKUP(E550,#REF!,1,FALSE())),"?TYPE_IDENTIFIABLE","?REFERENTIAL"),"_")))))</f>
        <v/>
      </c>
      <c r="H550" s="12" t="str">
        <f aca="false">IF(J550&lt;&gt;1,"",IF(I550="SBJ","CB","?"))</f>
        <v/>
      </c>
      <c r="I550" s="13" t="str">
        <f aca="false">IF(OR(E550="",E550="!!!",F550="NEW"),"",INDEX(B$2:B549,-1+SUMPRODUCT(MAX(ROW(E$2:E549)*(E550=E$2:E549)))))</f>
        <v/>
      </c>
      <c r="J550" s="14" t="str">
        <f aca="true">IF(OR(E550="",E550="!!!",F550="NEW"),"",COUNTBLANK(OFFSET(A$1,,,SUMPRODUCT(MAX(ROW(E$2:E550)*(E550=E$2:E550)))))-COUNTBLANK(OFFSET(A$1,,,SUMPRODUCT(MAX(ROW(E$1:E549)*(E550=E$1:E549))))))</f>
        <v/>
      </c>
      <c r="K550" s="14" t="str">
        <f aca="false">IF(OR(E550="",E550="!!!",F550="NEW"),"",INDEX(J$1:J549,SUMPRODUCT(MAX(ROW(E$1:E549)*(E550=E$1:E549)))))</f>
        <v/>
      </c>
      <c r="L550" s="15"/>
    </row>
    <row r="551" customFormat="false" ht="12.75" hidden="false" customHeight="false" outlineLevel="0" collapsed="false">
      <c r="A551" s="0" t="s">
        <v>350</v>
      </c>
      <c r="B551" s="0" t="s">
        <v>28</v>
      </c>
      <c r="C551" s="0" t="s">
        <v>120</v>
      </c>
      <c r="E551" s="9" t="str">
        <f aca="false">IF(D551="?OLD","!!!","")</f>
        <v/>
      </c>
      <c r="F551" s="10" t="str">
        <f aca="false">IF(OR(E551="",E551="!!!"),"",IF(NOT(ISNA(VLOOKUP(E551,E$1:E550,1,FALSE()))),"OLD",IF(AND(E551&lt;&gt;"",E551&lt;&gt;"!!!"),"NEW","")))</f>
        <v/>
      </c>
      <c r="G551" s="11" t="str">
        <f aca="false">IF(OR(E551="",E551="!!!"),"",IF(OR(J551=0,AND(J551=1,K551=1),AND(J551=1,I551="SBJ"),AND(J551=1,I551=0)),"?IN_FOCUS",IF(J551&lt;=2,"?ACTIVATED",IF(J551&lt;&gt;"","?FAMILIAR",IF(F551="NEW",IF(ISNA(VLOOKUP(E551,#REF!,1,FALSE())),"?TYPE_IDENTIFIABLE","?REFERENTIAL"),"_")))))</f>
        <v/>
      </c>
      <c r="H551" s="12" t="str">
        <f aca="false">IF(J551&lt;&gt;1,"",IF(I551="SBJ","CB","?"))</f>
        <v/>
      </c>
      <c r="I551" s="13" t="str">
        <f aca="false">IF(OR(E551="",E551="!!!",F551="NEW"),"",INDEX(B$2:B550,-1+SUMPRODUCT(MAX(ROW(E$2:E550)*(E551=E$2:E550)))))</f>
        <v/>
      </c>
      <c r="J551" s="14" t="str">
        <f aca="true">IF(OR(E551="",E551="!!!",F551="NEW"),"",COUNTBLANK(OFFSET(A$1,,,SUMPRODUCT(MAX(ROW(E$2:E551)*(E551=E$2:E551)))))-COUNTBLANK(OFFSET(A$1,,,SUMPRODUCT(MAX(ROW(E$1:E550)*(E551=E$1:E550))))))</f>
        <v/>
      </c>
      <c r="K551" s="14" t="str">
        <f aca="false">IF(OR(E551="",E551="!!!",F551="NEW"),"",INDEX(J$1:J550,SUMPRODUCT(MAX(ROW(E$1:E550)*(E551=E$1:E550)))))</f>
        <v/>
      </c>
      <c r="L551" s="15"/>
    </row>
    <row r="552" customFormat="false" ht="12.75" hidden="false" customHeight="false" outlineLevel="0" collapsed="false">
      <c r="A552" s="0" t="s">
        <v>88</v>
      </c>
      <c r="E552" s="9" t="str">
        <f aca="false">IF(D552="?OLD","!!!","")</f>
        <v/>
      </c>
      <c r="F552" s="10" t="str">
        <f aca="false">IF(OR(E552="",E552="!!!"),"",IF(NOT(ISNA(VLOOKUP(E552,E$1:E551,1,FALSE()))),"OLD",IF(AND(E552&lt;&gt;"",E552&lt;&gt;"!!!"),"NEW","")))</f>
        <v/>
      </c>
      <c r="G552" s="11" t="str">
        <f aca="false">IF(OR(E552="",E552="!!!"),"",IF(OR(J552=0,AND(J552=1,K552=1),AND(J552=1,I552="SBJ"),AND(J552=1,I552=0)),"?IN_FOCUS",IF(J552&lt;=2,"?ACTIVATED",IF(J552&lt;&gt;"","?FAMILIAR",IF(F552="NEW",IF(ISNA(VLOOKUP(E552,#REF!,1,FALSE())),"?TYPE_IDENTIFIABLE","?REFERENTIAL"),"_")))))</f>
        <v/>
      </c>
      <c r="H552" s="12" t="str">
        <f aca="false">IF(J552&lt;&gt;1,"",IF(I552="SBJ","CB","?"))</f>
        <v/>
      </c>
      <c r="I552" s="13" t="str">
        <f aca="false">IF(OR(E552="",E552="!!!",F552="NEW"),"",INDEX(B$2:B551,-1+SUMPRODUCT(MAX(ROW(E$2:E551)*(E552=E$2:E551)))))</f>
        <v/>
      </c>
      <c r="J552" s="14" t="str">
        <f aca="true">IF(OR(E552="",E552="!!!",F552="NEW"),"",COUNTBLANK(OFFSET(A$1,,,SUMPRODUCT(MAX(ROW(E$2:E552)*(E552=E$2:E552)))))-COUNTBLANK(OFFSET(A$1,,,SUMPRODUCT(MAX(ROW(E$1:E551)*(E552=E$1:E551))))))</f>
        <v/>
      </c>
      <c r="K552" s="14" t="str">
        <f aca="false">IF(OR(E552="",E552="!!!",F552="NEW"),"",INDEX(J$1:J551,SUMPRODUCT(MAX(ROW(E$1:E551)*(E552=E$1:E551)))))</f>
        <v/>
      </c>
      <c r="L552" s="15"/>
    </row>
    <row r="553" customFormat="false" ht="12.75" hidden="false" customHeight="false" outlineLevel="0" collapsed="false">
      <c r="A553" s="0" t="s">
        <v>240</v>
      </c>
      <c r="E553" s="9" t="str">
        <f aca="false">IF(D553="?OLD","!!!","")</f>
        <v/>
      </c>
      <c r="F553" s="10" t="str">
        <f aca="false">IF(OR(E553="",E553="!!!"),"",IF(NOT(ISNA(VLOOKUP(E553,E$1:E552,1,FALSE()))),"OLD",IF(AND(E553&lt;&gt;"",E553&lt;&gt;"!!!"),"NEW","")))</f>
        <v/>
      </c>
      <c r="G553" s="11" t="str">
        <f aca="false">IF(OR(E553="",E553="!!!"),"",IF(OR(J553=0,AND(J553=1,K553=1),AND(J553=1,I553="SBJ"),AND(J553=1,I553=0)),"?IN_FOCUS",IF(J553&lt;=2,"?ACTIVATED",IF(J553&lt;&gt;"","?FAMILIAR",IF(F553="NEW",IF(ISNA(VLOOKUP(E553,#REF!,1,FALSE())),"?TYPE_IDENTIFIABLE","?REFERENTIAL"),"_")))))</f>
        <v/>
      </c>
      <c r="H553" s="12" t="str">
        <f aca="false">IF(J553&lt;&gt;1,"",IF(I553="SBJ","CB","?"))</f>
        <v/>
      </c>
      <c r="I553" s="13" t="str">
        <f aca="false">IF(OR(E553="",E553="!!!",F553="NEW"),"",INDEX(B$2:B552,-1+SUMPRODUCT(MAX(ROW(E$2:E552)*(E553=E$2:E552)))))</f>
        <v/>
      </c>
      <c r="J553" s="14" t="str">
        <f aca="true">IF(OR(E553="",E553="!!!",F553="NEW"),"",COUNTBLANK(OFFSET(A$1,,,SUMPRODUCT(MAX(ROW(E$2:E553)*(E553=E$2:E553)))))-COUNTBLANK(OFFSET(A$1,,,SUMPRODUCT(MAX(ROW(E$1:E552)*(E553=E$1:E552))))))</f>
        <v/>
      </c>
      <c r="K553" s="14" t="str">
        <f aca="false">IF(OR(E553="",E553="!!!",F553="NEW"),"",INDEX(J$1:J552,SUMPRODUCT(MAX(ROW(E$1:E552)*(E553=E$1:E552)))))</f>
        <v/>
      </c>
      <c r="L553" s="15"/>
    </row>
    <row r="554" customFormat="false" ht="12.75" hidden="false" customHeight="false" outlineLevel="0" collapsed="false">
      <c r="A554" s="0" t="s">
        <v>51</v>
      </c>
      <c r="E554" s="9" t="str">
        <f aca="false">IF(D554="?OLD","!!!","")</f>
        <v/>
      </c>
      <c r="F554" s="10" t="str">
        <f aca="false">IF(OR(E554="",E554="!!!"),"",IF(NOT(ISNA(VLOOKUP(E554,E$1:E553,1,FALSE()))),"OLD",IF(AND(E554&lt;&gt;"",E554&lt;&gt;"!!!"),"NEW","")))</f>
        <v/>
      </c>
      <c r="G554" s="11" t="str">
        <f aca="false">IF(OR(E554="",E554="!!!"),"",IF(OR(J554=0,AND(J554=1,K554=1),AND(J554=1,I554="SBJ"),AND(J554=1,I554=0)),"?IN_FOCUS",IF(J554&lt;=2,"?ACTIVATED",IF(J554&lt;&gt;"","?FAMILIAR",IF(F554="NEW",IF(ISNA(VLOOKUP(E554,#REF!,1,FALSE())),"?TYPE_IDENTIFIABLE","?REFERENTIAL"),"_")))))</f>
        <v/>
      </c>
      <c r="H554" s="12" t="str">
        <f aca="false">IF(J554&lt;&gt;1,"",IF(I554="SBJ","CB","?"))</f>
        <v/>
      </c>
      <c r="I554" s="13" t="str">
        <f aca="false">IF(OR(E554="",E554="!!!",F554="NEW"),"",INDEX(B$2:B553,-1+SUMPRODUCT(MAX(ROW(E$2:E553)*(E554=E$2:E553)))))</f>
        <v/>
      </c>
      <c r="J554" s="14" t="str">
        <f aca="true">IF(OR(E554="",E554="!!!",F554="NEW"),"",COUNTBLANK(OFFSET(A$1,,,SUMPRODUCT(MAX(ROW(E$2:E554)*(E554=E$2:E554)))))-COUNTBLANK(OFFSET(A$1,,,SUMPRODUCT(MAX(ROW(E$1:E553)*(E554=E$1:E553))))))</f>
        <v/>
      </c>
      <c r="K554" s="14" t="str">
        <f aca="false">IF(OR(E554="",E554="!!!",F554="NEW"),"",INDEX(J$1:J553,SUMPRODUCT(MAX(ROW(E$1:E553)*(E554=E$1:E553)))))</f>
        <v/>
      </c>
      <c r="L554" s="15"/>
    </row>
    <row r="555" customFormat="false" ht="12.75" hidden="false" customHeight="false" outlineLevel="0" collapsed="false">
      <c r="A555" s="0" t="s">
        <v>218</v>
      </c>
      <c r="E555" s="9" t="str">
        <f aca="false">IF(D555="?OLD","!!!","")</f>
        <v/>
      </c>
      <c r="F555" s="10" t="str">
        <f aca="false">IF(OR(E555="",E555="!!!"),"",IF(NOT(ISNA(VLOOKUP(E555,E$1:E554,1,FALSE()))),"OLD",IF(AND(E555&lt;&gt;"",E555&lt;&gt;"!!!"),"NEW","")))</f>
        <v/>
      </c>
      <c r="G555" s="11" t="str">
        <f aca="false">IF(OR(E555="",E555="!!!"),"",IF(OR(J555=0,AND(J555=1,K555=1),AND(J555=1,I555="SBJ"),AND(J555=1,I555=0)),"?IN_FOCUS",IF(J555&lt;=2,"?ACTIVATED",IF(J555&lt;&gt;"","?FAMILIAR",IF(F555="NEW",IF(ISNA(VLOOKUP(E555,#REF!,1,FALSE())),"?TYPE_IDENTIFIABLE","?REFERENTIAL"),"_")))))</f>
        <v/>
      </c>
      <c r="H555" s="12" t="str">
        <f aca="false">IF(J555&lt;&gt;1,"",IF(I555="SBJ","CB","?"))</f>
        <v/>
      </c>
      <c r="I555" s="13" t="str">
        <f aca="false">IF(OR(E555="",E555="!!!",F555="NEW"),"",INDEX(B$2:B554,-1+SUMPRODUCT(MAX(ROW(E$2:E554)*(E555=E$2:E554)))))</f>
        <v/>
      </c>
      <c r="J555" s="14" t="str">
        <f aca="true">IF(OR(E555="",E555="!!!",F555="NEW"),"",COUNTBLANK(OFFSET(A$1,,,SUMPRODUCT(MAX(ROW(E$2:E555)*(E555=E$2:E555)))))-COUNTBLANK(OFFSET(A$1,,,SUMPRODUCT(MAX(ROW(E$1:E554)*(E555=E$1:E554))))))</f>
        <v/>
      </c>
      <c r="K555" s="14" t="str">
        <f aca="false">IF(OR(E555="",E555="!!!",F555="NEW"),"",INDEX(J$1:J554,SUMPRODUCT(MAX(ROW(E$1:E554)*(E555=E$1:E554)))))</f>
        <v/>
      </c>
      <c r="L555" s="15"/>
    </row>
    <row r="556" customFormat="false" ht="12.75" hidden="false" customHeight="false" outlineLevel="0" collapsed="false">
      <c r="A556" s="0" t="s">
        <v>351</v>
      </c>
      <c r="E556" s="9" t="str">
        <f aca="false">IF(D556="?OLD","!!!","")</f>
        <v/>
      </c>
      <c r="F556" s="10" t="str">
        <f aca="false">IF(OR(E556="",E556="!!!"),"",IF(NOT(ISNA(VLOOKUP(E556,E$1:E555,1,FALSE()))),"OLD",IF(AND(E556&lt;&gt;"",E556&lt;&gt;"!!!"),"NEW","")))</f>
        <v/>
      </c>
      <c r="G556" s="11" t="str">
        <f aca="false">IF(OR(E556="",E556="!!!"),"",IF(OR(J556=0,AND(J556=1,K556=1),AND(J556=1,I556="SBJ"),AND(J556=1,I556=0)),"?IN_FOCUS",IF(J556&lt;=2,"?ACTIVATED",IF(J556&lt;&gt;"","?FAMILIAR",IF(F556="NEW",IF(ISNA(VLOOKUP(E556,#REF!,1,FALSE())),"?TYPE_IDENTIFIABLE","?REFERENTIAL"),"_")))))</f>
        <v/>
      </c>
      <c r="H556" s="12" t="str">
        <f aca="false">IF(J556&lt;&gt;1,"",IF(I556="SBJ","CB","?"))</f>
        <v/>
      </c>
      <c r="I556" s="13" t="str">
        <f aca="false">IF(OR(E556="",E556="!!!",F556="NEW"),"",INDEX(B$2:B555,-1+SUMPRODUCT(MAX(ROW(E$2:E555)*(E556=E$2:E555)))))</f>
        <v/>
      </c>
      <c r="J556" s="14" t="str">
        <f aca="true">IF(OR(E556="",E556="!!!",F556="NEW"),"",COUNTBLANK(OFFSET(A$1,,,SUMPRODUCT(MAX(ROW(E$2:E556)*(E556=E$2:E556)))))-COUNTBLANK(OFFSET(A$1,,,SUMPRODUCT(MAX(ROW(E$1:E555)*(E556=E$1:E555))))))</f>
        <v/>
      </c>
      <c r="K556" s="14" t="str">
        <f aca="false">IF(OR(E556="",E556="!!!",F556="NEW"),"",INDEX(J$1:J555,SUMPRODUCT(MAX(ROW(E$1:E555)*(E556=E$1:E555)))))</f>
        <v/>
      </c>
      <c r="L556" s="15"/>
    </row>
    <row r="557" customFormat="false" ht="12.75" hidden="false" customHeight="false" outlineLevel="0" collapsed="false">
      <c r="A557" s="0" t="s">
        <v>40</v>
      </c>
      <c r="E557" s="9" t="str">
        <f aca="false">IF(D557="?OLD","!!!","")</f>
        <v/>
      </c>
      <c r="F557" s="10" t="str">
        <f aca="false">IF(OR(E557="",E557="!!!"),"",IF(NOT(ISNA(VLOOKUP(E557,E$1:E556,1,FALSE()))),"OLD",IF(AND(E557&lt;&gt;"",E557&lt;&gt;"!!!"),"NEW","")))</f>
        <v/>
      </c>
      <c r="G557" s="11" t="str">
        <f aca="false">IF(OR(E557="",E557="!!!"),"",IF(OR(J557=0,AND(J557=1,K557=1),AND(J557=1,I557="SBJ"),AND(J557=1,I557=0)),"?IN_FOCUS",IF(J557&lt;=2,"?ACTIVATED",IF(J557&lt;&gt;"","?FAMILIAR",IF(F557="NEW",IF(ISNA(VLOOKUP(E557,#REF!,1,FALSE())),"?TYPE_IDENTIFIABLE","?REFERENTIAL"),"_")))))</f>
        <v/>
      </c>
      <c r="H557" s="12" t="str">
        <f aca="false">IF(J557&lt;&gt;1,"",IF(I557="SBJ","CB","?"))</f>
        <v/>
      </c>
      <c r="I557" s="13" t="str">
        <f aca="false">IF(OR(E557="",E557="!!!",F557="NEW"),"",INDEX(B$2:B556,-1+SUMPRODUCT(MAX(ROW(E$2:E556)*(E557=E$2:E556)))))</f>
        <v/>
      </c>
      <c r="J557" s="14" t="str">
        <f aca="true">IF(OR(E557="",E557="!!!",F557="NEW"),"",COUNTBLANK(OFFSET(A$1,,,SUMPRODUCT(MAX(ROW(E$2:E557)*(E557=E$2:E557)))))-COUNTBLANK(OFFSET(A$1,,,SUMPRODUCT(MAX(ROW(E$1:E556)*(E557=E$1:E556))))))</f>
        <v/>
      </c>
      <c r="K557" s="14" t="str">
        <f aca="false">IF(OR(E557="",E557="!!!",F557="NEW"),"",INDEX(J$1:J556,SUMPRODUCT(MAX(ROW(E$1:E556)*(E557=E$1:E556)))))</f>
        <v/>
      </c>
      <c r="L557" s="15"/>
    </row>
    <row r="558" customFormat="false" ht="12.75" hidden="false" customHeight="false" outlineLevel="0" collapsed="false">
      <c r="A558" s="0" t="s">
        <v>352</v>
      </c>
      <c r="B558" s="0" t="s">
        <v>64</v>
      </c>
      <c r="C558" s="0" t="s">
        <v>43</v>
      </c>
      <c r="E558" s="9" t="str">
        <f aca="false">IF(D558="?OLD","!!!","")</f>
        <v/>
      </c>
      <c r="F558" s="10" t="str">
        <f aca="false">IF(OR(E558="",E558="!!!"),"",IF(NOT(ISNA(VLOOKUP(E558,E$1:E557,1,FALSE()))),"OLD",IF(AND(E558&lt;&gt;"",E558&lt;&gt;"!!!"),"NEW","")))</f>
        <v/>
      </c>
      <c r="G558" s="11" t="str">
        <f aca="false">IF(OR(E558="",E558="!!!"),"",IF(OR(J558=0,AND(J558=1,K558=1),AND(J558=1,I558="SBJ"),AND(J558=1,I558=0)),"?IN_FOCUS",IF(J558&lt;=2,"?ACTIVATED",IF(J558&lt;&gt;"","?FAMILIAR",IF(F558="NEW",IF(ISNA(VLOOKUP(E558,#REF!,1,FALSE())),"?TYPE_IDENTIFIABLE","?REFERENTIAL"),"_")))))</f>
        <v/>
      </c>
      <c r="H558" s="12" t="str">
        <f aca="false">IF(J558&lt;&gt;1,"",IF(I558="SBJ","CB","?"))</f>
        <v/>
      </c>
      <c r="I558" s="13" t="str">
        <f aca="false">IF(OR(E558="",E558="!!!",F558="NEW"),"",INDEX(B$2:B557,-1+SUMPRODUCT(MAX(ROW(E$2:E557)*(E558=E$2:E557)))))</f>
        <v/>
      </c>
      <c r="J558" s="14" t="str">
        <f aca="true">IF(OR(E558="",E558="!!!",F558="NEW"),"",COUNTBLANK(OFFSET(A$1,,,SUMPRODUCT(MAX(ROW(E$2:E558)*(E558=E$2:E558)))))-COUNTBLANK(OFFSET(A$1,,,SUMPRODUCT(MAX(ROW(E$1:E557)*(E558=E$1:E557))))))</f>
        <v/>
      </c>
      <c r="K558" s="14" t="str">
        <f aca="false">IF(OR(E558="",E558="!!!",F558="NEW"),"",INDEX(J$1:J557,SUMPRODUCT(MAX(ROW(E$1:E557)*(E558=E$1:E557)))))</f>
        <v/>
      </c>
      <c r="L558" s="15"/>
    </row>
    <row r="559" customFormat="false" ht="12.75" hidden="false" customHeight="false" outlineLevel="0" collapsed="false">
      <c r="A559" s="0" t="s">
        <v>73</v>
      </c>
      <c r="E559" s="9" t="str">
        <f aca="false">IF(D559="?OLD","!!!","")</f>
        <v/>
      </c>
      <c r="F559" s="10" t="str">
        <f aca="false">IF(OR(E559="",E559="!!!"),"",IF(NOT(ISNA(VLOOKUP(E559,E$1:E558,1,FALSE()))),"OLD",IF(AND(E559&lt;&gt;"",E559&lt;&gt;"!!!"),"NEW","")))</f>
        <v/>
      </c>
      <c r="G559" s="11" t="str">
        <f aca="false">IF(OR(E559="",E559="!!!"),"",IF(OR(J559=0,AND(J559=1,K559=1),AND(J559=1,I559="SBJ"),AND(J559=1,I559=0)),"?IN_FOCUS",IF(J559&lt;=2,"?ACTIVATED",IF(J559&lt;&gt;"","?FAMILIAR",IF(F559="NEW",IF(ISNA(VLOOKUP(E559,#REF!,1,FALSE())),"?TYPE_IDENTIFIABLE","?REFERENTIAL"),"_")))))</f>
        <v/>
      </c>
      <c r="H559" s="12" t="str">
        <f aca="false">IF(J559&lt;&gt;1,"",IF(I559="SBJ","CB","?"))</f>
        <v/>
      </c>
      <c r="I559" s="13" t="str">
        <f aca="false">IF(OR(E559="",E559="!!!",F559="NEW"),"",INDEX(B$2:B558,-1+SUMPRODUCT(MAX(ROW(E$2:E558)*(E559=E$2:E558)))))</f>
        <v/>
      </c>
      <c r="J559" s="14" t="str">
        <f aca="true">IF(OR(E559="",E559="!!!",F559="NEW"),"",COUNTBLANK(OFFSET(A$1,,,SUMPRODUCT(MAX(ROW(E$2:E559)*(E559=E$2:E559)))))-COUNTBLANK(OFFSET(A$1,,,SUMPRODUCT(MAX(ROW(E$1:E558)*(E559=E$1:E558))))))</f>
        <v/>
      </c>
      <c r="K559" s="14" t="str">
        <f aca="false">IF(OR(E559="",E559="!!!",F559="NEW"),"",INDEX(J$1:J558,SUMPRODUCT(MAX(ROW(E$1:E558)*(E559=E$1:E558)))))</f>
        <v/>
      </c>
      <c r="L559" s="15"/>
    </row>
    <row r="560" customFormat="false" ht="12.75" hidden="false" customHeight="false" outlineLevel="0" collapsed="false">
      <c r="A560" s="0" t="s">
        <v>262</v>
      </c>
      <c r="E560" s="9" t="str">
        <f aca="false">IF(D560="?OLD","!!!","")</f>
        <v/>
      </c>
      <c r="F560" s="10" t="str">
        <f aca="false">IF(OR(E560="",E560="!!!"),"",IF(NOT(ISNA(VLOOKUP(E560,E$1:E559,1,FALSE()))),"OLD",IF(AND(E560&lt;&gt;"",E560&lt;&gt;"!!!"),"NEW","")))</f>
        <v/>
      </c>
      <c r="G560" s="11" t="str">
        <f aca="false">IF(OR(E560="",E560="!!!"),"",IF(OR(J560=0,AND(J560=1,K560=1),AND(J560=1,I560="SBJ"),AND(J560=1,I560=0)),"?IN_FOCUS",IF(J560&lt;=2,"?ACTIVATED",IF(J560&lt;&gt;"","?FAMILIAR",IF(F560="NEW",IF(ISNA(VLOOKUP(E560,#REF!,1,FALSE())),"?TYPE_IDENTIFIABLE","?REFERENTIAL"),"_")))))</f>
        <v/>
      </c>
      <c r="H560" s="12" t="str">
        <f aca="false">IF(J560&lt;&gt;1,"",IF(I560="SBJ","CB","?"))</f>
        <v/>
      </c>
      <c r="I560" s="13" t="str">
        <f aca="false">IF(OR(E560="",E560="!!!",F560="NEW"),"",INDEX(B$2:B559,-1+SUMPRODUCT(MAX(ROW(E$2:E559)*(E560=E$2:E559)))))</f>
        <v/>
      </c>
      <c r="J560" s="14" t="str">
        <f aca="true">IF(OR(E560="",E560="!!!",F560="NEW"),"",COUNTBLANK(OFFSET(A$1,,,SUMPRODUCT(MAX(ROW(E$2:E560)*(E560=E$2:E560)))))-COUNTBLANK(OFFSET(A$1,,,SUMPRODUCT(MAX(ROW(E$1:E559)*(E560=E$1:E559))))))</f>
        <v/>
      </c>
      <c r="K560" s="14" t="str">
        <f aca="false">IF(OR(E560="",E560="!!!",F560="NEW"),"",INDEX(J$1:J559,SUMPRODUCT(MAX(ROW(E$1:E559)*(E560=E$1:E559)))))</f>
        <v/>
      </c>
      <c r="L560" s="15"/>
    </row>
    <row r="561" customFormat="false" ht="12.75" hidden="false" customHeight="false" outlineLevel="0" collapsed="false">
      <c r="E561" s="9" t="str">
        <f aca="false">IF(D561="?OLD","!!!","")</f>
        <v/>
      </c>
      <c r="F561" s="10" t="str">
        <f aca="false">IF(OR(E561="",E561="!!!"),"",IF(NOT(ISNA(VLOOKUP(E561,E$1:E560,1,FALSE()))),"OLD",IF(AND(E561&lt;&gt;"",E561&lt;&gt;"!!!"),"NEW","")))</f>
        <v/>
      </c>
      <c r="G561" s="11" t="str">
        <f aca="false">IF(OR(E561="",E561="!!!"),"",IF(OR(J561=0,AND(J561=1,K561=1),AND(J561=1,I561="SBJ"),AND(J561=1,I561=0)),"?IN_FOCUS",IF(J561&lt;=2,"?ACTIVATED",IF(J561&lt;&gt;"","?FAMILIAR",IF(F561="NEW",IF(ISNA(VLOOKUP(E561,#REF!,1,FALSE())),"?TYPE_IDENTIFIABLE","?REFERENTIAL"),"_")))))</f>
        <v/>
      </c>
      <c r="H561" s="12" t="str">
        <f aca="false">IF(J561&lt;&gt;1,"",IF(I561="SBJ","CB","?"))</f>
        <v/>
      </c>
      <c r="I561" s="13" t="str">
        <f aca="false">IF(OR(E561="",E561="!!!",F561="NEW"),"",INDEX(B$2:B560,-1+SUMPRODUCT(MAX(ROW(E$2:E560)*(E561=E$2:E560)))))</f>
        <v/>
      </c>
      <c r="J561" s="14" t="str">
        <f aca="true">IF(OR(E561="",E561="!!!",F561="NEW"),"",COUNTBLANK(OFFSET(A$1,,,SUMPRODUCT(MAX(ROW(E$2:E561)*(E561=E$2:E561)))))-COUNTBLANK(OFFSET(A$1,,,SUMPRODUCT(MAX(ROW(E$1:E560)*(E561=E$1:E560))))))</f>
        <v/>
      </c>
      <c r="K561" s="14" t="str">
        <f aca="false">IF(OR(E561="",E561="!!!",F561="NEW"),"",INDEX(J$1:J560,SUMPRODUCT(MAX(ROW(E$1:E560)*(E561=E$1:E560)))))</f>
        <v/>
      </c>
      <c r="L561" s="15"/>
    </row>
    <row r="562" customFormat="false" ht="12.75" hidden="false" customHeight="false" outlineLevel="0" collapsed="false">
      <c r="A562" s="0" t="s">
        <v>353</v>
      </c>
      <c r="E562" s="9" t="str">
        <f aca="false">IF(D562="?OLD","!!!","")</f>
        <v/>
      </c>
      <c r="F562" s="10" t="str">
        <f aca="false">IF(OR(E562="",E562="!!!"),"",IF(NOT(ISNA(VLOOKUP(E562,E$1:E561,1,FALSE()))),"OLD",IF(AND(E562&lt;&gt;"",E562&lt;&gt;"!!!"),"NEW","")))</f>
        <v/>
      </c>
      <c r="G562" s="11" t="str">
        <f aca="false">IF(OR(E562="",E562="!!!"),"",IF(OR(J562=0,AND(J562=1,K562=1),AND(J562=1,I562="SBJ"),AND(J562=1,I562=0)),"?IN_FOCUS",IF(J562&lt;=2,"?ACTIVATED",IF(J562&lt;&gt;"","?FAMILIAR",IF(F562="NEW",IF(ISNA(VLOOKUP(E562,#REF!,1,FALSE())),"?TYPE_IDENTIFIABLE","?REFERENTIAL"),"_")))))</f>
        <v/>
      </c>
      <c r="H562" s="12" t="str">
        <f aca="false">IF(J562&lt;&gt;1,"",IF(I562="SBJ","CB","?"))</f>
        <v/>
      </c>
      <c r="I562" s="13" t="str">
        <f aca="false">IF(OR(E562="",E562="!!!",F562="NEW"),"",INDEX(B$2:B561,-1+SUMPRODUCT(MAX(ROW(E$2:E561)*(E562=E$2:E561)))))</f>
        <v/>
      </c>
      <c r="J562" s="14" t="str">
        <f aca="true">IF(OR(E562="",E562="!!!",F562="NEW"),"",COUNTBLANK(OFFSET(A$1,,,SUMPRODUCT(MAX(ROW(E$2:E562)*(E562=E$2:E562)))))-COUNTBLANK(OFFSET(A$1,,,SUMPRODUCT(MAX(ROW(E$1:E561)*(E562=E$1:E561))))))</f>
        <v/>
      </c>
      <c r="K562" s="14" t="str">
        <f aca="false">IF(OR(E562="",E562="!!!",F562="NEW"),"",INDEX(J$1:J561,SUMPRODUCT(MAX(ROW(E$1:E561)*(E562=E$1:E561)))))</f>
        <v/>
      </c>
      <c r="L562" s="15"/>
    </row>
    <row r="563" customFormat="false" ht="12.75" hidden="false" customHeight="false" outlineLevel="0" collapsed="false">
      <c r="A563" s="0" t="s">
        <v>238</v>
      </c>
      <c r="B563" s="0" t="s">
        <v>14</v>
      </c>
      <c r="C563" s="0" t="s">
        <v>38</v>
      </c>
      <c r="D563" s="0" t="s">
        <v>29</v>
      </c>
      <c r="E563" s="9" t="s">
        <v>340</v>
      </c>
      <c r="F563" s="10" t="str">
        <f aca="false">IF(OR(E563="",E563="!!!"),"",IF(NOT(ISNA(VLOOKUP(E563,E$1:E562,1,FALSE()))),"OLD",IF(AND(E563&lt;&gt;"",E563&lt;&gt;"!!!"),"NEW","")))</f>
        <v>OLD</v>
      </c>
      <c r="G563" s="11" t="s">
        <v>80</v>
      </c>
      <c r="H563" s="12" t="str">
        <f aca="false">IF(J563&lt;&gt;1,"",IF(I563="SBJ","CB","?"))</f>
        <v/>
      </c>
      <c r="I563" s="13" t="str">
        <f aca="false">IF(OR(E563="",E563="!!!",F563="NEW"),"",INDEX(B$2:B562,-1+SUMPRODUCT(MAX(ROW(E$2:E562)*(E563=E$2:E562)))))</f>
        <v>other_3</v>
      </c>
      <c r="J563" s="14" t="n">
        <f aca="true">IF(OR(E563="",E563="!!!",F563="NEW"),"",COUNTBLANK(OFFSET(A$1,,,SUMPRODUCT(MAX(ROW(E$2:E563)*(E563=E$2:E563)))))-COUNTBLANK(OFFSET(A$1,,,SUMPRODUCT(MAX(ROW(E$1:E562)*(E563=E$1:E562))))))</f>
        <v>2</v>
      </c>
      <c r="K563" s="14" t="n">
        <f aca="false">IF(OR(E563="",E563="!!!",F563="NEW"),"",INDEX(J$1:J562,SUMPRODUCT(MAX(ROW(E$1:E562)*(E563=E$1:E562)))))</f>
        <v>1</v>
      </c>
      <c r="L563" s="15"/>
    </row>
    <row r="564" customFormat="false" ht="12.75" hidden="false" customHeight="false" outlineLevel="0" collapsed="false">
      <c r="A564" s="0" t="s">
        <v>354</v>
      </c>
      <c r="E564" s="9" t="str">
        <f aca="false">IF(D564="?OLD","!!!","")</f>
        <v/>
      </c>
      <c r="F564" s="10" t="str">
        <f aca="false">IF(OR(E564="",E564="!!!"),"",IF(NOT(ISNA(VLOOKUP(E564,E$1:E563,1,FALSE()))),"OLD",IF(AND(E564&lt;&gt;"",E564&lt;&gt;"!!!"),"NEW","")))</f>
        <v/>
      </c>
      <c r="G564" s="11" t="str">
        <f aca="false">IF(OR(E564="",E564="!!!"),"",IF(OR(J564=0,AND(J564=1,K564=1),AND(J564=1,I564="SBJ"),AND(J564=1,I564=0)),"?IN_FOCUS",IF(J564&lt;=2,"?ACTIVATED",IF(J564&lt;&gt;"","?FAMILIAR",IF(F564="NEW",IF(ISNA(VLOOKUP(E564,#REF!,1,FALSE())),"?TYPE_IDENTIFIABLE","?REFERENTIAL"),"_")))))</f>
        <v/>
      </c>
      <c r="H564" s="12" t="str">
        <f aca="false">IF(J564&lt;&gt;1,"",IF(I564="SBJ","CB","?"))</f>
        <v/>
      </c>
      <c r="I564" s="13" t="str">
        <f aca="false">IF(OR(E564="",E564="!!!",F564="NEW"),"",INDEX(B$2:B563,-1+SUMPRODUCT(MAX(ROW(E$2:E563)*(E564=E$2:E563)))))</f>
        <v/>
      </c>
      <c r="J564" s="14" t="str">
        <f aca="true">IF(OR(E564="",E564="!!!",F564="NEW"),"",COUNTBLANK(OFFSET(A$1,,,SUMPRODUCT(MAX(ROW(E$2:E564)*(E564=E$2:E564)))))-COUNTBLANK(OFFSET(A$1,,,SUMPRODUCT(MAX(ROW(E$1:E563)*(E564=E$1:E563))))))</f>
        <v/>
      </c>
      <c r="K564" s="14" t="str">
        <f aca="false">IF(OR(E564="",E564="!!!",F564="NEW"),"",INDEX(J$1:J563,SUMPRODUCT(MAX(ROW(E$1:E563)*(E564=E$1:E563)))))</f>
        <v/>
      </c>
      <c r="L564" s="15"/>
    </row>
    <row r="565" customFormat="false" ht="12.75" hidden="false" customHeight="false" outlineLevel="0" collapsed="false">
      <c r="A565" s="0" t="s">
        <v>355</v>
      </c>
      <c r="E565" s="9" t="str">
        <f aca="false">IF(D565="?OLD","!!!","")</f>
        <v/>
      </c>
      <c r="F565" s="10" t="str">
        <f aca="false">IF(OR(E565="",E565="!!!"),"",IF(NOT(ISNA(VLOOKUP(E565,E$1:E564,1,FALSE()))),"OLD",IF(AND(E565&lt;&gt;"",E565&lt;&gt;"!!!"),"NEW","")))</f>
        <v/>
      </c>
      <c r="G565" s="11" t="str">
        <f aca="false">IF(OR(E565="",E565="!!!"),"",IF(OR(J565=0,AND(J565=1,K565=1),AND(J565=1,I565="SBJ"),AND(J565=1,I565=0)),"?IN_FOCUS",IF(J565&lt;=2,"?ACTIVATED",IF(J565&lt;&gt;"","?FAMILIAR",IF(F565="NEW",IF(ISNA(VLOOKUP(E565,#REF!,1,FALSE())),"?TYPE_IDENTIFIABLE","?REFERENTIAL"),"_")))))</f>
        <v/>
      </c>
      <c r="H565" s="12" t="str">
        <f aca="false">IF(J565&lt;&gt;1,"",IF(I565="SBJ","CB","?"))</f>
        <v/>
      </c>
      <c r="I565" s="13" t="str">
        <f aca="false">IF(OR(E565="",E565="!!!",F565="NEW"),"",INDEX(B$2:B564,-1+SUMPRODUCT(MAX(ROW(E$2:E564)*(E565=E$2:E564)))))</f>
        <v/>
      </c>
      <c r="J565" s="14" t="str">
        <f aca="true">IF(OR(E565="",E565="!!!",F565="NEW"),"",COUNTBLANK(OFFSET(A$1,,,SUMPRODUCT(MAX(ROW(E$2:E565)*(E565=E$2:E565)))))-COUNTBLANK(OFFSET(A$1,,,SUMPRODUCT(MAX(ROW(E$1:E564)*(E565=E$1:E564))))))</f>
        <v/>
      </c>
      <c r="K565" s="14" t="str">
        <f aca="false">IF(OR(E565="",E565="!!!",F565="NEW"),"",INDEX(J$1:J564,SUMPRODUCT(MAX(ROW(E$1:E564)*(E565=E$1:E564)))))</f>
        <v/>
      </c>
      <c r="L565" s="15"/>
    </row>
    <row r="566" customFormat="false" ht="12.75" hidden="false" customHeight="false" outlineLevel="0" collapsed="false">
      <c r="A566" s="0" t="s">
        <v>356</v>
      </c>
      <c r="E566" s="9" t="str">
        <f aca="false">IF(D566="?OLD","!!!","")</f>
        <v/>
      </c>
      <c r="F566" s="10" t="str">
        <f aca="false">IF(OR(E566="",E566="!!!"),"",IF(NOT(ISNA(VLOOKUP(E566,E$1:E565,1,FALSE()))),"OLD",IF(AND(E566&lt;&gt;"",E566&lt;&gt;"!!!"),"NEW","")))</f>
        <v/>
      </c>
      <c r="G566" s="11" t="str">
        <f aca="false">IF(OR(E566="",E566="!!!"),"",IF(OR(J566=0,AND(J566=1,K566=1),AND(J566=1,I566="SBJ"),AND(J566=1,I566=0)),"?IN_FOCUS",IF(J566&lt;=2,"?ACTIVATED",IF(J566&lt;&gt;"","?FAMILIAR",IF(F566="NEW",IF(ISNA(VLOOKUP(E566,#REF!,1,FALSE())),"?TYPE_IDENTIFIABLE","?REFERENTIAL"),"_")))))</f>
        <v/>
      </c>
      <c r="H566" s="12" t="str">
        <f aca="false">IF(J566&lt;&gt;1,"",IF(I566="SBJ","CB","?"))</f>
        <v/>
      </c>
      <c r="I566" s="13" t="str">
        <f aca="false">IF(OR(E566="",E566="!!!",F566="NEW"),"",INDEX(B$2:B565,-1+SUMPRODUCT(MAX(ROW(E$2:E565)*(E566=E$2:E565)))))</f>
        <v/>
      </c>
      <c r="J566" s="14" t="str">
        <f aca="true">IF(OR(E566="",E566="!!!",F566="NEW"),"",COUNTBLANK(OFFSET(A$1,,,SUMPRODUCT(MAX(ROW(E$2:E566)*(E566=E$2:E566)))))-COUNTBLANK(OFFSET(A$1,,,SUMPRODUCT(MAX(ROW(E$1:E565)*(E566=E$1:E565))))))</f>
        <v/>
      </c>
      <c r="K566" s="14" t="str">
        <f aca="false">IF(OR(E566="",E566="!!!",F566="NEW"),"",INDEX(J$1:J565,SUMPRODUCT(MAX(ROW(E$1:E565)*(E566=E$1:E565)))))</f>
        <v/>
      </c>
      <c r="L566" s="15"/>
    </row>
    <row r="567" customFormat="false" ht="12.75" hidden="false" customHeight="false" outlineLevel="0" collapsed="false">
      <c r="A567" s="0" t="s">
        <v>66</v>
      </c>
      <c r="E567" s="9" t="str">
        <f aca="false">IF(D567="?OLD","!!!","")</f>
        <v/>
      </c>
      <c r="F567" s="10" t="str">
        <f aca="false">IF(OR(E567="",E567="!!!"),"",IF(NOT(ISNA(VLOOKUP(E567,E$1:E566,1,FALSE()))),"OLD",IF(AND(E567&lt;&gt;"",E567&lt;&gt;"!!!"),"NEW","")))</f>
        <v/>
      </c>
      <c r="G567" s="11" t="str">
        <f aca="false">IF(OR(E567="",E567="!!!"),"",IF(OR(J567=0,AND(J567=1,K567=1),AND(J567=1,I567="SBJ"),AND(J567=1,I567=0)),"?IN_FOCUS",IF(J567&lt;=2,"?ACTIVATED",IF(J567&lt;&gt;"","?FAMILIAR",IF(F567="NEW",IF(ISNA(VLOOKUP(E567,#REF!,1,FALSE())),"?TYPE_IDENTIFIABLE","?REFERENTIAL"),"_")))))</f>
        <v/>
      </c>
      <c r="H567" s="12" t="str">
        <f aca="false">IF(J567&lt;&gt;1,"",IF(I567="SBJ","CB","?"))</f>
        <v/>
      </c>
      <c r="I567" s="13" t="str">
        <f aca="false">IF(OR(E567="",E567="!!!",F567="NEW"),"",INDEX(B$2:B566,-1+SUMPRODUCT(MAX(ROW(E$2:E566)*(E567=E$2:E566)))))</f>
        <v/>
      </c>
      <c r="J567" s="14" t="str">
        <f aca="true">IF(OR(E567="",E567="!!!",F567="NEW"),"",COUNTBLANK(OFFSET(A$1,,,SUMPRODUCT(MAX(ROW(E$2:E567)*(E567=E$2:E567)))))-COUNTBLANK(OFFSET(A$1,,,SUMPRODUCT(MAX(ROW(E$1:E566)*(E567=E$1:E566))))))</f>
        <v/>
      </c>
      <c r="K567" s="14" t="str">
        <f aca="false">IF(OR(E567="",E567="!!!",F567="NEW"),"",INDEX(J$1:J566,SUMPRODUCT(MAX(ROW(E$1:E566)*(E567=E$1:E566)))))</f>
        <v/>
      </c>
      <c r="L567" s="15"/>
    </row>
    <row r="568" customFormat="false" ht="12.75" hidden="false" customHeight="false" outlineLevel="0" collapsed="false">
      <c r="A568" s="0" t="s">
        <v>357</v>
      </c>
      <c r="B568" s="0" t="s">
        <v>62</v>
      </c>
      <c r="C568" s="0" t="s">
        <v>111</v>
      </c>
      <c r="D568" s="0" t="s">
        <v>29</v>
      </c>
      <c r="E568" s="9" t="s">
        <v>68</v>
      </c>
      <c r="F568" s="10" t="s">
        <v>69</v>
      </c>
      <c r="G568" s="11"/>
      <c r="H568" s="12" t="str">
        <f aca="false">IF(J568&lt;&gt;1,"",IF(I568="SBJ","CB","?"))</f>
        <v/>
      </c>
      <c r="I568" s="13" t="str">
        <f aca="false">IF(OR(E568="",E568="!!!",F568="NEW"),"",INDEX(B$2:B567,-1+SUMPRODUCT(MAX(ROW(E$2:E567)*(E568=E$2:E567)))))</f>
        <v>other_2</v>
      </c>
      <c r="J568" s="14" t="n">
        <f aca="true">IF(OR(E568="",E568="!!!",F568="NEW"),"",COUNTBLANK(OFFSET(A$1,,,SUMPRODUCT(MAX(ROW(E$2:E568)*(E568=E$2:E568)))))-COUNTBLANK(OFFSET(A$1,,,SUMPRODUCT(MAX(ROW(E$1:E567)*(E568=E$1:E567))))))</f>
        <v>2</v>
      </c>
      <c r="K568" s="14" t="n">
        <f aca="false">IF(OR(E568="",E568="!!!",F568="NEW"),"",INDEX(J$1:J567,SUMPRODUCT(MAX(ROW(E$1:E567)*(E568=E$1:E567)))))</f>
        <v>0</v>
      </c>
      <c r="L568" s="15"/>
    </row>
    <row r="569" customFormat="false" ht="12.75" hidden="false" customHeight="false" outlineLevel="0" collapsed="false">
      <c r="A569" s="0" t="s">
        <v>117</v>
      </c>
      <c r="E569" s="9" t="str">
        <f aca="false">IF(D569="?OLD","!!!","")</f>
        <v/>
      </c>
      <c r="F569" s="10" t="str">
        <f aca="false">IF(OR(E569="",E569="!!!"),"",IF(NOT(ISNA(VLOOKUP(E569,E$1:E568,1,FALSE()))),"OLD",IF(AND(E569&lt;&gt;"",E569&lt;&gt;"!!!"),"NEW","")))</f>
        <v/>
      </c>
      <c r="G569" s="11" t="str">
        <f aca="false">IF(OR(E569="",E569="!!!"),"",IF(OR(J569=0,AND(J569=1,K569=1),AND(J569=1,I569="SBJ"),AND(J569=1,I569=0)),"?IN_FOCUS",IF(J569&lt;=2,"?ACTIVATED",IF(J569&lt;&gt;"","?FAMILIAR",IF(F569="NEW",IF(ISNA(VLOOKUP(E569,#REF!,1,FALSE())),"?TYPE_IDENTIFIABLE","?REFERENTIAL"),"_")))))</f>
        <v/>
      </c>
      <c r="H569" s="12" t="str">
        <f aca="false">IF(J569&lt;&gt;1,"",IF(I569="SBJ","CB","?"))</f>
        <v/>
      </c>
      <c r="I569" s="13" t="str">
        <f aca="false">IF(OR(E569="",E569="!!!",F569="NEW"),"",INDEX(B$2:B568,-1+SUMPRODUCT(MAX(ROW(E$2:E568)*(E569=E$2:E568)))))</f>
        <v/>
      </c>
      <c r="J569" s="14" t="str">
        <f aca="true">IF(OR(E569="",E569="!!!",F569="NEW"),"",COUNTBLANK(OFFSET(A$1,,,SUMPRODUCT(MAX(ROW(E$2:E569)*(E569=E$2:E569)))))-COUNTBLANK(OFFSET(A$1,,,SUMPRODUCT(MAX(ROW(E$1:E568)*(E569=E$1:E568))))))</f>
        <v/>
      </c>
      <c r="K569" s="14" t="str">
        <f aca="false">IF(OR(E569="",E569="!!!",F569="NEW"),"",INDEX(J$1:J568,SUMPRODUCT(MAX(ROW(E$1:E568)*(E569=E$1:E568)))))</f>
        <v/>
      </c>
      <c r="L569" s="15"/>
    </row>
    <row r="570" customFormat="false" ht="12.75" hidden="false" customHeight="false" outlineLevel="0" collapsed="false">
      <c r="A570" s="0" t="s">
        <v>358</v>
      </c>
      <c r="E570" s="9" t="str">
        <f aca="false">IF(D570="?OLD","!!!","")</f>
        <v/>
      </c>
      <c r="F570" s="10" t="str">
        <f aca="false">IF(OR(E570="",E570="!!!"),"",IF(NOT(ISNA(VLOOKUP(E570,E$1:E569,1,FALSE()))),"OLD",IF(AND(E570&lt;&gt;"",E570&lt;&gt;"!!!"),"NEW","")))</f>
        <v/>
      </c>
      <c r="G570" s="11" t="str">
        <f aca="false">IF(OR(E570="",E570="!!!"),"",IF(OR(J570=0,AND(J570=1,K570=1),AND(J570=1,I570="SBJ"),AND(J570=1,I570=0)),"?IN_FOCUS",IF(J570&lt;=2,"?ACTIVATED",IF(J570&lt;&gt;"","?FAMILIAR",IF(F570="NEW",IF(ISNA(VLOOKUP(E570,#REF!,1,FALSE())),"?TYPE_IDENTIFIABLE","?REFERENTIAL"),"_")))))</f>
        <v/>
      </c>
      <c r="H570" s="12" t="str">
        <f aca="false">IF(J570&lt;&gt;1,"",IF(I570="SBJ","CB","?"))</f>
        <v/>
      </c>
      <c r="I570" s="13" t="str">
        <f aca="false">IF(OR(E570="",E570="!!!",F570="NEW"),"",INDEX(B$2:B569,-1+SUMPRODUCT(MAX(ROW(E$2:E569)*(E570=E$2:E569)))))</f>
        <v/>
      </c>
      <c r="J570" s="14" t="str">
        <f aca="true">IF(OR(E570="",E570="!!!",F570="NEW"),"",COUNTBLANK(OFFSET(A$1,,,SUMPRODUCT(MAX(ROW(E$2:E570)*(E570=E$2:E570)))))-COUNTBLANK(OFFSET(A$1,,,SUMPRODUCT(MAX(ROW(E$1:E569)*(E570=E$1:E569))))))</f>
        <v/>
      </c>
      <c r="K570" s="14" t="str">
        <f aca="false">IF(OR(E570="",E570="!!!",F570="NEW"),"",INDEX(J$1:J569,SUMPRODUCT(MAX(ROW(E$1:E569)*(E570=E$1:E569)))))</f>
        <v/>
      </c>
      <c r="L570" s="15"/>
    </row>
    <row r="571" customFormat="false" ht="12.75" hidden="false" customHeight="false" outlineLevel="0" collapsed="false">
      <c r="A571" s="0" t="s">
        <v>147</v>
      </c>
      <c r="B571" s="0" t="s">
        <v>42</v>
      </c>
      <c r="C571" s="0" t="s">
        <v>38</v>
      </c>
      <c r="D571" s="0" t="s">
        <v>29</v>
      </c>
      <c r="E571" s="9" t="s">
        <v>340</v>
      </c>
      <c r="F571" s="10" t="str">
        <f aca="false">IF(OR(E571="",E571="!!!"),"",IF(NOT(ISNA(VLOOKUP(E571,E$1:E570,1,FALSE()))),"OLD",IF(AND(E571&lt;&gt;"",E571&lt;&gt;"!!!"),"NEW","")))</f>
        <v>OLD</v>
      </c>
      <c r="G571" s="11" t="s">
        <v>39</v>
      </c>
      <c r="H571" s="12" t="str">
        <f aca="false">IF(J571&lt;&gt;1,"",IF(I571="SBJ","CB","?"))</f>
        <v/>
      </c>
      <c r="I571" s="13" t="str">
        <f aca="false">IF(OR(E571="",E571="!!!",F571="NEW"),"",INDEX(B$2:B570,-1+SUMPRODUCT(MAX(ROW(E$2:E570)*(E571=E$2:E570)))))</f>
        <v>SBJ</v>
      </c>
      <c r="J571" s="14" t="n">
        <f aca="true">IF(OR(E571="",E571="!!!",F571="NEW"),"",COUNTBLANK(OFFSET(A$1,,,SUMPRODUCT(MAX(ROW(E$2:E571)*(E571=E$2:E571)))))-COUNTBLANK(OFFSET(A$1,,,SUMPRODUCT(MAX(ROW(E$1:E570)*(E571=E$1:E570))))))</f>
        <v>0</v>
      </c>
      <c r="K571" s="14" t="n">
        <f aca="false">IF(OR(E571="",E571="!!!",F571="NEW"),"",INDEX(J$1:J570,SUMPRODUCT(MAX(ROW(E$1:E570)*(E571=E$1:E570)))))</f>
        <v>2</v>
      </c>
      <c r="L571" s="15"/>
    </row>
    <row r="572" customFormat="false" ht="12.75" hidden="false" customHeight="false" outlineLevel="0" collapsed="false">
      <c r="A572" s="0" t="s">
        <v>95</v>
      </c>
      <c r="E572" s="9" t="str">
        <f aca="false">IF(D572="?OLD","!!!","")</f>
        <v/>
      </c>
      <c r="F572" s="10" t="str">
        <f aca="false">IF(OR(E572="",E572="!!!"),"",IF(NOT(ISNA(VLOOKUP(E572,E$1:E571,1,FALSE()))),"OLD",IF(AND(E572&lt;&gt;"",E572&lt;&gt;"!!!"),"NEW","")))</f>
        <v/>
      </c>
      <c r="G572" s="11" t="str">
        <f aca="false">IF(OR(E572="",E572="!!!"),"",IF(OR(J572=0,AND(J572=1,K572=1),AND(J572=1,I572="SBJ"),AND(J572=1,I572=0)),"?IN_FOCUS",IF(J572&lt;=2,"?ACTIVATED",IF(J572&lt;&gt;"","?FAMILIAR",IF(F572="NEW",IF(ISNA(VLOOKUP(E572,#REF!,1,FALSE())),"?TYPE_IDENTIFIABLE","?REFERENTIAL"),"_")))))</f>
        <v/>
      </c>
      <c r="H572" s="12" t="str">
        <f aca="false">IF(J572&lt;&gt;1,"",IF(I572="SBJ","CB","?"))</f>
        <v/>
      </c>
      <c r="I572" s="13" t="str">
        <f aca="false">IF(OR(E572="",E572="!!!",F572="NEW"),"",INDEX(B$2:B571,-1+SUMPRODUCT(MAX(ROW(E$2:E571)*(E572=E$2:E571)))))</f>
        <v/>
      </c>
      <c r="J572" s="14" t="str">
        <f aca="true">IF(OR(E572="",E572="!!!",F572="NEW"),"",COUNTBLANK(OFFSET(A$1,,,SUMPRODUCT(MAX(ROW(E$2:E572)*(E572=E$2:E572)))))-COUNTBLANK(OFFSET(A$1,,,SUMPRODUCT(MAX(ROW(E$1:E571)*(E572=E$1:E571))))))</f>
        <v/>
      </c>
      <c r="K572" s="14" t="str">
        <f aca="false">IF(OR(E572="",E572="!!!",F572="NEW"),"",INDEX(J$1:J571,SUMPRODUCT(MAX(ROW(E$1:E571)*(E572=E$1:E571)))))</f>
        <v/>
      </c>
      <c r="L572" s="15"/>
    </row>
    <row r="573" customFormat="false" ht="12.75" hidden="false" customHeight="false" outlineLevel="0" collapsed="false">
      <c r="A573" s="0" t="s">
        <v>359</v>
      </c>
      <c r="E573" s="9" t="str">
        <f aca="false">IF(D573="?OLD","!!!","")</f>
        <v/>
      </c>
      <c r="F573" s="10" t="str">
        <f aca="false">IF(OR(E573="",E573="!!!"),"",IF(NOT(ISNA(VLOOKUP(E573,E$1:E572,1,FALSE()))),"OLD",IF(AND(E573&lt;&gt;"",E573&lt;&gt;"!!!"),"NEW","")))</f>
        <v/>
      </c>
      <c r="G573" s="11" t="str">
        <f aca="false">IF(OR(E573="",E573="!!!"),"",IF(OR(J573=0,AND(J573=1,K573=1),AND(J573=1,I573="SBJ"),AND(J573=1,I573=0)),"?IN_FOCUS",IF(J573&lt;=2,"?ACTIVATED",IF(J573&lt;&gt;"","?FAMILIAR",IF(F573="NEW",IF(ISNA(VLOOKUP(E573,#REF!,1,FALSE())),"?TYPE_IDENTIFIABLE","?REFERENTIAL"),"_")))))</f>
        <v/>
      </c>
      <c r="H573" s="12" t="str">
        <f aca="false">IF(J573&lt;&gt;1,"",IF(I573="SBJ","CB","?"))</f>
        <v/>
      </c>
      <c r="I573" s="13" t="str">
        <f aca="false">IF(OR(E573="",E573="!!!",F573="NEW"),"",INDEX(B$2:B572,-1+SUMPRODUCT(MAX(ROW(E$2:E572)*(E573=E$2:E572)))))</f>
        <v/>
      </c>
      <c r="J573" s="14" t="str">
        <f aca="true">IF(OR(E573="",E573="!!!",F573="NEW"),"",COUNTBLANK(OFFSET(A$1,,,SUMPRODUCT(MAX(ROW(E$2:E573)*(E573=E$2:E573)))))-COUNTBLANK(OFFSET(A$1,,,SUMPRODUCT(MAX(ROW(E$1:E572)*(E573=E$1:E572))))))</f>
        <v/>
      </c>
      <c r="K573" s="14" t="str">
        <f aca="false">IF(OR(E573="",E573="!!!",F573="NEW"),"",INDEX(J$1:J572,SUMPRODUCT(MAX(ROW(E$1:E572)*(E573=E$1:E572)))))</f>
        <v/>
      </c>
      <c r="L573" s="15"/>
    </row>
    <row r="574" customFormat="false" ht="12.75" hidden="false" customHeight="false" outlineLevel="0" collapsed="false">
      <c r="A574" s="0" t="s">
        <v>115</v>
      </c>
      <c r="E574" s="9" t="str">
        <f aca="false">IF(D574="?OLD","!!!","")</f>
        <v/>
      </c>
      <c r="F574" s="10" t="str">
        <f aca="false">IF(OR(E574="",E574="!!!"),"",IF(NOT(ISNA(VLOOKUP(E574,E$1:E573,1,FALSE()))),"OLD",IF(AND(E574&lt;&gt;"",E574&lt;&gt;"!!!"),"NEW","")))</f>
        <v/>
      </c>
      <c r="G574" s="11" t="str">
        <f aca="false">IF(OR(E574="",E574="!!!"),"",IF(OR(J574=0,AND(J574=1,K574=1),AND(J574=1,I574="SBJ"),AND(J574=1,I574=0)),"?IN_FOCUS",IF(J574&lt;=2,"?ACTIVATED",IF(J574&lt;&gt;"","?FAMILIAR",IF(F574="NEW",IF(ISNA(VLOOKUP(E574,#REF!,1,FALSE())),"?TYPE_IDENTIFIABLE","?REFERENTIAL"),"_")))))</f>
        <v/>
      </c>
      <c r="H574" s="12" t="str">
        <f aca="false">IF(J574&lt;&gt;1,"",IF(I574="SBJ","CB","?"))</f>
        <v/>
      </c>
      <c r="I574" s="13" t="str">
        <f aca="false">IF(OR(E574="",E574="!!!",F574="NEW"),"",INDEX(B$2:B573,-1+SUMPRODUCT(MAX(ROW(E$2:E573)*(E574=E$2:E573)))))</f>
        <v/>
      </c>
      <c r="J574" s="14" t="str">
        <f aca="true">IF(OR(E574="",E574="!!!",F574="NEW"),"",COUNTBLANK(OFFSET(A$1,,,SUMPRODUCT(MAX(ROW(E$2:E574)*(E574=E$2:E574)))))-COUNTBLANK(OFFSET(A$1,,,SUMPRODUCT(MAX(ROW(E$1:E573)*(E574=E$1:E573))))))</f>
        <v/>
      </c>
      <c r="K574" s="14" t="str">
        <f aca="false">IF(OR(E574="",E574="!!!",F574="NEW"),"",INDEX(J$1:J573,SUMPRODUCT(MAX(ROW(E$1:E573)*(E574=E$1:E573)))))</f>
        <v/>
      </c>
      <c r="L574" s="15"/>
    </row>
    <row r="575" customFormat="false" ht="12.75" hidden="false" customHeight="false" outlineLevel="0" collapsed="false">
      <c r="A575" s="0" t="s">
        <v>66</v>
      </c>
      <c r="E575" s="9" t="str">
        <f aca="false">IF(D575="?OLD","!!!","")</f>
        <v/>
      </c>
      <c r="F575" s="10" t="str">
        <f aca="false">IF(OR(E575="",E575="!!!"),"",IF(NOT(ISNA(VLOOKUP(E575,E$1:E574,1,FALSE()))),"OLD",IF(AND(E575&lt;&gt;"",E575&lt;&gt;"!!!"),"NEW","")))</f>
        <v/>
      </c>
      <c r="G575" s="11" t="str">
        <f aca="false">IF(OR(E575="",E575="!!!"),"",IF(OR(J575=0,AND(J575=1,K575=1),AND(J575=1,I575="SBJ"),AND(J575=1,I575=0)),"?IN_FOCUS",IF(J575&lt;=2,"?ACTIVATED",IF(J575&lt;&gt;"","?FAMILIAR",IF(F575="NEW",IF(ISNA(VLOOKUP(E575,#REF!,1,FALSE())),"?TYPE_IDENTIFIABLE","?REFERENTIAL"),"_")))))</f>
        <v/>
      </c>
      <c r="H575" s="12" t="str">
        <f aca="false">IF(J575&lt;&gt;1,"",IF(I575="SBJ","CB","?"))</f>
        <v/>
      </c>
      <c r="I575" s="13" t="str">
        <f aca="false">IF(OR(E575="",E575="!!!",F575="NEW"),"",INDEX(B$2:B574,-1+SUMPRODUCT(MAX(ROW(E$2:E574)*(E575=E$2:E574)))))</f>
        <v/>
      </c>
      <c r="J575" s="14" t="str">
        <f aca="true">IF(OR(E575="",E575="!!!",F575="NEW"),"",COUNTBLANK(OFFSET(A$1,,,SUMPRODUCT(MAX(ROW(E$2:E575)*(E575=E$2:E575)))))-COUNTBLANK(OFFSET(A$1,,,SUMPRODUCT(MAX(ROW(E$1:E574)*(E575=E$1:E574))))))</f>
        <v/>
      </c>
      <c r="K575" s="14" t="str">
        <f aca="false">IF(OR(E575="",E575="!!!",F575="NEW"),"",INDEX(J$1:J574,SUMPRODUCT(MAX(ROW(E$1:E574)*(E575=E$1:E574)))))</f>
        <v/>
      </c>
      <c r="L575" s="15"/>
    </row>
    <row r="576" customFormat="false" ht="12.75" hidden="false" customHeight="false" outlineLevel="0" collapsed="false">
      <c r="A576" s="0" t="s">
        <v>231</v>
      </c>
      <c r="B576" s="0" t="s">
        <v>28</v>
      </c>
      <c r="C576" s="0" t="s">
        <v>111</v>
      </c>
      <c r="D576" s="0" t="s">
        <v>29</v>
      </c>
      <c r="E576" s="9" t="s">
        <v>338</v>
      </c>
      <c r="F576" s="10" t="str">
        <f aca="false">IF(OR(E576="",E576="!!!"),"",IF(NOT(ISNA(VLOOKUP(E576,E$1:E575,1,FALSE()))),"OLD",IF(AND(E576&lt;&gt;"",E576&lt;&gt;"!!!"),"NEW","")))</f>
        <v>OLD</v>
      </c>
      <c r="G576" s="11" t="s">
        <v>80</v>
      </c>
      <c r="H576" s="12" t="str">
        <f aca="false">IF(J576&lt;&gt;1,"",IF(I576="SBJ","CB","?"))</f>
        <v/>
      </c>
      <c r="I576" s="13" t="str">
        <f aca="false">IF(OR(E576="",E576="!!!",F576="NEW"),"",INDEX(B$2:B575,-1+SUMPRODUCT(MAX(ROW(E$2:E575)*(E576=E$2:E575)))))</f>
        <v>SBJ</v>
      </c>
      <c r="J576" s="14" t="n">
        <f aca="true">IF(OR(E576="",E576="!!!",F576="NEW"),"",COUNTBLANK(OFFSET(A$1,,,SUMPRODUCT(MAX(ROW(E$2:E576)*(E576=E$2:E576)))))-COUNTBLANK(OFFSET(A$1,,,SUMPRODUCT(MAX(ROW(E$1:E575)*(E576=E$1:E575))))))</f>
        <v>2</v>
      </c>
      <c r="K576" s="14" t="n">
        <f aca="false">IF(OR(E576="",E576="!!!",F576="NEW"),"",INDEX(J$1:J575,SUMPRODUCT(MAX(ROW(E$1:E575)*(E576=E$1:E575)))))</f>
        <v>1</v>
      </c>
      <c r="L576" s="15"/>
    </row>
    <row r="577" customFormat="false" ht="12.75" hidden="false" customHeight="false" outlineLevel="0" collapsed="false">
      <c r="A577" s="0" t="s">
        <v>31</v>
      </c>
      <c r="E577" s="9" t="str">
        <f aca="false">IF(D577="?OLD","!!!","")</f>
        <v/>
      </c>
      <c r="F577" s="10" t="str">
        <f aca="false">IF(OR(E577="",E577="!!!"),"",IF(NOT(ISNA(VLOOKUP(E577,E$1:E576,1,FALSE()))),"OLD",IF(AND(E577&lt;&gt;"",E577&lt;&gt;"!!!"),"NEW","")))</f>
        <v/>
      </c>
      <c r="G577" s="11" t="str">
        <f aca="false">IF(OR(E577="",E577="!!!"),"",IF(OR(J577=0,AND(J577=1,K577=1),AND(J577=1,I577="SBJ"),AND(J577=1,I577=0)),"?IN_FOCUS",IF(J577&lt;=2,"?ACTIVATED",IF(J577&lt;&gt;"","?FAMILIAR",IF(F577="NEW",IF(ISNA(VLOOKUP(E577,#REF!,1,FALSE())),"?TYPE_IDENTIFIABLE","?REFERENTIAL"),"_")))))</f>
        <v/>
      </c>
      <c r="H577" s="12" t="str">
        <f aca="false">IF(J577&lt;&gt;1,"",IF(I577="SBJ","CB","?"))</f>
        <v/>
      </c>
      <c r="I577" s="13" t="str">
        <f aca="false">IF(OR(E577="",E577="!!!",F577="NEW"),"",INDEX(B$2:B576,-1+SUMPRODUCT(MAX(ROW(E$2:E576)*(E577=E$2:E576)))))</f>
        <v/>
      </c>
      <c r="J577" s="14" t="str">
        <f aca="true">IF(OR(E577="",E577="!!!",F577="NEW"),"",COUNTBLANK(OFFSET(A$1,,,SUMPRODUCT(MAX(ROW(E$2:E577)*(E577=E$2:E577)))))-COUNTBLANK(OFFSET(A$1,,,SUMPRODUCT(MAX(ROW(E$1:E576)*(E577=E$1:E576))))))</f>
        <v/>
      </c>
      <c r="K577" s="14" t="str">
        <f aca="false">IF(OR(E577="",E577="!!!",F577="NEW"),"",INDEX(J$1:J576,SUMPRODUCT(MAX(ROW(E$1:E576)*(E577=E$1:E576)))))</f>
        <v/>
      </c>
      <c r="L577" s="15"/>
    </row>
    <row r="578" customFormat="false" ht="12.75" hidden="false" customHeight="false" outlineLevel="0" collapsed="false">
      <c r="A578" s="0" t="s">
        <v>128</v>
      </c>
      <c r="E578" s="9" t="str">
        <f aca="false">IF(D578="?OLD","!!!","")</f>
        <v/>
      </c>
      <c r="F578" s="10" t="str">
        <f aca="false">IF(OR(E578="",E578="!!!"),"",IF(NOT(ISNA(VLOOKUP(E578,E$1:E577,1,FALSE()))),"OLD",IF(AND(E578&lt;&gt;"",E578&lt;&gt;"!!!"),"NEW","")))</f>
        <v/>
      </c>
      <c r="G578" s="11" t="str">
        <f aca="false">IF(OR(E578="",E578="!!!"),"",IF(OR(J578=0,AND(J578=1,K578=1),AND(J578=1,I578="SBJ"),AND(J578=1,I578=0)),"?IN_FOCUS",IF(J578&lt;=2,"?ACTIVATED",IF(J578&lt;&gt;"","?FAMILIAR",IF(F578="NEW",IF(ISNA(VLOOKUP(E578,#REF!,1,FALSE())),"?TYPE_IDENTIFIABLE","?REFERENTIAL"),"_")))))</f>
        <v/>
      </c>
      <c r="H578" s="12" t="str">
        <f aca="false">IF(J578&lt;&gt;1,"",IF(I578="SBJ","CB","?"))</f>
        <v/>
      </c>
      <c r="I578" s="13" t="str">
        <f aca="false">IF(OR(E578="",E578="!!!",F578="NEW"),"",INDEX(B$2:B577,-1+SUMPRODUCT(MAX(ROW(E$2:E577)*(E578=E$2:E577)))))</f>
        <v/>
      </c>
      <c r="J578" s="14" t="str">
        <f aca="true">IF(OR(E578="",E578="!!!",F578="NEW"),"",COUNTBLANK(OFFSET(A$1,,,SUMPRODUCT(MAX(ROW(E$2:E578)*(E578=E$2:E578)))))-COUNTBLANK(OFFSET(A$1,,,SUMPRODUCT(MAX(ROW(E$1:E577)*(E578=E$1:E577))))))</f>
        <v/>
      </c>
      <c r="K578" s="14" t="str">
        <f aca="false">IF(OR(E578="",E578="!!!",F578="NEW"),"",INDEX(J$1:J577,SUMPRODUCT(MAX(ROW(E$1:E577)*(E578=E$1:E577)))))</f>
        <v/>
      </c>
      <c r="L578" s="15"/>
    </row>
    <row r="579" customFormat="false" ht="12.75" hidden="false" customHeight="false" outlineLevel="0" collapsed="false">
      <c r="A579" s="0" t="s">
        <v>21</v>
      </c>
      <c r="B579" s="0" t="s">
        <v>42</v>
      </c>
      <c r="C579" s="0" t="s">
        <v>23</v>
      </c>
      <c r="D579" s="0" t="s">
        <v>29</v>
      </c>
      <c r="E579" s="9" t="s">
        <v>24</v>
      </c>
      <c r="F579" s="10" t="str">
        <f aca="false">IF(OR(E579="",E579="!!!"),"",IF(NOT(ISNA(VLOOKUP(E579,E$1:E578,1,FALSE()))),"OLD",IF(AND(E579&lt;&gt;"",E579&lt;&gt;"!!!"),"NEW","")))</f>
        <v>OLD</v>
      </c>
      <c r="G579" s="11" t="s">
        <v>39</v>
      </c>
      <c r="H579" s="12" t="str">
        <f aca="false">IF(J579&lt;&gt;1,"",IF(I579="SBJ","CB","?"))</f>
        <v>CB</v>
      </c>
      <c r="I579" s="13" t="str">
        <f aca="false">IF(OR(E579="",E579="!!!",F579="NEW"),"",INDEX(B$2:B578,-1+SUMPRODUCT(MAX(ROW(E$2:E578)*(E579=E$2:E578)))))</f>
        <v>SBJ</v>
      </c>
      <c r="J579" s="14" t="n">
        <f aca="true">IF(OR(E579="",E579="!!!",F579="NEW"),"",COUNTBLANK(OFFSET(A$1,,,SUMPRODUCT(MAX(ROW(E$2:E579)*(E579=E$2:E579)))))-COUNTBLANK(OFFSET(A$1,,,SUMPRODUCT(MAX(ROW(E$1:E578)*(E579=E$1:E578))))))</f>
        <v>1</v>
      </c>
      <c r="K579" s="14" t="n">
        <f aca="false">IF(OR(E579="",E579="!!!",F579="NEW"),"",INDEX(J$1:J578,SUMPRODUCT(MAX(ROW(E$1:E578)*(E579=E$1:E578)))))</f>
        <v>6</v>
      </c>
      <c r="L579" s="15"/>
    </row>
    <row r="580" customFormat="false" ht="12.75" hidden="false" customHeight="false" outlineLevel="0" collapsed="false">
      <c r="A580" s="0" t="s">
        <v>360</v>
      </c>
      <c r="E580" s="9" t="str">
        <f aca="false">IF(D580="?OLD","!!!","")</f>
        <v/>
      </c>
      <c r="F580" s="10" t="str">
        <f aca="false">IF(OR(E580="",E580="!!!"),"",IF(NOT(ISNA(VLOOKUP(E580,E$1:E579,1,FALSE()))),"OLD",IF(AND(E580&lt;&gt;"",E580&lt;&gt;"!!!"),"NEW","")))</f>
        <v/>
      </c>
      <c r="G580" s="11" t="str">
        <f aca="false">IF(OR(E580="",E580="!!!"),"",IF(OR(J580=0,AND(J580=1,K580=1),AND(J580=1,I580="SBJ"),AND(J580=1,I580=0)),"?IN_FOCUS",IF(J580&lt;=2,"?ACTIVATED",IF(J580&lt;&gt;"","?FAMILIAR",IF(F580="NEW",IF(ISNA(VLOOKUP(E580,#REF!,1,FALSE())),"?TYPE_IDENTIFIABLE","?REFERENTIAL"),"_")))))</f>
        <v/>
      </c>
      <c r="H580" s="12" t="str">
        <f aca="false">IF(J580&lt;&gt;1,"",IF(I580="SBJ","CB","?"))</f>
        <v/>
      </c>
      <c r="I580" s="13" t="str">
        <f aca="false">IF(OR(E580="",E580="!!!",F580="NEW"),"",INDEX(B$2:B579,-1+SUMPRODUCT(MAX(ROW(E$2:E579)*(E580=E$2:E579)))))</f>
        <v/>
      </c>
      <c r="J580" s="14" t="str">
        <f aca="true">IF(OR(E580="",E580="!!!",F580="NEW"),"",COUNTBLANK(OFFSET(A$1,,,SUMPRODUCT(MAX(ROW(E$2:E580)*(E580=E$2:E580)))))-COUNTBLANK(OFFSET(A$1,,,SUMPRODUCT(MAX(ROW(E$1:E579)*(E580=E$1:E579))))))</f>
        <v/>
      </c>
      <c r="K580" s="14" t="str">
        <f aca="false">IF(OR(E580="",E580="!!!",F580="NEW"),"",INDEX(J$1:J579,SUMPRODUCT(MAX(ROW(E$1:E579)*(E580=E$1:E579)))))</f>
        <v/>
      </c>
      <c r="L580" s="15"/>
    </row>
    <row r="581" customFormat="false" ht="12.75" hidden="false" customHeight="false" outlineLevel="0" collapsed="false">
      <c r="A581" s="0" t="s">
        <v>142</v>
      </c>
      <c r="B581" s="0" t="s">
        <v>103</v>
      </c>
      <c r="C581" s="0" t="s">
        <v>38</v>
      </c>
      <c r="D581" s="0" t="s">
        <v>29</v>
      </c>
      <c r="E581" s="9" t="s">
        <v>340</v>
      </c>
      <c r="F581" s="10" t="str">
        <f aca="false">IF(OR(E581="",E581="!!!"),"",IF(NOT(ISNA(VLOOKUP(E581,E$1:E580,1,FALSE()))),"OLD",IF(AND(E581&lt;&gt;"",E581&lt;&gt;"!!!"),"NEW","")))</f>
        <v>OLD</v>
      </c>
      <c r="G581" s="11" t="s">
        <v>39</v>
      </c>
      <c r="H581" s="12" t="str">
        <f aca="false">IF(J581&lt;&gt;1,"",IF(I581="SBJ","CB","?"))</f>
        <v/>
      </c>
      <c r="I581" s="13" t="str">
        <f aca="false">IF(OR(E581="",E581="!!!",F581="NEW"),"",INDEX(B$2:B580,-1+SUMPRODUCT(MAX(ROW(E$2:E580)*(E581=E$2:E580)))))</f>
        <v>SBJ_2</v>
      </c>
      <c r="J581" s="14" t="n">
        <f aca="true">IF(OR(E581="",E581="!!!",F581="NEW"),"",COUNTBLANK(OFFSET(A$1,,,SUMPRODUCT(MAX(ROW(E$2:E581)*(E581=E$2:E581)))))-COUNTBLANK(OFFSET(A$1,,,SUMPRODUCT(MAX(ROW(E$1:E580)*(E581=E$1:E580))))))</f>
        <v>0</v>
      </c>
      <c r="K581" s="14" t="n">
        <f aca="false">IF(OR(E581="",E581="!!!",F581="NEW"),"",INDEX(J$1:J580,SUMPRODUCT(MAX(ROW(E$1:E580)*(E581=E$1:E580)))))</f>
        <v>0</v>
      </c>
      <c r="L581" s="15"/>
    </row>
    <row r="582" customFormat="false" ht="12.75" hidden="false" customHeight="false" outlineLevel="0" collapsed="false">
      <c r="A582" s="0" t="s">
        <v>175</v>
      </c>
      <c r="E582" s="9" t="str">
        <f aca="false">IF(D582="?OLD","!!!","")</f>
        <v/>
      </c>
      <c r="F582" s="10" t="str">
        <f aca="false">IF(OR(E582="",E582="!!!"),"",IF(NOT(ISNA(VLOOKUP(E582,E$1:E581,1,FALSE()))),"OLD",IF(AND(E582&lt;&gt;"",E582&lt;&gt;"!!!"),"NEW","")))</f>
        <v/>
      </c>
      <c r="G582" s="11" t="str">
        <f aca="false">IF(OR(E582="",E582="!!!"),"",IF(OR(J582=0,AND(J582=1,K582=1),AND(J582=1,I582="SBJ"),AND(J582=1,I582=0)),"?IN_FOCUS",IF(J582&lt;=2,"?ACTIVATED",IF(J582&lt;&gt;"","?FAMILIAR",IF(F582="NEW",IF(ISNA(VLOOKUP(E582,#REF!,1,FALSE())),"?TYPE_IDENTIFIABLE","?REFERENTIAL"),"_")))))</f>
        <v/>
      </c>
      <c r="H582" s="12" t="str">
        <f aca="false">IF(J582&lt;&gt;1,"",IF(I582="SBJ","CB","?"))</f>
        <v/>
      </c>
      <c r="I582" s="13" t="str">
        <f aca="false">IF(OR(E582="",E582="!!!",F582="NEW"),"",INDEX(B$2:B581,-1+SUMPRODUCT(MAX(ROW(E$2:E581)*(E582=E$2:E581)))))</f>
        <v/>
      </c>
      <c r="J582" s="14" t="str">
        <f aca="true">IF(OR(E582="",E582="!!!",F582="NEW"),"",COUNTBLANK(OFFSET(A$1,,,SUMPRODUCT(MAX(ROW(E$2:E582)*(E582=E$2:E582)))))-COUNTBLANK(OFFSET(A$1,,,SUMPRODUCT(MAX(ROW(E$1:E581)*(E582=E$1:E581))))))</f>
        <v/>
      </c>
      <c r="K582" s="14" t="str">
        <f aca="false">IF(OR(E582="",E582="!!!",F582="NEW"),"",INDEX(J$1:J581,SUMPRODUCT(MAX(ROW(E$1:E581)*(E582=E$1:E581)))))</f>
        <v/>
      </c>
      <c r="L582" s="15"/>
    </row>
    <row r="583" customFormat="false" ht="12.75" hidden="false" customHeight="false" outlineLevel="0" collapsed="false">
      <c r="A583" s="0" t="s">
        <v>147</v>
      </c>
      <c r="B583" s="0" t="s">
        <v>47</v>
      </c>
      <c r="C583" s="0" t="s">
        <v>38</v>
      </c>
      <c r="D583" s="0" t="s">
        <v>29</v>
      </c>
      <c r="E583" s="9" t="s">
        <v>340</v>
      </c>
      <c r="F583" s="10" t="str">
        <f aca="false">IF(OR(E583="",E583="!!!"),"",IF(NOT(ISNA(VLOOKUP(E583,E$1:E582,1,FALSE()))),"OLD",IF(AND(E583&lt;&gt;"",E583&lt;&gt;"!!!"),"NEW","")))</f>
        <v>OLD</v>
      </c>
      <c r="G583" s="11" t="s">
        <v>39</v>
      </c>
      <c r="H583" s="12" t="str">
        <f aca="false">IF(J583&lt;&gt;1,"",IF(I583="SBJ","CB","?"))</f>
        <v/>
      </c>
      <c r="I583" s="13" t="str">
        <f aca="false">IF(OR(E583="",E583="!!!",F583="NEW"),"",INDEX(B$2:B582,-1+SUMPRODUCT(MAX(ROW(E$2:E582)*(E583=E$2:E582)))))</f>
        <v>OBJ_2</v>
      </c>
      <c r="J583" s="14" t="n">
        <f aca="true">IF(OR(E583="",E583="!!!",F583="NEW"),"",COUNTBLANK(OFFSET(A$1,,,SUMPRODUCT(MAX(ROW(E$2:E583)*(E583=E$2:E583)))))-COUNTBLANK(OFFSET(A$1,,,SUMPRODUCT(MAX(ROW(E$1:E582)*(E583=E$1:E582))))))</f>
        <v>0</v>
      </c>
      <c r="K583" s="14" t="n">
        <f aca="false">IF(OR(E583="",E583="!!!",F583="NEW"),"",INDEX(J$1:J582,SUMPRODUCT(MAX(ROW(E$1:E582)*(E583=E$1:E582)))))</f>
        <v>0</v>
      </c>
      <c r="L583" s="15"/>
    </row>
    <row r="584" customFormat="false" ht="12.75" hidden="false" customHeight="false" outlineLevel="0" collapsed="false">
      <c r="A584" s="0" t="s">
        <v>95</v>
      </c>
      <c r="E584" s="9" t="str">
        <f aca="false">IF(D584="?OLD","!!!","")</f>
        <v/>
      </c>
      <c r="F584" s="10" t="str">
        <f aca="false">IF(OR(E584="",E584="!!!"),"",IF(NOT(ISNA(VLOOKUP(E584,E$1:E583,1,FALSE()))),"OLD",IF(AND(E584&lt;&gt;"",E584&lt;&gt;"!!!"),"NEW","")))</f>
        <v/>
      </c>
      <c r="G584" s="11" t="str">
        <f aca="false">IF(OR(E584="",E584="!!!"),"",IF(OR(J584=0,AND(J584=1,K584=1),AND(J584=1,I584="SBJ"),AND(J584=1,I584=0)),"?IN_FOCUS",IF(J584&lt;=2,"?ACTIVATED",IF(J584&lt;&gt;"","?FAMILIAR",IF(F584="NEW",IF(ISNA(VLOOKUP(E584,#REF!,1,FALSE())),"?TYPE_IDENTIFIABLE","?REFERENTIAL"),"_")))))</f>
        <v/>
      </c>
      <c r="H584" s="12" t="str">
        <f aca="false">IF(J584&lt;&gt;1,"",IF(I584="SBJ","CB","?"))</f>
        <v/>
      </c>
      <c r="I584" s="13" t="str">
        <f aca="false">IF(OR(E584="",E584="!!!",F584="NEW"),"",INDEX(B$2:B583,-1+SUMPRODUCT(MAX(ROW(E$2:E583)*(E584=E$2:E583)))))</f>
        <v/>
      </c>
      <c r="J584" s="14" t="str">
        <f aca="true">IF(OR(E584="",E584="!!!",F584="NEW"),"",COUNTBLANK(OFFSET(A$1,,,SUMPRODUCT(MAX(ROW(E$2:E584)*(E584=E$2:E584)))))-COUNTBLANK(OFFSET(A$1,,,SUMPRODUCT(MAX(ROW(E$1:E583)*(E584=E$1:E583))))))</f>
        <v/>
      </c>
      <c r="K584" s="14" t="str">
        <f aca="false">IF(OR(E584="",E584="!!!",F584="NEW"),"",INDEX(J$1:J583,SUMPRODUCT(MAX(ROW(E$1:E583)*(E584=E$1:E583)))))</f>
        <v/>
      </c>
      <c r="L584" s="15"/>
    </row>
    <row r="585" customFormat="false" ht="12.75" hidden="false" customHeight="false" outlineLevel="0" collapsed="false">
      <c r="A585" s="0" t="s">
        <v>148</v>
      </c>
      <c r="E585" s="9" t="str">
        <f aca="false">IF(D585="?OLD","!!!","")</f>
        <v/>
      </c>
      <c r="F585" s="10" t="str">
        <f aca="false">IF(OR(E585="",E585="!!!"),"",IF(NOT(ISNA(VLOOKUP(E585,E$1:E584,1,FALSE()))),"OLD",IF(AND(E585&lt;&gt;"",E585&lt;&gt;"!!!"),"NEW","")))</f>
        <v/>
      </c>
      <c r="G585" s="11" t="str">
        <f aca="false">IF(OR(E585="",E585="!!!"),"",IF(OR(J585=0,AND(J585=1,K585=1),AND(J585=1,I585="SBJ"),AND(J585=1,I585=0)),"?IN_FOCUS",IF(J585&lt;=2,"?ACTIVATED",IF(J585&lt;&gt;"","?FAMILIAR",IF(F585="NEW",IF(ISNA(VLOOKUP(E585,#REF!,1,FALSE())),"?TYPE_IDENTIFIABLE","?REFERENTIAL"),"_")))))</f>
        <v/>
      </c>
      <c r="H585" s="12" t="str">
        <f aca="false">IF(J585&lt;&gt;1,"",IF(I585="SBJ","CB","?"))</f>
        <v/>
      </c>
      <c r="I585" s="13" t="str">
        <f aca="false">IF(OR(E585="",E585="!!!",F585="NEW"),"",INDEX(B$2:B584,-1+SUMPRODUCT(MAX(ROW(E$2:E584)*(E585=E$2:E584)))))</f>
        <v/>
      </c>
      <c r="J585" s="14" t="str">
        <f aca="true">IF(OR(E585="",E585="!!!",F585="NEW"),"",COUNTBLANK(OFFSET(A$1,,,SUMPRODUCT(MAX(ROW(E$2:E585)*(E585=E$2:E585)))))-COUNTBLANK(OFFSET(A$1,,,SUMPRODUCT(MAX(ROW(E$1:E584)*(E585=E$1:E584))))))</f>
        <v/>
      </c>
      <c r="K585" s="14" t="str">
        <f aca="false">IF(OR(E585="",E585="!!!",F585="NEW"),"",INDEX(J$1:J584,SUMPRODUCT(MAX(ROW(E$1:E584)*(E585=E$1:E584)))))</f>
        <v/>
      </c>
      <c r="L585" s="15"/>
    </row>
    <row r="586" customFormat="false" ht="12.75" hidden="false" customHeight="false" outlineLevel="0" collapsed="false">
      <c r="A586" s="0" t="s">
        <v>361</v>
      </c>
      <c r="E586" s="9" t="str">
        <f aca="false">IF(D586="?OLD","!!!","")</f>
        <v/>
      </c>
      <c r="F586" s="10" t="str">
        <f aca="false">IF(OR(E586="",E586="!!!"),"",IF(NOT(ISNA(VLOOKUP(E586,E$1:E585,1,FALSE()))),"OLD",IF(AND(E586&lt;&gt;"",E586&lt;&gt;"!!!"),"NEW","")))</f>
        <v/>
      </c>
      <c r="G586" s="11" t="str">
        <f aca="false">IF(OR(E586="",E586="!!!"),"",IF(OR(J586=0,AND(J586=1,K586=1),AND(J586=1,I586="SBJ"),AND(J586=1,I586=0)),"?IN_FOCUS",IF(J586&lt;=2,"?ACTIVATED",IF(J586&lt;&gt;"","?FAMILIAR",IF(F586="NEW",IF(ISNA(VLOOKUP(E586,#REF!,1,FALSE())),"?TYPE_IDENTIFIABLE","?REFERENTIAL"),"_")))))</f>
        <v/>
      </c>
      <c r="H586" s="12" t="str">
        <f aca="false">IF(J586&lt;&gt;1,"",IF(I586="SBJ","CB","?"))</f>
        <v/>
      </c>
      <c r="I586" s="13" t="str">
        <f aca="false">IF(OR(E586="",E586="!!!",F586="NEW"),"",INDEX(B$2:B585,-1+SUMPRODUCT(MAX(ROW(E$2:E585)*(E586=E$2:E585)))))</f>
        <v/>
      </c>
      <c r="J586" s="14" t="str">
        <f aca="true">IF(OR(E586="",E586="!!!",F586="NEW"),"",COUNTBLANK(OFFSET(A$1,,,SUMPRODUCT(MAX(ROW(E$2:E586)*(E586=E$2:E586)))))-COUNTBLANK(OFFSET(A$1,,,SUMPRODUCT(MAX(ROW(E$1:E585)*(E586=E$1:E585))))))</f>
        <v/>
      </c>
      <c r="K586" s="14" t="str">
        <f aca="false">IF(OR(E586="",E586="!!!",F586="NEW"),"",INDEX(J$1:J585,SUMPRODUCT(MAX(ROW(E$1:E585)*(E586=E$1:E585)))))</f>
        <v/>
      </c>
      <c r="L586" s="15"/>
    </row>
    <row r="587" customFormat="false" ht="12.75" hidden="false" customHeight="false" outlineLevel="0" collapsed="false">
      <c r="A587" s="0" t="s">
        <v>362</v>
      </c>
      <c r="E587" s="9" t="str">
        <f aca="false">IF(D587="?OLD","!!!","")</f>
        <v/>
      </c>
      <c r="F587" s="10" t="str">
        <f aca="false">IF(OR(E587="",E587="!!!"),"",IF(NOT(ISNA(VLOOKUP(E587,E$1:E586,1,FALSE()))),"OLD",IF(AND(E587&lt;&gt;"",E587&lt;&gt;"!!!"),"NEW","")))</f>
        <v/>
      </c>
      <c r="G587" s="11" t="str">
        <f aca="false">IF(OR(E587="",E587="!!!"),"",IF(OR(J587=0,AND(J587=1,K587=1),AND(J587=1,I587="SBJ"),AND(J587=1,I587=0)),"?IN_FOCUS",IF(J587&lt;=2,"?ACTIVATED",IF(J587&lt;&gt;"","?FAMILIAR",IF(F587="NEW",IF(ISNA(VLOOKUP(E587,#REF!,1,FALSE())),"?TYPE_IDENTIFIABLE","?REFERENTIAL"),"_")))))</f>
        <v/>
      </c>
      <c r="H587" s="12" t="str">
        <f aca="false">IF(J587&lt;&gt;1,"",IF(I587="SBJ","CB","?"))</f>
        <v/>
      </c>
      <c r="I587" s="13" t="str">
        <f aca="false">IF(OR(E587="",E587="!!!",F587="NEW"),"",INDEX(B$2:B586,-1+SUMPRODUCT(MAX(ROW(E$2:E586)*(E587=E$2:E586)))))</f>
        <v/>
      </c>
      <c r="J587" s="14" t="str">
        <f aca="true">IF(OR(E587="",E587="!!!",F587="NEW"),"",COUNTBLANK(OFFSET(A$1,,,SUMPRODUCT(MAX(ROW(E$2:E587)*(E587=E$2:E587)))))-COUNTBLANK(OFFSET(A$1,,,SUMPRODUCT(MAX(ROW(E$1:E586)*(E587=E$1:E586))))))</f>
        <v/>
      </c>
      <c r="K587" s="14" t="str">
        <f aca="false">IF(OR(E587="",E587="!!!",F587="NEW"),"",INDEX(J$1:J586,SUMPRODUCT(MAX(ROW(E$1:E586)*(E587=E$1:E586)))))</f>
        <v/>
      </c>
      <c r="L587" s="15"/>
    </row>
    <row r="588" customFormat="false" ht="12.75" hidden="false" customHeight="false" outlineLevel="0" collapsed="false">
      <c r="A588" s="0" t="s">
        <v>363</v>
      </c>
      <c r="B588" s="0" t="s">
        <v>28</v>
      </c>
      <c r="C588" s="0" t="s">
        <v>364</v>
      </c>
      <c r="E588" s="9" t="str">
        <f aca="false">IF(D588="?OLD","!!!","")</f>
        <v/>
      </c>
      <c r="F588" s="10" t="str">
        <f aca="false">IF(OR(E588="",E588="!!!"),"",IF(NOT(ISNA(VLOOKUP(E588,E$1:E587,1,FALSE()))),"OLD",IF(AND(E588&lt;&gt;"",E588&lt;&gt;"!!!"),"NEW","")))</f>
        <v/>
      </c>
      <c r="G588" s="11" t="str">
        <f aca="false">IF(OR(E588="",E588="!!!"),"",IF(OR(J588=0,AND(J588=1,K588=1),AND(J588=1,I588="SBJ"),AND(J588=1,I588=0)),"?IN_FOCUS",IF(J588&lt;=2,"?ACTIVATED",IF(J588&lt;&gt;"","?FAMILIAR",IF(F588="NEW",IF(ISNA(VLOOKUP(E588,#REF!,1,FALSE())),"?TYPE_IDENTIFIABLE","?REFERENTIAL"),"_")))))</f>
        <v/>
      </c>
      <c r="H588" s="12" t="str">
        <f aca="false">IF(J588&lt;&gt;1,"",IF(I588="SBJ","CB","?"))</f>
        <v/>
      </c>
      <c r="I588" s="13" t="str">
        <f aca="false">IF(OR(E588="",E588="!!!",F588="NEW"),"",INDEX(B$2:B587,-1+SUMPRODUCT(MAX(ROW(E$2:E587)*(E588=E$2:E587)))))</f>
        <v/>
      </c>
      <c r="J588" s="14" t="str">
        <f aca="true">IF(OR(E588="",E588="!!!",F588="NEW"),"",COUNTBLANK(OFFSET(A$1,,,SUMPRODUCT(MAX(ROW(E$2:E588)*(E588=E$2:E588)))))-COUNTBLANK(OFFSET(A$1,,,SUMPRODUCT(MAX(ROW(E$1:E587)*(E588=E$1:E587))))))</f>
        <v/>
      </c>
      <c r="K588" s="14" t="str">
        <f aca="false">IF(OR(E588="",E588="!!!",F588="NEW"),"",INDEX(J$1:J587,SUMPRODUCT(MAX(ROW(E$1:E587)*(E588=E$1:E587)))))</f>
        <v/>
      </c>
      <c r="L588" s="15"/>
    </row>
    <row r="589" customFormat="false" ht="12.75" hidden="false" customHeight="false" outlineLevel="0" collapsed="false">
      <c r="A589" s="0" t="s">
        <v>79</v>
      </c>
      <c r="E589" s="9" t="str">
        <f aca="false">IF(D589="?OLD","!!!","")</f>
        <v/>
      </c>
      <c r="F589" s="10" t="str">
        <f aca="false">IF(OR(E589="",E589="!!!"),"",IF(NOT(ISNA(VLOOKUP(E589,E$1:E588,1,FALSE()))),"OLD",IF(AND(E589&lt;&gt;"",E589&lt;&gt;"!!!"),"NEW","")))</f>
        <v/>
      </c>
      <c r="G589" s="11" t="str">
        <f aca="false">IF(OR(E589="",E589="!!!"),"",IF(OR(J589=0,AND(J589=1,K589=1),AND(J589=1,I589="SBJ"),AND(J589=1,I589=0)),"?IN_FOCUS",IF(J589&lt;=2,"?ACTIVATED",IF(J589&lt;&gt;"","?FAMILIAR",IF(F589="NEW",IF(ISNA(VLOOKUP(E589,#REF!,1,FALSE())),"?TYPE_IDENTIFIABLE","?REFERENTIAL"),"_")))))</f>
        <v/>
      </c>
      <c r="H589" s="12" t="str">
        <f aca="false">IF(J589&lt;&gt;1,"",IF(I589="SBJ","CB","?"))</f>
        <v/>
      </c>
      <c r="I589" s="13" t="str">
        <f aca="false">IF(OR(E589="",E589="!!!",F589="NEW"),"",INDEX(B$2:B588,-1+SUMPRODUCT(MAX(ROW(E$2:E588)*(E589=E$2:E588)))))</f>
        <v/>
      </c>
      <c r="J589" s="14" t="str">
        <f aca="true">IF(OR(E589="",E589="!!!",F589="NEW"),"",COUNTBLANK(OFFSET(A$1,,,SUMPRODUCT(MAX(ROW(E$2:E589)*(E589=E$2:E589)))))-COUNTBLANK(OFFSET(A$1,,,SUMPRODUCT(MAX(ROW(E$1:E588)*(E589=E$1:E588))))))</f>
        <v/>
      </c>
      <c r="K589" s="14" t="str">
        <f aca="false">IF(OR(E589="",E589="!!!",F589="NEW"),"",INDEX(J$1:J588,SUMPRODUCT(MAX(ROW(E$1:E588)*(E589=E$1:E588)))))</f>
        <v/>
      </c>
      <c r="L589" s="15"/>
    </row>
    <row r="590" customFormat="false" ht="12.75" hidden="false" customHeight="false" outlineLevel="0" collapsed="false">
      <c r="A590" s="0" t="s">
        <v>36</v>
      </c>
      <c r="B590" s="0" t="s">
        <v>22</v>
      </c>
      <c r="C590" s="0" t="s">
        <v>38</v>
      </c>
      <c r="D590" s="0" t="s">
        <v>29</v>
      </c>
      <c r="E590" s="9" t="s">
        <v>338</v>
      </c>
      <c r="F590" s="10" t="str">
        <f aca="false">IF(OR(E590="",E590="!!!"),"",IF(NOT(ISNA(VLOOKUP(E590,E$1:E589,1,FALSE()))),"OLD",IF(AND(E590&lt;&gt;"",E590&lt;&gt;"!!!"),"NEW","")))</f>
        <v>OLD</v>
      </c>
      <c r="G590" s="11" t="s">
        <v>39</v>
      </c>
      <c r="H590" s="12" t="str">
        <f aca="false">IF(J590&lt;&gt;1,"",IF(I590="SBJ","CB","?"))</f>
        <v/>
      </c>
      <c r="I590" s="13" t="str">
        <f aca="false">IF(OR(E590="",E590="!!!",F590="NEW"),"",INDEX(B$2:B589,-1+SUMPRODUCT(MAX(ROW(E$2:E589)*(E590=E$2:E589)))))</f>
        <v>other_2</v>
      </c>
      <c r="J590" s="14" t="n">
        <f aca="true">IF(OR(E590="",E590="!!!",F590="NEW"),"",COUNTBLANK(OFFSET(A$1,,,SUMPRODUCT(MAX(ROW(E$2:E590)*(E590=E$2:E590)))))-COUNTBLANK(OFFSET(A$1,,,SUMPRODUCT(MAX(ROW(E$1:E589)*(E590=E$1:E589))))))</f>
        <v>0</v>
      </c>
      <c r="K590" s="14" t="n">
        <f aca="false">IF(OR(E590="",E590="!!!",F590="NEW"),"",INDEX(J$1:J589,SUMPRODUCT(MAX(ROW(E$1:E589)*(E590=E$1:E589)))))</f>
        <v>2</v>
      </c>
      <c r="L590" s="15"/>
    </row>
    <row r="591" customFormat="false" ht="12.75" hidden="false" customHeight="false" outlineLevel="0" collapsed="false">
      <c r="A591" s="0" t="s">
        <v>73</v>
      </c>
      <c r="E591" s="9" t="str">
        <f aca="false">IF(D591="?OLD","!!!","")</f>
        <v/>
      </c>
      <c r="F591" s="10" t="str">
        <f aca="false">IF(OR(E591="",E591="!!!"),"",IF(NOT(ISNA(VLOOKUP(E591,E$1:E590,1,FALSE()))),"OLD",IF(AND(E591&lt;&gt;"",E591&lt;&gt;"!!!"),"NEW","")))</f>
        <v/>
      </c>
      <c r="G591" s="11" t="str">
        <f aca="false">IF(OR(E591="",E591="!!!"),"",IF(OR(J591=0,AND(J591=1,K591=1),AND(J591=1,I591="SBJ"),AND(J591=1,I591=0)),"?IN_FOCUS",IF(J591&lt;=2,"?ACTIVATED",IF(J591&lt;&gt;"","?FAMILIAR",IF(F591="NEW",IF(ISNA(VLOOKUP(E591,#REF!,1,FALSE())),"?TYPE_IDENTIFIABLE","?REFERENTIAL"),"_")))))</f>
        <v/>
      </c>
      <c r="H591" s="12" t="str">
        <f aca="false">IF(J591&lt;&gt;1,"",IF(I591="SBJ","CB","?"))</f>
        <v/>
      </c>
      <c r="I591" s="13" t="str">
        <f aca="false">IF(OR(E591="",E591="!!!",F591="NEW"),"",INDEX(B$2:B590,-1+SUMPRODUCT(MAX(ROW(E$2:E590)*(E591=E$2:E590)))))</f>
        <v/>
      </c>
      <c r="J591" s="14" t="str">
        <f aca="true">IF(OR(E591="",E591="!!!",F591="NEW"),"",COUNTBLANK(OFFSET(A$1,,,SUMPRODUCT(MAX(ROW(E$2:E591)*(E591=E$2:E591)))))-COUNTBLANK(OFFSET(A$1,,,SUMPRODUCT(MAX(ROW(E$1:E590)*(E591=E$1:E590))))))</f>
        <v/>
      </c>
      <c r="K591" s="14" t="str">
        <f aca="false">IF(OR(E591="",E591="!!!",F591="NEW"),"",INDEX(J$1:J590,SUMPRODUCT(MAX(ROW(E$1:E590)*(E591=E$1:E590)))))</f>
        <v/>
      </c>
      <c r="L591" s="15"/>
    </row>
    <row r="592" customFormat="false" ht="12.75" hidden="false" customHeight="false" outlineLevel="0" collapsed="false">
      <c r="E592" s="9" t="str">
        <f aca="false">IF(D592="?OLD","!!!","")</f>
        <v/>
      </c>
      <c r="F592" s="10" t="str">
        <f aca="false">IF(OR(E592="",E592="!!!"),"",IF(NOT(ISNA(VLOOKUP(E592,E$1:E591,1,FALSE()))),"OLD",IF(AND(E592&lt;&gt;"",E592&lt;&gt;"!!!"),"NEW","")))</f>
        <v/>
      </c>
      <c r="G592" s="11" t="str">
        <f aca="false">IF(OR(E592="",E592="!!!"),"",IF(OR(J592=0,AND(J592=1,K592=1),AND(J592=1,I592="SBJ"),AND(J592=1,I592=0)),"?IN_FOCUS",IF(J592&lt;=2,"?ACTIVATED",IF(J592&lt;&gt;"","?FAMILIAR",IF(F592="NEW",IF(ISNA(VLOOKUP(E592,#REF!,1,FALSE())),"?TYPE_IDENTIFIABLE","?REFERENTIAL"),"_")))))</f>
        <v/>
      </c>
      <c r="H592" s="12" t="str">
        <f aca="false">IF(J592&lt;&gt;1,"",IF(I592="SBJ","CB","?"))</f>
        <v/>
      </c>
      <c r="I592" s="13" t="str">
        <f aca="false">IF(OR(E592="",E592="!!!",F592="NEW"),"",INDEX(B$2:B591,-1+SUMPRODUCT(MAX(ROW(E$2:E591)*(E592=E$2:E591)))))</f>
        <v/>
      </c>
      <c r="J592" s="14" t="str">
        <f aca="true">IF(OR(E592="",E592="!!!",F592="NEW"),"",COUNTBLANK(OFFSET(A$1,,,SUMPRODUCT(MAX(ROW(E$2:E592)*(E592=E$2:E592)))))-COUNTBLANK(OFFSET(A$1,,,SUMPRODUCT(MAX(ROW(E$1:E591)*(E592=E$1:E591))))))</f>
        <v/>
      </c>
      <c r="K592" s="14" t="str">
        <f aca="false">IF(OR(E592="",E592="!!!",F592="NEW"),"",INDEX(J$1:J591,SUMPRODUCT(MAX(ROW(E$1:E591)*(E592=E$1:E591)))))</f>
        <v/>
      </c>
      <c r="L592" s="15"/>
    </row>
    <row r="593" customFormat="false" ht="12.75" hidden="false" customHeight="false" outlineLevel="0" collapsed="false">
      <c r="A593" s="0" t="s">
        <v>260</v>
      </c>
      <c r="E593" s="9" t="str">
        <f aca="false">IF(D593="?OLD","!!!","")</f>
        <v/>
      </c>
      <c r="F593" s="10" t="str">
        <f aca="false">IF(OR(E593="",E593="!!!"),"",IF(NOT(ISNA(VLOOKUP(E593,E$1:E592,1,FALSE()))),"OLD",IF(AND(E593&lt;&gt;"",E593&lt;&gt;"!!!"),"NEW","")))</f>
        <v/>
      </c>
      <c r="G593" s="11" t="str">
        <f aca="false">IF(OR(E593="",E593="!!!"),"",IF(OR(J593=0,AND(J593=1,K593=1),AND(J593=1,I593="SBJ"),AND(J593=1,I593=0)),"?IN_FOCUS",IF(J593&lt;=2,"?ACTIVATED",IF(J593&lt;&gt;"","?FAMILIAR",IF(F593="NEW",IF(ISNA(VLOOKUP(E593,#REF!,1,FALSE())),"?TYPE_IDENTIFIABLE","?REFERENTIAL"),"_")))))</f>
        <v/>
      </c>
      <c r="H593" s="12" t="str">
        <f aca="false">IF(J593&lt;&gt;1,"",IF(I593="SBJ","CB","?"))</f>
        <v/>
      </c>
      <c r="I593" s="13" t="str">
        <f aca="false">IF(OR(E593="",E593="!!!",F593="NEW"),"",INDEX(B$2:B592,-1+SUMPRODUCT(MAX(ROW(E$2:E592)*(E593=E$2:E592)))))</f>
        <v/>
      </c>
      <c r="J593" s="14" t="str">
        <f aca="true">IF(OR(E593="",E593="!!!",F593="NEW"),"",COUNTBLANK(OFFSET(A$1,,,SUMPRODUCT(MAX(ROW(E$2:E593)*(E593=E$2:E593)))))-COUNTBLANK(OFFSET(A$1,,,SUMPRODUCT(MAX(ROW(E$1:E592)*(E593=E$1:E592))))))</f>
        <v/>
      </c>
      <c r="K593" s="14" t="str">
        <f aca="false">IF(OR(E593="",E593="!!!",F593="NEW"),"",INDEX(J$1:J592,SUMPRODUCT(MAX(ROW(E$1:E592)*(E593=E$1:E592)))))</f>
        <v/>
      </c>
      <c r="L593" s="15"/>
    </row>
    <row r="594" customFormat="false" ht="12.75" hidden="false" customHeight="false" outlineLevel="0" collapsed="false">
      <c r="A594" s="0" t="s">
        <v>365</v>
      </c>
      <c r="E594" s="9" t="str">
        <f aca="false">IF(D594="?OLD","!!!","")</f>
        <v/>
      </c>
      <c r="F594" s="10" t="str">
        <f aca="false">IF(OR(E594="",E594="!!!"),"",IF(NOT(ISNA(VLOOKUP(E594,E$1:E593,1,FALSE()))),"OLD",IF(AND(E594&lt;&gt;"",E594&lt;&gt;"!!!"),"NEW","")))</f>
        <v/>
      </c>
      <c r="G594" s="11" t="str">
        <f aca="false">IF(OR(E594="",E594="!!!"),"",IF(OR(J594=0,AND(J594=1,K594=1),AND(J594=1,I594="SBJ"),AND(J594=1,I594=0)),"?IN_FOCUS",IF(J594&lt;=2,"?ACTIVATED",IF(J594&lt;&gt;"","?FAMILIAR",IF(F594="NEW",IF(ISNA(VLOOKUP(E594,#REF!,1,FALSE())),"?TYPE_IDENTIFIABLE","?REFERENTIAL"),"_")))))</f>
        <v/>
      </c>
      <c r="H594" s="12" t="str">
        <f aca="false">IF(J594&lt;&gt;1,"",IF(I594="SBJ","CB","?"))</f>
        <v/>
      </c>
      <c r="I594" s="13" t="str">
        <f aca="false">IF(OR(E594="",E594="!!!",F594="NEW"),"",INDEX(B$2:B593,-1+SUMPRODUCT(MAX(ROW(E$2:E593)*(E594=E$2:E593)))))</f>
        <v/>
      </c>
      <c r="J594" s="14" t="str">
        <f aca="true">IF(OR(E594="",E594="!!!",F594="NEW"),"",COUNTBLANK(OFFSET(A$1,,,SUMPRODUCT(MAX(ROW(E$2:E594)*(E594=E$2:E594)))))-COUNTBLANK(OFFSET(A$1,,,SUMPRODUCT(MAX(ROW(E$1:E593)*(E594=E$1:E593))))))</f>
        <v/>
      </c>
      <c r="K594" s="14" t="str">
        <f aca="false">IF(OR(E594="",E594="!!!",F594="NEW"),"",INDEX(J$1:J593,SUMPRODUCT(MAX(ROW(E$1:E593)*(E594=E$1:E593)))))</f>
        <v/>
      </c>
      <c r="L594" s="15"/>
    </row>
    <row r="595" customFormat="false" ht="12.75" hidden="false" customHeight="false" outlineLevel="0" collapsed="false">
      <c r="A595" s="0" t="s">
        <v>262</v>
      </c>
      <c r="E595" s="9" t="str">
        <f aca="false">IF(D595="?OLD","!!!","")</f>
        <v/>
      </c>
      <c r="F595" s="10" t="str">
        <f aca="false">IF(OR(E595="",E595="!!!"),"",IF(NOT(ISNA(VLOOKUP(E595,E$1:E594,1,FALSE()))),"OLD",IF(AND(E595&lt;&gt;"",E595&lt;&gt;"!!!"),"NEW","")))</f>
        <v/>
      </c>
      <c r="G595" s="11" t="str">
        <f aca="false">IF(OR(E595="",E595="!!!"),"",IF(OR(J595=0,AND(J595=1,K595=1),AND(J595=1,I595="SBJ"),AND(J595=1,I595=0)),"?IN_FOCUS",IF(J595&lt;=2,"?ACTIVATED",IF(J595&lt;&gt;"","?FAMILIAR",IF(F595="NEW",IF(ISNA(VLOOKUP(E595,#REF!,1,FALSE())),"?TYPE_IDENTIFIABLE","?REFERENTIAL"),"_")))))</f>
        <v/>
      </c>
      <c r="H595" s="12" t="str">
        <f aca="false">IF(J595&lt;&gt;1,"",IF(I595="SBJ","CB","?"))</f>
        <v/>
      </c>
      <c r="I595" s="13" t="str">
        <f aca="false">IF(OR(E595="",E595="!!!",F595="NEW"),"",INDEX(B$2:B594,-1+SUMPRODUCT(MAX(ROW(E$2:E594)*(E595=E$2:E594)))))</f>
        <v/>
      </c>
      <c r="J595" s="14" t="str">
        <f aca="true">IF(OR(E595="",E595="!!!",F595="NEW"),"",COUNTBLANK(OFFSET(A$1,,,SUMPRODUCT(MAX(ROW(E$2:E595)*(E595=E$2:E595)))))-COUNTBLANK(OFFSET(A$1,,,SUMPRODUCT(MAX(ROW(E$1:E594)*(E595=E$1:E594))))))</f>
        <v/>
      </c>
      <c r="K595" s="14" t="str">
        <f aca="false">IF(OR(E595="",E595="!!!",F595="NEW"),"",INDEX(J$1:J594,SUMPRODUCT(MAX(ROW(E$1:E594)*(E595=E$1:E594)))))</f>
        <v/>
      </c>
      <c r="L595" s="15"/>
    </row>
    <row r="596" customFormat="false" ht="12.75" hidden="false" customHeight="false" outlineLevel="0" collapsed="false">
      <c r="A596" s="0" t="s">
        <v>366</v>
      </c>
      <c r="B596" s="0" t="s">
        <v>42</v>
      </c>
      <c r="C596" s="0" t="s">
        <v>92</v>
      </c>
      <c r="D596" s="0" t="s">
        <v>29</v>
      </c>
      <c r="E596" s="9" t="s">
        <v>68</v>
      </c>
      <c r="F596" s="10" t="s">
        <v>69</v>
      </c>
      <c r="G596" s="11"/>
      <c r="H596" s="12" t="str">
        <f aca="false">IF(J596&lt;&gt;1,"",IF(I596="SBJ","CB","?"))</f>
        <v>?</v>
      </c>
      <c r="I596" s="13" t="str">
        <f aca="false">IF(OR(E596="",E596="!!!",F596="NEW"),"",INDEX(B$2:B595,-1+SUMPRODUCT(MAX(ROW(E$2:E595)*(E596=E$2:E595)))))</f>
        <v>other</v>
      </c>
      <c r="J596" s="14" t="n">
        <f aca="true">IF(OR(E596="",E596="!!!",F596="NEW"),"",COUNTBLANK(OFFSET(A$1,,,SUMPRODUCT(MAX(ROW(E$2:E596)*(E596=E$2:E596)))))-COUNTBLANK(OFFSET(A$1,,,SUMPRODUCT(MAX(ROW(E$1:E595)*(E596=E$1:E595))))))</f>
        <v>1</v>
      </c>
      <c r="K596" s="14" t="n">
        <f aca="false">IF(OR(E596="",E596="!!!",F596="NEW"),"",INDEX(J$1:J595,SUMPRODUCT(MAX(ROW(E$1:E595)*(E596=E$1:E595)))))</f>
        <v>2</v>
      </c>
      <c r="L596" s="15"/>
    </row>
    <row r="597" customFormat="false" ht="12.75" hidden="false" customHeight="false" outlineLevel="0" collapsed="false">
      <c r="A597" s="0" t="s">
        <v>367</v>
      </c>
      <c r="E597" s="9" t="str">
        <f aca="false">IF(D597="?OLD","!!!","")</f>
        <v/>
      </c>
      <c r="F597" s="10" t="str">
        <f aca="false">IF(OR(E597="",E597="!!!"),"",IF(NOT(ISNA(VLOOKUP(E597,E$1:E596,1,FALSE()))),"OLD",IF(AND(E597&lt;&gt;"",E597&lt;&gt;"!!!"),"NEW","")))</f>
        <v/>
      </c>
      <c r="G597" s="11" t="str">
        <f aca="false">IF(OR(E597="",E597="!!!"),"",IF(OR(J597=0,AND(J597=1,K597=1),AND(J597=1,I597="SBJ"),AND(J597=1,I597=0)),"?IN_FOCUS",IF(J597&lt;=2,"?ACTIVATED",IF(J597&lt;&gt;"","?FAMILIAR",IF(F597="NEW",IF(ISNA(VLOOKUP(E597,#REF!,1,FALSE())),"?TYPE_IDENTIFIABLE","?REFERENTIAL"),"_")))))</f>
        <v/>
      </c>
      <c r="H597" s="12" t="str">
        <f aca="false">IF(J597&lt;&gt;1,"",IF(I597="SBJ","CB","?"))</f>
        <v/>
      </c>
      <c r="I597" s="13" t="str">
        <f aca="false">IF(OR(E597="",E597="!!!",F597="NEW"),"",INDEX(B$2:B596,-1+SUMPRODUCT(MAX(ROW(E$2:E596)*(E597=E$2:E596)))))</f>
        <v/>
      </c>
      <c r="J597" s="14" t="str">
        <f aca="true">IF(OR(E597="",E597="!!!",F597="NEW"),"",COUNTBLANK(OFFSET(A$1,,,SUMPRODUCT(MAX(ROW(E$2:E597)*(E597=E$2:E597)))))-COUNTBLANK(OFFSET(A$1,,,SUMPRODUCT(MAX(ROW(E$1:E596)*(E597=E$1:E596))))))</f>
        <v/>
      </c>
      <c r="K597" s="14" t="str">
        <f aca="false">IF(OR(E597="",E597="!!!",F597="NEW"),"",INDEX(J$1:J596,SUMPRODUCT(MAX(ROW(E$1:E596)*(E597=E$1:E596)))))</f>
        <v/>
      </c>
      <c r="L597" s="15"/>
    </row>
    <row r="598" customFormat="false" ht="12.75" hidden="false" customHeight="false" outlineLevel="0" collapsed="false">
      <c r="A598" s="0" t="s">
        <v>368</v>
      </c>
      <c r="E598" s="9" t="str">
        <f aca="false">IF(D598="?OLD","!!!","")</f>
        <v/>
      </c>
      <c r="F598" s="10" t="str">
        <f aca="false">IF(OR(E598="",E598="!!!"),"",IF(NOT(ISNA(VLOOKUP(E598,E$1:E597,1,FALSE()))),"OLD",IF(AND(E598&lt;&gt;"",E598&lt;&gt;"!!!"),"NEW","")))</f>
        <v/>
      </c>
      <c r="G598" s="11" t="str">
        <f aca="false">IF(OR(E598="",E598="!!!"),"",IF(OR(J598=0,AND(J598=1,K598=1),AND(J598=1,I598="SBJ"),AND(J598=1,I598=0)),"?IN_FOCUS",IF(J598&lt;=2,"?ACTIVATED",IF(J598&lt;&gt;"","?FAMILIAR",IF(F598="NEW",IF(ISNA(VLOOKUP(E598,#REF!,1,FALSE())),"?TYPE_IDENTIFIABLE","?REFERENTIAL"),"_")))))</f>
        <v/>
      </c>
      <c r="H598" s="12" t="str">
        <f aca="false">IF(J598&lt;&gt;1,"",IF(I598="SBJ","CB","?"))</f>
        <v/>
      </c>
      <c r="I598" s="13" t="str">
        <f aca="false">IF(OR(E598="",E598="!!!",F598="NEW"),"",INDEX(B$2:B597,-1+SUMPRODUCT(MAX(ROW(E$2:E597)*(E598=E$2:E597)))))</f>
        <v/>
      </c>
      <c r="J598" s="14" t="str">
        <f aca="true">IF(OR(E598="",E598="!!!",F598="NEW"),"",COUNTBLANK(OFFSET(A$1,,,SUMPRODUCT(MAX(ROW(E$2:E598)*(E598=E$2:E598)))))-COUNTBLANK(OFFSET(A$1,,,SUMPRODUCT(MAX(ROW(E$1:E597)*(E598=E$1:E597))))))</f>
        <v/>
      </c>
      <c r="K598" s="14" t="str">
        <f aca="false">IF(OR(E598="",E598="!!!",F598="NEW"),"",INDEX(J$1:J597,SUMPRODUCT(MAX(ROW(E$1:E597)*(E598=E$1:E597)))))</f>
        <v/>
      </c>
      <c r="L598" s="15"/>
    </row>
    <row r="599" customFormat="false" ht="12.75" hidden="false" customHeight="false" outlineLevel="0" collapsed="false">
      <c r="A599" s="0" t="s">
        <v>31</v>
      </c>
      <c r="E599" s="9" t="str">
        <f aca="false">IF(D599="?OLD","!!!","")</f>
        <v/>
      </c>
      <c r="F599" s="10" t="str">
        <f aca="false">IF(OR(E599="",E599="!!!"),"",IF(NOT(ISNA(VLOOKUP(E599,E$1:E598,1,FALSE()))),"OLD",IF(AND(E599&lt;&gt;"",E599&lt;&gt;"!!!"),"NEW","")))</f>
        <v/>
      </c>
      <c r="G599" s="11" t="str">
        <f aca="false">IF(OR(E599="",E599="!!!"),"",IF(OR(J599=0,AND(J599=1,K599=1),AND(J599=1,I599="SBJ"),AND(J599=1,I599=0)),"?IN_FOCUS",IF(J599&lt;=2,"?ACTIVATED",IF(J599&lt;&gt;"","?FAMILIAR",IF(F599="NEW",IF(ISNA(VLOOKUP(E599,#REF!,1,FALSE())),"?TYPE_IDENTIFIABLE","?REFERENTIAL"),"_")))))</f>
        <v/>
      </c>
      <c r="H599" s="12" t="str">
        <f aca="false">IF(J599&lt;&gt;1,"",IF(I599="SBJ","CB","?"))</f>
        <v/>
      </c>
      <c r="I599" s="13" t="str">
        <f aca="false">IF(OR(E599="",E599="!!!",F599="NEW"),"",INDEX(B$2:B598,-1+SUMPRODUCT(MAX(ROW(E$2:E598)*(E599=E$2:E598)))))</f>
        <v/>
      </c>
      <c r="J599" s="14" t="str">
        <f aca="true">IF(OR(E599="",E599="!!!",F599="NEW"),"",COUNTBLANK(OFFSET(A$1,,,SUMPRODUCT(MAX(ROW(E$2:E599)*(E599=E$2:E599)))))-COUNTBLANK(OFFSET(A$1,,,SUMPRODUCT(MAX(ROW(E$1:E598)*(E599=E$1:E598))))))</f>
        <v/>
      </c>
      <c r="K599" s="14" t="str">
        <f aca="false">IF(OR(E599="",E599="!!!",F599="NEW"),"",INDEX(J$1:J598,SUMPRODUCT(MAX(ROW(E$1:E598)*(E599=E$1:E598)))))</f>
        <v/>
      </c>
      <c r="L599" s="15"/>
    </row>
    <row r="600" customFormat="false" ht="12.75" hidden="false" customHeight="false" outlineLevel="0" collapsed="false">
      <c r="A600" s="0" t="s">
        <v>262</v>
      </c>
      <c r="E600" s="9" t="str">
        <f aca="false">IF(D600="?OLD","!!!","")</f>
        <v/>
      </c>
      <c r="F600" s="10" t="str">
        <f aca="false">IF(OR(E600="",E600="!!!"),"",IF(NOT(ISNA(VLOOKUP(E600,E$1:E599,1,FALSE()))),"OLD",IF(AND(E600&lt;&gt;"",E600&lt;&gt;"!!!"),"NEW","")))</f>
        <v/>
      </c>
      <c r="G600" s="11" t="str">
        <f aca="false">IF(OR(E600="",E600="!!!"),"",IF(OR(J600=0,AND(J600=1,K600=1),AND(J600=1,I600="SBJ"),AND(J600=1,I600=0)),"?IN_FOCUS",IF(J600&lt;=2,"?ACTIVATED",IF(J600&lt;&gt;"","?FAMILIAR",IF(F600="NEW",IF(ISNA(VLOOKUP(E600,#REF!,1,FALSE())),"?TYPE_IDENTIFIABLE","?REFERENTIAL"),"_")))))</f>
        <v/>
      </c>
      <c r="H600" s="12" t="str">
        <f aca="false">IF(J600&lt;&gt;1,"",IF(I600="SBJ","CB","?"))</f>
        <v/>
      </c>
      <c r="I600" s="13" t="str">
        <f aca="false">IF(OR(E600="",E600="!!!",F600="NEW"),"",INDEX(B$2:B599,-1+SUMPRODUCT(MAX(ROW(E$2:E599)*(E600=E$2:E599)))))</f>
        <v/>
      </c>
      <c r="J600" s="14" t="str">
        <f aca="true">IF(OR(E600="",E600="!!!",F600="NEW"),"",COUNTBLANK(OFFSET(A$1,,,SUMPRODUCT(MAX(ROW(E$2:E600)*(E600=E$2:E600)))))-COUNTBLANK(OFFSET(A$1,,,SUMPRODUCT(MAX(ROW(E$1:E599)*(E600=E$1:E599))))))</f>
        <v/>
      </c>
      <c r="K600" s="14" t="str">
        <f aca="false">IF(OR(E600="",E600="!!!",F600="NEW"),"",INDEX(J$1:J599,SUMPRODUCT(MAX(ROW(E$1:E599)*(E600=E$1:E599)))))</f>
        <v/>
      </c>
      <c r="L600" s="15"/>
    </row>
    <row r="601" customFormat="false" ht="12.75" hidden="false" customHeight="false" outlineLevel="0" collapsed="false">
      <c r="A601" s="0" t="s">
        <v>154</v>
      </c>
      <c r="E601" s="9" t="str">
        <f aca="false">IF(D601="?OLD","!!!","")</f>
        <v/>
      </c>
      <c r="F601" s="10" t="str">
        <f aca="false">IF(OR(E601="",E601="!!!"),"",IF(NOT(ISNA(VLOOKUP(E601,E$1:E600,1,FALSE()))),"OLD",IF(AND(E601&lt;&gt;"",E601&lt;&gt;"!!!"),"NEW","")))</f>
        <v/>
      </c>
      <c r="G601" s="11" t="str">
        <f aca="false">IF(OR(E601="",E601="!!!"),"",IF(OR(J601=0,AND(J601=1,K601=1),AND(J601=1,I601="SBJ"),AND(J601=1,I601=0)),"?IN_FOCUS",IF(J601&lt;=2,"?ACTIVATED",IF(J601&lt;&gt;"","?FAMILIAR",IF(F601="NEW",IF(ISNA(VLOOKUP(E601,#REF!,1,FALSE())),"?TYPE_IDENTIFIABLE","?REFERENTIAL"),"_")))))</f>
        <v/>
      </c>
      <c r="H601" s="12" t="str">
        <f aca="false">IF(J601&lt;&gt;1,"",IF(I601="SBJ","CB","?"))</f>
        <v/>
      </c>
      <c r="I601" s="13" t="str">
        <f aca="false">IF(OR(E601="",E601="!!!",F601="NEW"),"",INDEX(B$2:B600,-1+SUMPRODUCT(MAX(ROW(E$2:E600)*(E601=E$2:E600)))))</f>
        <v/>
      </c>
      <c r="J601" s="14" t="str">
        <f aca="true">IF(OR(E601="",E601="!!!",F601="NEW"),"",COUNTBLANK(OFFSET(A$1,,,SUMPRODUCT(MAX(ROW(E$2:E601)*(E601=E$2:E601)))))-COUNTBLANK(OFFSET(A$1,,,SUMPRODUCT(MAX(ROW(E$1:E600)*(E601=E$1:E600))))))</f>
        <v/>
      </c>
      <c r="K601" s="14" t="str">
        <f aca="false">IF(OR(E601="",E601="!!!",F601="NEW"),"",INDEX(J$1:J600,SUMPRODUCT(MAX(ROW(E$1:E600)*(E601=E$1:E600)))))</f>
        <v/>
      </c>
      <c r="L601" s="15"/>
    </row>
    <row r="602" customFormat="false" ht="12.75" hidden="false" customHeight="false" outlineLevel="0" collapsed="false">
      <c r="A602" s="0" t="s">
        <v>46</v>
      </c>
      <c r="B602" s="0" t="s">
        <v>14</v>
      </c>
      <c r="C602" s="0" t="s">
        <v>38</v>
      </c>
      <c r="D602" s="0" t="s">
        <v>29</v>
      </c>
      <c r="E602" s="9" t="s">
        <v>24</v>
      </c>
      <c r="F602" s="10" t="str">
        <f aca="false">IF(OR(E602="",E602="!!!"),"",IF(NOT(ISNA(VLOOKUP(E602,E$1:E601,1,FALSE()))),"OLD",IF(AND(E602&lt;&gt;"",E602&lt;&gt;"!!!"),"NEW","")))</f>
        <v>OLD</v>
      </c>
      <c r="G602" s="11" t="s">
        <v>39</v>
      </c>
      <c r="H602" s="12" t="str">
        <f aca="false">IF(J602&lt;&gt;1,"",IF(I602="SBJ","CB","?"))</f>
        <v>?</v>
      </c>
      <c r="I602" s="13" t="str">
        <f aca="false">IF(OR(E602="",E602="!!!",F602="NEW"),"",INDEX(B$2:B601,-1+SUMPRODUCT(MAX(ROW(E$2:E601)*(E602=E$2:E601)))))</f>
        <v>SBJ_2</v>
      </c>
      <c r="J602" s="14" t="n">
        <f aca="true">IF(OR(E602="",E602="!!!",F602="NEW"),"",COUNTBLANK(OFFSET(A$1,,,SUMPRODUCT(MAX(ROW(E$2:E602)*(E602=E$2:E602)))))-COUNTBLANK(OFFSET(A$1,,,SUMPRODUCT(MAX(ROW(E$1:E601)*(E602=E$1:E601))))))</f>
        <v>1</v>
      </c>
      <c r="K602" s="14" t="n">
        <f aca="false">IF(OR(E602="",E602="!!!",F602="NEW"),"",INDEX(J$1:J601,SUMPRODUCT(MAX(ROW(E$1:E601)*(E602=E$1:E601)))))</f>
        <v>1</v>
      </c>
      <c r="L602" s="15"/>
    </row>
    <row r="603" customFormat="false" ht="12.75" hidden="false" customHeight="false" outlineLevel="0" collapsed="false">
      <c r="A603" s="0" t="s">
        <v>73</v>
      </c>
      <c r="E603" s="9" t="str">
        <f aca="false">IF(D603="?OLD","!!!","")</f>
        <v/>
      </c>
      <c r="F603" s="10" t="str">
        <f aca="false">IF(OR(E603="",E603="!!!"),"",IF(NOT(ISNA(VLOOKUP(E603,E$1:E602,1,FALSE()))),"OLD",IF(AND(E603&lt;&gt;"",E603&lt;&gt;"!!!"),"NEW","")))</f>
        <v/>
      </c>
      <c r="G603" s="11" t="str">
        <f aca="false">IF(OR(E603="",E603="!!!"),"",IF(OR(J603=0,AND(J603=1,K603=1),AND(J603=1,I603="SBJ"),AND(J603=1,I603=0)),"?IN_FOCUS",IF(J603&lt;=2,"?ACTIVATED",IF(J603&lt;&gt;"","?FAMILIAR",IF(F603="NEW",IF(ISNA(VLOOKUP(E603,#REF!,1,FALSE())),"?TYPE_IDENTIFIABLE","?REFERENTIAL"),"_")))))</f>
        <v/>
      </c>
      <c r="H603" s="12" t="str">
        <f aca="false">IF(J603&lt;&gt;1,"",IF(I603="SBJ","CB","?"))</f>
        <v/>
      </c>
      <c r="I603" s="13" t="str">
        <f aca="false">IF(OR(E603="",E603="!!!",F603="NEW"),"",INDEX(B$2:B602,-1+SUMPRODUCT(MAX(ROW(E$2:E602)*(E603=E$2:E602)))))</f>
        <v/>
      </c>
      <c r="J603" s="14" t="str">
        <f aca="true">IF(OR(E603="",E603="!!!",F603="NEW"),"",COUNTBLANK(OFFSET(A$1,,,SUMPRODUCT(MAX(ROW(E$2:E603)*(E603=E$2:E603)))))-COUNTBLANK(OFFSET(A$1,,,SUMPRODUCT(MAX(ROW(E$1:E602)*(E603=E$1:E602))))))</f>
        <v/>
      </c>
      <c r="K603" s="14" t="str">
        <f aca="false">IF(OR(E603="",E603="!!!",F603="NEW"),"",INDEX(J$1:J602,SUMPRODUCT(MAX(ROW(E$1:E602)*(E603=E$1:E602)))))</f>
        <v/>
      </c>
      <c r="L603" s="15"/>
    </row>
    <row r="604" customFormat="false" ht="12.75" hidden="false" customHeight="false" outlineLevel="0" collapsed="false">
      <c r="E604" s="9" t="str">
        <f aca="false">IF(D604="?OLD","!!!","")</f>
        <v/>
      </c>
      <c r="F604" s="10" t="str">
        <f aca="false">IF(OR(E604="",E604="!!!"),"",IF(NOT(ISNA(VLOOKUP(E604,E$1:E603,1,FALSE()))),"OLD",IF(AND(E604&lt;&gt;"",E604&lt;&gt;"!!!"),"NEW","")))</f>
        <v/>
      </c>
      <c r="G604" s="11" t="str">
        <f aca="false">IF(OR(E604="",E604="!!!"),"",IF(OR(J604=0,AND(J604=1,K604=1),AND(J604=1,I604="SBJ"),AND(J604=1,I604=0)),"?IN_FOCUS",IF(J604&lt;=2,"?ACTIVATED",IF(J604&lt;&gt;"","?FAMILIAR",IF(F604="NEW",IF(ISNA(VLOOKUP(E604,#REF!,1,FALSE())),"?TYPE_IDENTIFIABLE","?REFERENTIAL"),"_")))))</f>
        <v/>
      </c>
      <c r="H604" s="12" t="str">
        <f aca="false">IF(J604&lt;&gt;1,"",IF(I604="SBJ","CB","?"))</f>
        <v/>
      </c>
      <c r="I604" s="13" t="str">
        <f aca="false">IF(OR(E604="",E604="!!!",F604="NEW"),"",INDEX(B$2:B603,-1+SUMPRODUCT(MAX(ROW(E$2:E603)*(E604=E$2:E603)))))</f>
        <v/>
      </c>
      <c r="J604" s="14" t="str">
        <f aca="true">IF(OR(E604="",E604="!!!",F604="NEW"),"",COUNTBLANK(OFFSET(A$1,,,SUMPRODUCT(MAX(ROW(E$2:E604)*(E604=E$2:E604)))))-COUNTBLANK(OFFSET(A$1,,,SUMPRODUCT(MAX(ROW(E$1:E603)*(E604=E$1:E603))))))</f>
        <v/>
      </c>
      <c r="K604" s="14" t="str">
        <f aca="false">IF(OR(E604="",E604="!!!",F604="NEW"),"",INDEX(J$1:J603,SUMPRODUCT(MAX(ROW(E$1:E603)*(E604=E$1:E603)))))</f>
        <v/>
      </c>
      <c r="L604" s="15"/>
    </row>
    <row r="605" customFormat="false" ht="12.75" hidden="false" customHeight="false" outlineLevel="0" collapsed="false">
      <c r="A605" s="0" t="s">
        <v>260</v>
      </c>
      <c r="E605" s="9" t="str">
        <f aca="false">IF(D605="?OLD","!!!","")</f>
        <v/>
      </c>
      <c r="F605" s="10" t="str">
        <f aca="false">IF(OR(E605="",E605="!!!"),"",IF(NOT(ISNA(VLOOKUP(E605,E$1:E604,1,FALSE()))),"OLD",IF(AND(E605&lt;&gt;"",E605&lt;&gt;"!!!"),"NEW","")))</f>
        <v/>
      </c>
      <c r="G605" s="11" t="str">
        <f aca="false">IF(OR(E605="",E605="!!!"),"",IF(OR(J605=0,AND(J605=1,K605=1),AND(J605=1,I605="SBJ"),AND(J605=1,I605=0)),"?IN_FOCUS",IF(J605&lt;=2,"?ACTIVATED",IF(J605&lt;&gt;"","?FAMILIAR",IF(F605="NEW",IF(ISNA(VLOOKUP(E605,#REF!,1,FALSE())),"?TYPE_IDENTIFIABLE","?REFERENTIAL"),"_")))))</f>
        <v/>
      </c>
      <c r="H605" s="12" t="str">
        <f aca="false">IF(J605&lt;&gt;1,"",IF(I605="SBJ","CB","?"))</f>
        <v/>
      </c>
      <c r="I605" s="13" t="str">
        <f aca="false">IF(OR(E605="",E605="!!!",F605="NEW"),"",INDEX(B$2:B604,-1+SUMPRODUCT(MAX(ROW(E$2:E604)*(E605=E$2:E604)))))</f>
        <v/>
      </c>
      <c r="J605" s="14" t="str">
        <f aca="true">IF(OR(E605="",E605="!!!",F605="NEW"),"",COUNTBLANK(OFFSET(A$1,,,SUMPRODUCT(MAX(ROW(E$2:E605)*(E605=E$2:E605)))))-COUNTBLANK(OFFSET(A$1,,,SUMPRODUCT(MAX(ROW(E$1:E604)*(E605=E$1:E604))))))</f>
        <v/>
      </c>
      <c r="K605" s="14" t="str">
        <f aca="false">IF(OR(E605="",E605="!!!",F605="NEW"),"",INDEX(J$1:J604,SUMPRODUCT(MAX(ROW(E$1:E604)*(E605=E$1:E604)))))</f>
        <v/>
      </c>
      <c r="L605" s="15"/>
    </row>
    <row r="606" customFormat="false" ht="12.75" hidden="false" customHeight="false" outlineLevel="0" collapsed="false">
      <c r="A606" s="0" t="s">
        <v>369</v>
      </c>
      <c r="E606" s="9" t="str">
        <f aca="false">IF(D606="?OLD","!!!","")</f>
        <v/>
      </c>
      <c r="F606" s="10" t="str">
        <f aca="false">IF(OR(E606="",E606="!!!"),"",IF(NOT(ISNA(VLOOKUP(E606,E$1:E605,1,FALSE()))),"OLD",IF(AND(E606&lt;&gt;"",E606&lt;&gt;"!!!"),"NEW","")))</f>
        <v/>
      </c>
      <c r="G606" s="11" t="str">
        <f aca="false">IF(OR(E606="",E606="!!!"),"",IF(OR(J606=0,AND(J606=1,K606=1),AND(J606=1,I606="SBJ"),AND(J606=1,I606=0)),"?IN_FOCUS",IF(J606&lt;=2,"?ACTIVATED",IF(J606&lt;&gt;"","?FAMILIAR",IF(F606="NEW",IF(ISNA(VLOOKUP(E606,#REF!,1,FALSE())),"?TYPE_IDENTIFIABLE","?REFERENTIAL"),"_")))))</f>
        <v/>
      </c>
      <c r="H606" s="12" t="str">
        <f aca="false">IF(J606&lt;&gt;1,"",IF(I606="SBJ","CB","?"))</f>
        <v/>
      </c>
      <c r="I606" s="13" t="str">
        <f aca="false">IF(OR(E606="",E606="!!!",F606="NEW"),"",INDEX(B$2:B605,-1+SUMPRODUCT(MAX(ROW(E$2:E605)*(E606=E$2:E605)))))</f>
        <v/>
      </c>
      <c r="J606" s="14" t="str">
        <f aca="true">IF(OR(E606="",E606="!!!",F606="NEW"),"",COUNTBLANK(OFFSET(A$1,,,SUMPRODUCT(MAX(ROW(E$2:E606)*(E606=E$2:E606)))))-COUNTBLANK(OFFSET(A$1,,,SUMPRODUCT(MAX(ROW(E$1:E605)*(E606=E$1:E605))))))</f>
        <v/>
      </c>
      <c r="K606" s="14" t="str">
        <f aca="false">IF(OR(E606="",E606="!!!",F606="NEW"),"",INDEX(J$1:J605,SUMPRODUCT(MAX(ROW(E$1:E605)*(E606=E$1:E605)))))</f>
        <v/>
      </c>
      <c r="L606" s="15"/>
    </row>
    <row r="607" customFormat="false" ht="12.75" hidden="false" customHeight="false" outlineLevel="0" collapsed="false">
      <c r="A607" s="0" t="s">
        <v>262</v>
      </c>
      <c r="E607" s="9" t="str">
        <f aca="false">IF(D607="?OLD","!!!","")</f>
        <v/>
      </c>
      <c r="F607" s="10" t="str">
        <f aca="false">IF(OR(E607="",E607="!!!"),"",IF(NOT(ISNA(VLOOKUP(E607,E$1:E606,1,FALSE()))),"OLD",IF(AND(E607&lt;&gt;"",E607&lt;&gt;"!!!"),"NEW","")))</f>
        <v/>
      </c>
      <c r="G607" s="11" t="str">
        <f aca="false">IF(OR(E607="",E607="!!!"),"",IF(OR(J607=0,AND(J607=1,K607=1),AND(J607=1,I607="SBJ"),AND(J607=1,I607=0)),"?IN_FOCUS",IF(J607&lt;=2,"?ACTIVATED",IF(J607&lt;&gt;"","?FAMILIAR",IF(F607="NEW",IF(ISNA(VLOOKUP(E607,#REF!,1,FALSE())),"?TYPE_IDENTIFIABLE","?REFERENTIAL"),"_")))))</f>
        <v/>
      </c>
      <c r="H607" s="12" t="str">
        <f aca="false">IF(J607&lt;&gt;1,"",IF(I607="SBJ","CB","?"))</f>
        <v/>
      </c>
      <c r="I607" s="13" t="str">
        <f aca="false">IF(OR(E607="",E607="!!!",F607="NEW"),"",INDEX(B$2:B606,-1+SUMPRODUCT(MAX(ROW(E$2:E606)*(E607=E$2:E606)))))</f>
        <v/>
      </c>
      <c r="J607" s="14" t="str">
        <f aca="true">IF(OR(E607="",E607="!!!",F607="NEW"),"",COUNTBLANK(OFFSET(A$1,,,SUMPRODUCT(MAX(ROW(E$2:E607)*(E607=E$2:E607)))))-COUNTBLANK(OFFSET(A$1,,,SUMPRODUCT(MAX(ROW(E$1:E606)*(E607=E$1:E606))))))</f>
        <v/>
      </c>
      <c r="K607" s="14" t="str">
        <f aca="false">IF(OR(E607="",E607="!!!",F607="NEW"),"",INDEX(J$1:J606,SUMPRODUCT(MAX(ROW(E$1:E606)*(E607=E$1:E606)))))</f>
        <v/>
      </c>
      <c r="L607" s="15"/>
    </row>
    <row r="608" customFormat="false" ht="12.75" hidden="false" customHeight="false" outlineLevel="0" collapsed="false">
      <c r="A608" s="0" t="s">
        <v>370</v>
      </c>
      <c r="E608" s="9" t="str">
        <f aca="false">IF(D608="?OLD","!!!","")</f>
        <v/>
      </c>
      <c r="F608" s="10" t="str">
        <f aca="false">IF(OR(E608="",E608="!!!"),"",IF(NOT(ISNA(VLOOKUP(E608,E$1:E607,1,FALSE()))),"OLD",IF(AND(E608&lt;&gt;"",E608&lt;&gt;"!!!"),"NEW","")))</f>
        <v/>
      </c>
      <c r="G608" s="11" t="str">
        <f aca="false">IF(OR(E608="",E608="!!!"),"",IF(OR(J608=0,AND(J608=1,K608=1),AND(J608=1,I608="SBJ"),AND(J608=1,I608=0)),"?IN_FOCUS",IF(J608&lt;=2,"?ACTIVATED",IF(J608&lt;&gt;"","?FAMILIAR",IF(F608="NEW",IF(ISNA(VLOOKUP(E608,#REF!,1,FALSE())),"?TYPE_IDENTIFIABLE","?REFERENTIAL"),"_")))))</f>
        <v/>
      </c>
      <c r="H608" s="12" t="str">
        <f aca="false">IF(J608&lt;&gt;1,"",IF(I608="SBJ","CB","?"))</f>
        <v/>
      </c>
      <c r="I608" s="13" t="str">
        <f aca="false">IF(OR(E608="",E608="!!!",F608="NEW"),"",INDEX(B$2:B607,-1+SUMPRODUCT(MAX(ROW(E$2:E607)*(E608=E$2:E607)))))</f>
        <v/>
      </c>
      <c r="J608" s="14" t="str">
        <f aca="true">IF(OR(E608="",E608="!!!",F608="NEW"),"",COUNTBLANK(OFFSET(A$1,,,SUMPRODUCT(MAX(ROW(E$2:E608)*(E608=E$2:E608)))))-COUNTBLANK(OFFSET(A$1,,,SUMPRODUCT(MAX(ROW(E$1:E607)*(E608=E$1:E607))))))</f>
        <v/>
      </c>
      <c r="K608" s="14" t="str">
        <f aca="false">IF(OR(E608="",E608="!!!",F608="NEW"),"",INDEX(J$1:J607,SUMPRODUCT(MAX(ROW(E$1:E607)*(E608=E$1:E607)))))</f>
        <v/>
      </c>
      <c r="L608" s="15"/>
    </row>
    <row r="609" customFormat="false" ht="12.75" hidden="false" customHeight="false" outlineLevel="0" collapsed="false">
      <c r="A609" s="0" t="s">
        <v>371</v>
      </c>
      <c r="B609" s="0" t="s">
        <v>14</v>
      </c>
      <c r="C609" s="0" t="s">
        <v>135</v>
      </c>
      <c r="D609" s="0" t="s">
        <v>29</v>
      </c>
      <c r="E609" s="9" t="s">
        <v>68</v>
      </c>
      <c r="F609" s="10" t="s">
        <v>69</v>
      </c>
      <c r="G609" s="11"/>
      <c r="H609" s="12" t="str">
        <f aca="false">IF(J609&lt;&gt;1,"",IF(I609="SBJ","CB","?"))</f>
        <v>?</v>
      </c>
      <c r="I609" s="13" t="str">
        <f aca="false">IF(OR(E609="",E609="!!!",F609="NEW"),"",INDEX(B$2:B608,-1+SUMPRODUCT(MAX(ROW(E$2:E608)*(E609=E$2:E608)))))</f>
        <v>SBJ_2</v>
      </c>
      <c r="J609" s="14" t="n">
        <f aca="true">IF(OR(E609="",E609="!!!",F609="NEW"),"",COUNTBLANK(OFFSET(A$1,,,SUMPRODUCT(MAX(ROW(E$2:E609)*(E609=E$2:E609)))))-COUNTBLANK(OFFSET(A$1,,,SUMPRODUCT(MAX(ROW(E$1:E608)*(E609=E$1:E608))))))</f>
        <v>1</v>
      </c>
      <c r="K609" s="14" t="n">
        <f aca="false">IF(OR(E609="",E609="!!!",F609="NEW"),"",INDEX(J$1:J608,SUMPRODUCT(MAX(ROW(E$1:E608)*(E609=E$1:E608)))))</f>
        <v>1</v>
      </c>
      <c r="L609" s="15"/>
    </row>
    <row r="610" customFormat="false" ht="12.75" hidden="false" customHeight="false" outlineLevel="0" collapsed="false">
      <c r="A610" s="0" t="s">
        <v>178</v>
      </c>
      <c r="E610" s="9" t="str">
        <f aca="false">IF(D610="?OLD","!!!","")</f>
        <v/>
      </c>
      <c r="F610" s="10" t="str">
        <f aca="false">IF(OR(E610="",E610="!!!"),"",IF(NOT(ISNA(VLOOKUP(E610,E$1:E609,1,FALSE()))),"OLD",IF(AND(E610&lt;&gt;"",E610&lt;&gt;"!!!"),"NEW","")))</f>
        <v/>
      </c>
      <c r="G610" s="11" t="str">
        <f aca="false">IF(OR(E610="",E610="!!!"),"",IF(OR(J610=0,AND(J610=1,K610=1),AND(J610=1,I610="SBJ"),AND(J610=1,I610=0)),"?IN_FOCUS",IF(J610&lt;=2,"?ACTIVATED",IF(J610&lt;&gt;"","?FAMILIAR",IF(F610="NEW",IF(ISNA(VLOOKUP(E610,#REF!,1,FALSE())),"?TYPE_IDENTIFIABLE","?REFERENTIAL"),"_")))))</f>
        <v/>
      </c>
      <c r="H610" s="12" t="str">
        <f aca="false">IF(J610&lt;&gt;1,"",IF(I610="SBJ","CB","?"))</f>
        <v/>
      </c>
      <c r="I610" s="13" t="str">
        <f aca="false">IF(OR(E610="",E610="!!!",F610="NEW"),"",INDEX(B$2:B609,-1+SUMPRODUCT(MAX(ROW(E$2:E609)*(E610=E$2:E609)))))</f>
        <v/>
      </c>
      <c r="J610" s="14" t="str">
        <f aca="true">IF(OR(E610="",E610="!!!",F610="NEW"),"",COUNTBLANK(OFFSET(A$1,,,SUMPRODUCT(MAX(ROW(E$2:E610)*(E610=E$2:E610)))))-COUNTBLANK(OFFSET(A$1,,,SUMPRODUCT(MAX(ROW(E$1:E609)*(E610=E$1:E609))))))</f>
        <v/>
      </c>
      <c r="K610" s="14" t="str">
        <f aca="false">IF(OR(E610="",E610="!!!",F610="NEW"),"",INDEX(J$1:J609,SUMPRODUCT(MAX(ROW(E$1:E609)*(E610=E$1:E609)))))</f>
        <v/>
      </c>
      <c r="L610" s="15"/>
    </row>
    <row r="611" customFormat="false" ht="12.75" hidden="false" customHeight="false" outlineLevel="0" collapsed="false">
      <c r="A611" s="0" t="s">
        <v>66</v>
      </c>
      <c r="E611" s="9" t="str">
        <f aca="false">IF(D611="?OLD","!!!","")</f>
        <v/>
      </c>
      <c r="F611" s="10" t="str">
        <f aca="false">IF(OR(E611="",E611="!!!"),"",IF(NOT(ISNA(VLOOKUP(E611,E$1:E610,1,FALSE()))),"OLD",IF(AND(E611&lt;&gt;"",E611&lt;&gt;"!!!"),"NEW","")))</f>
        <v/>
      </c>
      <c r="G611" s="11" t="str">
        <f aca="false">IF(OR(E611="",E611="!!!"),"",IF(OR(J611=0,AND(J611=1,K611=1),AND(J611=1,I611="SBJ"),AND(J611=1,I611=0)),"?IN_FOCUS",IF(J611&lt;=2,"?ACTIVATED",IF(J611&lt;&gt;"","?FAMILIAR",IF(F611="NEW",IF(ISNA(VLOOKUP(E611,#REF!,1,FALSE())),"?TYPE_IDENTIFIABLE","?REFERENTIAL"),"_")))))</f>
        <v/>
      </c>
      <c r="H611" s="12" t="str">
        <f aca="false">IF(J611&lt;&gt;1,"",IF(I611="SBJ","CB","?"))</f>
        <v/>
      </c>
      <c r="I611" s="13" t="str">
        <f aca="false">IF(OR(E611="",E611="!!!",F611="NEW"),"",INDEX(B$2:B610,-1+SUMPRODUCT(MAX(ROW(E$2:E610)*(E611=E$2:E610)))))</f>
        <v/>
      </c>
      <c r="J611" s="14" t="str">
        <f aca="true">IF(OR(E611="",E611="!!!",F611="NEW"),"",COUNTBLANK(OFFSET(A$1,,,SUMPRODUCT(MAX(ROW(E$2:E611)*(E611=E$2:E611)))))-COUNTBLANK(OFFSET(A$1,,,SUMPRODUCT(MAX(ROW(E$1:E610)*(E611=E$1:E610))))))</f>
        <v/>
      </c>
      <c r="K611" s="14" t="str">
        <f aca="false">IF(OR(E611="",E611="!!!",F611="NEW"),"",INDEX(J$1:J610,SUMPRODUCT(MAX(ROW(E$1:E610)*(E611=E$1:E610)))))</f>
        <v/>
      </c>
      <c r="L611" s="15"/>
    </row>
    <row r="612" customFormat="false" ht="12.75" hidden="false" customHeight="false" outlineLevel="0" collapsed="false">
      <c r="A612" s="0" t="s">
        <v>372</v>
      </c>
      <c r="B612" s="0" t="s">
        <v>28</v>
      </c>
      <c r="C612" s="0" t="s">
        <v>111</v>
      </c>
      <c r="D612" s="0" t="s">
        <v>29</v>
      </c>
      <c r="E612" s="9" t="s">
        <v>68</v>
      </c>
      <c r="F612" s="10" t="s">
        <v>69</v>
      </c>
      <c r="G612" s="11"/>
      <c r="H612" s="12" t="str">
        <f aca="false">IF(J612&lt;&gt;1,"",IF(I612="SBJ","CB","?"))</f>
        <v/>
      </c>
      <c r="I612" s="13" t="str">
        <f aca="false">IF(OR(E612="",E612="!!!",F612="NEW"),"",INDEX(B$2:B611,-1+SUMPRODUCT(MAX(ROW(E$2:E611)*(E612=E$2:E611)))))</f>
        <v>SBJ</v>
      </c>
      <c r="J612" s="14" t="n">
        <f aca="true">IF(OR(E612="",E612="!!!",F612="NEW"),"",COUNTBLANK(OFFSET(A$1,,,SUMPRODUCT(MAX(ROW(E$2:E612)*(E612=E$2:E612)))))-COUNTBLANK(OFFSET(A$1,,,SUMPRODUCT(MAX(ROW(E$1:E611)*(E612=E$1:E611))))))</f>
        <v>0</v>
      </c>
      <c r="K612" s="14" t="n">
        <f aca="false">IF(OR(E612="",E612="!!!",F612="NEW"),"",INDEX(J$1:J611,SUMPRODUCT(MAX(ROW(E$1:E611)*(E612=E$1:E611)))))</f>
        <v>1</v>
      </c>
      <c r="L612" s="15"/>
    </row>
    <row r="613" customFormat="false" ht="12.75" hidden="false" customHeight="false" outlineLevel="0" collapsed="false">
      <c r="A613" s="0" t="s">
        <v>149</v>
      </c>
      <c r="E613" s="9" t="str">
        <f aca="false">IF(D613="?OLD","!!!","")</f>
        <v/>
      </c>
      <c r="F613" s="10" t="str">
        <f aca="false">IF(OR(E613="",E613="!!!"),"",IF(NOT(ISNA(VLOOKUP(E613,E$1:E612,1,FALSE()))),"OLD",IF(AND(E613&lt;&gt;"",E613&lt;&gt;"!!!"),"NEW","")))</f>
        <v/>
      </c>
      <c r="G613" s="11" t="str">
        <f aca="false">IF(OR(E613="",E613="!!!"),"",IF(OR(J613=0,AND(J613=1,K613=1),AND(J613=1,I613="SBJ"),AND(J613=1,I613=0)),"?IN_FOCUS",IF(J613&lt;=2,"?ACTIVATED",IF(J613&lt;&gt;"","?FAMILIAR",IF(F613="NEW",IF(ISNA(VLOOKUP(E613,#REF!,1,FALSE())),"?TYPE_IDENTIFIABLE","?REFERENTIAL"),"_")))))</f>
        <v/>
      </c>
      <c r="H613" s="12" t="str">
        <f aca="false">IF(J613&lt;&gt;1,"",IF(I613="SBJ","CB","?"))</f>
        <v/>
      </c>
      <c r="I613" s="13" t="str">
        <f aca="false">IF(OR(E613="",E613="!!!",F613="NEW"),"",INDEX(B$2:B612,-1+SUMPRODUCT(MAX(ROW(E$2:E612)*(E613=E$2:E612)))))</f>
        <v/>
      </c>
      <c r="J613" s="14" t="str">
        <f aca="true">IF(OR(E613="",E613="!!!",F613="NEW"),"",COUNTBLANK(OFFSET(A$1,,,SUMPRODUCT(MAX(ROW(E$2:E613)*(E613=E$2:E613)))))-COUNTBLANK(OFFSET(A$1,,,SUMPRODUCT(MAX(ROW(E$1:E612)*(E613=E$1:E612))))))</f>
        <v/>
      </c>
      <c r="K613" s="14" t="str">
        <f aca="false">IF(OR(E613="",E613="!!!",F613="NEW"),"",INDEX(J$1:J612,SUMPRODUCT(MAX(ROW(E$1:E612)*(E613=E$1:E612)))))</f>
        <v/>
      </c>
      <c r="L613" s="15"/>
    </row>
    <row r="614" customFormat="false" ht="12.75" hidden="false" customHeight="false" outlineLevel="0" collapsed="false">
      <c r="A614" s="0" t="s">
        <v>373</v>
      </c>
      <c r="E614" s="9" t="str">
        <f aca="false">IF(D614="?OLD","!!!","")</f>
        <v/>
      </c>
      <c r="F614" s="10" t="str">
        <f aca="false">IF(OR(E614="",E614="!!!"),"",IF(NOT(ISNA(VLOOKUP(E614,E$1:E613,1,FALSE()))),"OLD",IF(AND(E614&lt;&gt;"",E614&lt;&gt;"!!!"),"NEW","")))</f>
        <v/>
      </c>
      <c r="G614" s="11" t="str">
        <f aca="false">IF(OR(E614="",E614="!!!"),"",IF(OR(J614=0,AND(J614=1,K614=1),AND(J614=1,I614="SBJ"),AND(J614=1,I614=0)),"?IN_FOCUS",IF(J614&lt;=2,"?ACTIVATED",IF(J614&lt;&gt;"","?FAMILIAR",IF(F614="NEW",IF(ISNA(VLOOKUP(E614,#REF!,1,FALSE())),"?TYPE_IDENTIFIABLE","?REFERENTIAL"),"_")))))</f>
        <v/>
      </c>
      <c r="H614" s="12" t="str">
        <f aca="false">IF(J614&lt;&gt;1,"",IF(I614="SBJ","CB","?"))</f>
        <v/>
      </c>
      <c r="I614" s="13" t="str">
        <f aca="false">IF(OR(E614="",E614="!!!",F614="NEW"),"",INDEX(B$2:B613,-1+SUMPRODUCT(MAX(ROW(E$2:E613)*(E614=E$2:E613)))))</f>
        <v/>
      </c>
      <c r="J614" s="14" t="str">
        <f aca="true">IF(OR(E614="",E614="!!!",F614="NEW"),"",COUNTBLANK(OFFSET(A$1,,,SUMPRODUCT(MAX(ROW(E$2:E614)*(E614=E$2:E614)))))-COUNTBLANK(OFFSET(A$1,,,SUMPRODUCT(MAX(ROW(E$1:E613)*(E614=E$1:E613))))))</f>
        <v/>
      </c>
      <c r="K614" s="14" t="str">
        <f aca="false">IF(OR(E614="",E614="!!!",F614="NEW"),"",INDEX(J$1:J613,SUMPRODUCT(MAX(ROW(E$1:E613)*(E614=E$1:E613)))))</f>
        <v/>
      </c>
      <c r="L614" s="15"/>
    </row>
    <row r="615" customFormat="false" ht="12.75" hidden="false" customHeight="false" outlineLevel="0" collapsed="false">
      <c r="A615" s="0" t="s">
        <v>374</v>
      </c>
      <c r="E615" s="9" t="str">
        <f aca="false">IF(D615="?OLD","!!!","")</f>
        <v/>
      </c>
      <c r="F615" s="10" t="str">
        <f aca="false">IF(OR(E615="",E615="!!!"),"",IF(NOT(ISNA(VLOOKUP(E615,E$1:E614,1,FALSE()))),"OLD",IF(AND(E615&lt;&gt;"",E615&lt;&gt;"!!!"),"NEW","")))</f>
        <v/>
      </c>
      <c r="G615" s="11" t="str">
        <f aca="false">IF(OR(E615="",E615="!!!"),"",IF(OR(J615=0,AND(J615=1,K615=1),AND(J615=1,I615="SBJ"),AND(J615=1,I615=0)),"?IN_FOCUS",IF(J615&lt;=2,"?ACTIVATED",IF(J615&lt;&gt;"","?FAMILIAR",IF(F615="NEW",IF(ISNA(VLOOKUP(E615,#REF!,1,FALSE())),"?TYPE_IDENTIFIABLE","?REFERENTIAL"),"_")))))</f>
        <v/>
      </c>
      <c r="H615" s="12" t="str">
        <f aca="false">IF(J615&lt;&gt;1,"",IF(I615="SBJ","CB","?"))</f>
        <v/>
      </c>
      <c r="I615" s="13" t="str">
        <f aca="false">IF(OR(E615="",E615="!!!",F615="NEW"),"",INDEX(B$2:B614,-1+SUMPRODUCT(MAX(ROW(E$2:E614)*(E615=E$2:E614)))))</f>
        <v/>
      </c>
      <c r="J615" s="14" t="str">
        <f aca="true">IF(OR(E615="",E615="!!!",F615="NEW"),"",COUNTBLANK(OFFSET(A$1,,,SUMPRODUCT(MAX(ROW(E$2:E615)*(E615=E$2:E615)))))-COUNTBLANK(OFFSET(A$1,,,SUMPRODUCT(MAX(ROW(E$1:E614)*(E615=E$1:E614))))))</f>
        <v/>
      </c>
      <c r="K615" s="14" t="str">
        <f aca="false">IF(OR(E615="",E615="!!!",F615="NEW"),"",INDEX(J$1:J614,SUMPRODUCT(MAX(ROW(E$1:E614)*(E615=E$1:E614)))))</f>
        <v/>
      </c>
      <c r="L615" s="15"/>
    </row>
    <row r="616" customFormat="false" ht="12.75" hidden="false" customHeight="false" outlineLevel="0" collapsed="false">
      <c r="A616" s="0" t="s">
        <v>375</v>
      </c>
      <c r="B616" s="0" t="s">
        <v>37</v>
      </c>
      <c r="C616" s="0" t="s">
        <v>43</v>
      </c>
      <c r="E616" s="9" t="str">
        <f aca="false">IF(D616="?OLD","!!!","")</f>
        <v/>
      </c>
      <c r="F616" s="10" t="str">
        <f aca="false">IF(OR(E616="",E616="!!!"),"",IF(NOT(ISNA(VLOOKUP(E616,E$1:E615,1,FALSE()))),"OLD",IF(AND(E616&lt;&gt;"",E616&lt;&gt;"!!!"),"NEW","")))</f>
        <v/>
      </c>
      <c r="G616" s="11" t="str">
        <f aca="false">IF(OR(E616="",E616="!!!"),"",IF(OR(J616=0,AND(J616=1,K616=1),AND(J616=1,I616="SBJ"),AND(J616=1,I616=0)),"?IN_FOCUS",IF(J616&lt;=2,"?ACTIVATED",IF(J616&lt;&gt;"","?FAMILIAR",IF(F616="NEW",IF(ISNA(VLOOKUP(E616,#REF!,1,FALSE())),"?TYPE_IDENTIFIABLE","?REFERENTIAL"),"_")))))</f>
        <v/>
      </c>
      <c r="H616" s="12" t="str">
        <f aca="false">IF(J616&lt;&gt;1,"",IF(I616="SBJ","CB","?"))</f>
        <v/>
      </c>
      <c r="I616" s="13" t="str">
        <f aca="false">IF(OR(E616="",E616="!!!",F616="NEW"),"",INDEX(B$2:B615,-1+SUMPRODUCT(MAX(ROW(E$2:E615)*(E616=E$2:E615)))))</f>
        <v/>
      </c>
      <c r="J616" s="14" t="str">
        <f aca="true">IF(OR(E616="",E616="!!!",F616="NEW"),"",COUNTBLANK(OFFSET(A$1,,,SUMPRODUCT(MAX(ROW(E$2:E616)*(E616=E$2:E616)))))-COUNTBLANK(OFFSET(A$1,,,SUMPRODUCT(MAX(ROW(E$1:E615)*(E616=E$1:E615))))))</f>
        <v/>
      </c>
      <c r="K616" s="14" t="str">
        <f aca="false">IF(OR(E616="",E616="!!!",F616="NEW"),"",INDEX(J$1:J615,SUMPRODUCT(MAX(ROW(E$1:E615)*(E616=E$1:E615)))))</f>
        <v/>
      </c>
      <c r="L616" s="15"/>
    </row>
    <row r="617" customFormat="false" ht="12.75" hidden="false" customHeight="false" outlineLevel="0" collapsed="false">
      <c r="A617" s="0" t="s">
        <v>73</v>
      </c>
      <c r="E617" s="9" t="str">
        <f aca="false">IF(D617="?OLD","!!!","")</f>
        <v/>
      </c>
      <c r="F617" s="10" t="str">
        <f aca="false">IF(OR(E617="",E617="!!!"),"",IF(NOT(ISNA(VLOOKUP(E617,E$1:E616,1,FALSE()))),"OLD",IF(AND(E617&lt;&gt;"",E617&lt;&gt;"!!!"),"NEW","")))</f>
        <v/>
      </c>
      <c r="G617" s="11" t="str">
        <f aca="false">IF(OR(E617="",E617="!!!"),"",IF(OR(J617=0,AND(J617=1,K617=1),AND(J617=1,I617="SBJ"),AND(J617=1,I617=0)),"?IN_FOCUS",IF(J617&lt;=2,"?ACTIVATED",IF(J617&lt;&gt;"","?FAMILIAR",IF(F617="NEW",IF(ISNA(VLOOKUP(E617,#REF!,1,FALSE())),"?TYPE_IDENTIFIABLE","?REFERENTIAL"),"_")))))</f>
        <v/>
      </c>
      <c r="H617" s="12" t="str">
        <f aca="false">IF(J617&lt;&gt;1,"",IF(I617="SBJ","CB","?"))</f>
        <v/>
      </c>
      <c r="I617" s="13" t="str">
        <f aca="false">IF(OR(E617="",E617="!!!",F617="NEW"),"",INDEX(B$2:B616,-1+SUMPRODUCT(MAX(ROW(E$2:E616)*(E617=E$2:E616)))))</f>
        <v/>
      </c>
      <c r="J617" s="14" t="str">
        <f aca="true">IF(OR(E617="",E617="!!!",F617="NEW"),"",COUNTBLANK(OFFSET(A$1,,,SUMPRODUCT(MAX(ROW(E$2:E617)*(E617=E$2:E617)))))-COUNTBLANK(OFFSET(A$1,,,SUMPRODUCT(MAX(ROW(E$1:E616)*(E617=E$1:E616))))))</f>
        <v/>
      </c>
      <c r="K617" s="14" t="str">
        <f aca="false">IF(OR(E617="",E617="!!!",F617="NEW"),"",INDEX(J$1:J616,SUMPRODUCT(MAX(ROW(E$1:E616)*(E617=E$1:E616)))))</f>
        <v/>
      </c>
      <c r="L617" s="15"/>
    </row>
    <row r="618" customFormat="false" ht="12.75" hidden="false" customHeight="false" outlineLevel="0" collapsed="false">
      <c r="A618" s="0" t="s">
        <v>262</v>
      </c>
      <c r="E618" s="9" t="str">
        <f aca="false">IF(D618="?OLD","!!!","")</f>
        <v/>
      </c>
      <c r="F618" s="10" t="str">
        <f aca="false">IF(OR(E618="",E618="!!!"),"",IF(NOT(ISNA(VLOOKUP(E618,E$1:E617,1,FALSE()))),"OLD",IF(AND(E618&lt;&gt;"",E618&lt;&gt;"!!!"),"NEW","")))</f>
        <v/>
      </c>
      <c r="G618" s="11" t="str">
        <f aca="false">IF(OR(E618="",E618="!!!"),"",IF(OR(J618=0,AND(J618=1,K618=1),AND(J618=1,I618="SBJ"),AND(J618=1,I618=0)),"?IN_FOCUS",IF(J618&lt;=2,"?ACTIVATED",IF(J618&lt;&gt;"","?FAMILIAR",IF(F618="NEW",IF(ISNA(VLOOKUP(E618,#REF!,1,FALSE())),"?TYPE_IDENTIFIABLE","?REFERENTIAL"),"_")))))</f>
        <v/>
      </c>
      <c r="H618" s="12" t="str">
        <f aca="false">IF(J618&lt;&gt;1,"",IF(I618="SBJ","CB","?"))</f>
        <v/>
      </c>
      <c r="I618" s="13" t="str">
        <f aca="false">IF(OR(E618="",E618="!!!",F618="NEW"),"",INDEX(B$2:B617,-1+SUMPRODUCT(MAX(ROW(E$2:E617)*(E618=E$2:E617)))))</f>
        <v/>
      </c>
      <c r="J618" s="14" t="str">
        <f aca="true">IF(OR(E618="",E618="!!!",F618="NEW"),"",COUNTBLANK(OFFSET(A$1,,,SUMPRODUCT(MAX(ROW(E$2:E618)*(E618=E$2:E618)))))-COUNTBLANK(OFFSET(A$1,,,SUMPRODUCT(MAX(ROW(E$1:E617)*(E618=E$1:E617))))))</f>
        <v/>
      </c>
      <c r="K618" s="14" t="str">
        <f aca="false">IF(OR(E618="",E618="!!!",F618="NEW"),"",INDEX(J$1:J617,SUMPRODUCT(MAX(ROW(E$1:E617)*(E618=E$1:E617)))))</f>
        <v/>
      </c>
      <c r="L618" s="15"/>
    </row>
    <row r="619" customFormat="false" ht="12.75" hidden="false" customHeight="false" outlineLevel="0" collapsed="false">
      <c r="E619" s="9" t="str">
        <f aca="false">IF(D619="?OLD","!!!","")</f>
        <v/>
      </c>
      <c r="F619" s="10" t="str">
        <f aca="false">IF(OR(E619="",E619="!!!"),"",IF(NOT(ISNA(VLOOKUP(E619,E$1:E618,1,FALSE()))),"OLD",IF(AND(E619&lt;&gt;"",E619&lt;&gt;"!!!"),"NEW","")))</f>
        <v/>
      </c>
      <c r="G619" s="11" t="str">
        <f aca="false">IF(OR(E619="",E619="!!!"),"",IF(OR(J619=0,AND(J619=1,K619=1),AND(J619=1,I619="SBJ"),AND(J619=1,I619=0)),"?IN_FOCUS",IF(J619&lt;=2,"?ACTIVATED",IF(J619&lt;&gt;"","?FAMILIAR",IF(F619="NEW",IF(ISNA(VLOOKUP(E619,#REF!,1,FALSE())),"?TYPE_IDENTIFIABLE","?REFERENTIAL"),"_")))))</f>
        <v/>
      </c>
      <c r="H619" s="12" t="str">
        <f aca="false">IF(J619&lt;&gt;1,"",IF(I619="SBJ","CB","?"))</f>
        <v/>
      </c>
      <c r="I619" s="13" t="str">
        <f aca="false">IF(OR(E619="",E619="!!!",F619="NEW"),"",INDEX(B$2:B618,-1+SUMPRODUCT(MAX(ROW(E$2:E618)*(E619=E$2:E618)))))</f>
        <v/>
      </c>
      <c r="J619" s="14" t="str">
        <f aca="true">IF(OR(E619="",E619="!!!",F619="NEW"),"",COUNTBLANK(OFFSET(A$1,,,SUMPRODUCT(MAX(ROW(E$2:E619)*(E619=E$2:E619)))))-COUNTBLANK(OFFSET(A$1,,,SUMPRODUCT(MAX(ROW(E$1:E618)*(E619=E$1:E618))))))</f>
        <v/>
      </c>
      <c r="K619" s="14" t="str">
        <f aca="false">IF(OR(E619="",E619="!!!",F619="NEW"),"",INDEX(J$1:J618,SUMPRODUCT(MAX(ROW(E$1:E618)*(E619=E$1:E618)))))</f>
        <v/>
      </c>
      <c r="L619" s="15"/>
    </row>
    <row r="620" customFormat="false" ht="12.75" hidden="false" customHeight="false" outlineLevel="0" collapsed="false">
      <c r="A620" s="0" t="s">
        <v>260</v>
      </c>
      <c r="E620" s="9" t="str">
        <f aca="false">IF(D620="?OLD","!!!","")</f>
        <v/>
      </c>
      <c r="F620" s="10" t="str">
        <f aca="false">IF(OR(E620="",E620="!!!"),"",IF(NOT(ISNA(VLOOKUP(E620,E$1:E619,1,FALSE()))),"OLD",IF(AND(E620&lt;&gt;"",E620&lt;&gt;"!!!"),"NEW","")))</f>
        <v/>
      </c>
      <c r="G620" s="11" t="str">
        <f aca="false">IF(OR(E620="",E620="!!!"),"",IF(OR(J620=0,AND(J620=1,K620=1),AND(J620=1,I620="SBJ"),AND(J620=1,I620=0)),"?IN_FOCUS",IF(J620&lt;=2,"?ACTIVATED",IF(J620&lt;&gt;"","?FAMILIAR",IF(F620="NEW",IF(ISNA(VLOOKUP(E620,#REF!,1,FALSE())),"?TYPE_IDENTIFIABLE","?REFERENTIAL"),"_")))))</f>
        <v/>
      </c>
      <c r="H620" s="12" t="str">
        <f aca="false">IF(J620&lt;&gt;1,"",IF(I620="SBJ","CB","?"))</f>
        <v/>
      </c>
      <c r="I620" s="13" t="str">
        <f aca="false">IF(OR(E620="",E620="!!!",F620="NEW"),"",INDEX(B$2:B619,-1+SUMPRODUCT(MAX(ROW(E$2:E619)*(E620=E$2:E619)))))</f>
        <v/>
      </c>
      <c r="J620" s="14" t="str">
        <f aca="true">IF(OR(E620="",E620="!!!",F620="NEW"),"",COUNTBLANK(OFFSET(A$1,,,SUMPRODUCT(MAX(ROW(E$2:E620)*(E620=E$2:E620)))))-COUNTBLANK(OFFSET(A$1,,,SUMPRODUCT(MAX(ROW(E$1:E619)*(E620=E$1:E619))))))</f>
        <v/>
      </c>
      <c r="K620" s="14" t="str">
        <f aca="false">IF(OR(E620="",E620="!!!",F620="NEW"),"",INDEX(J$1:J619,SUMPRODUCT(MAX(ROW(E$1:E619)*(E620=E$1:E619)))))</f>
        <v/>
      </c>
      <c r="L620" s="15"/>
    </row>
    <row r="621" customFormat="false" ht="12.75" hidden="false" customHeight="false" outlineLevel="0" collapsed="false">
      <c r="A621" s="0" t="s">
        <v>376</v>
      </c>
      <c r="E621" s="9" t="str">
        <f aca="false">IF(D621="?OLD","!!!","")</f>
        <v/>
      </c>
      <c r="F621" s="10" t="str">
        <f aca="false">IF(OR(E621="",E621="!!!"),"",IF(NOT(ISNA(VLOOKUP(E621,E$1:E620,1,FALSE()))),"OLD",IF(AND(E621&lt;&gt;"",E621&lt;&gt;"!!!"),"NEW","")))</f>
        <v/>
      </c>
      <c r="G621" s="11" t="str">
        <f aca="false">IF(OR(E621="",E621="!!!"),"",IF(OR(J621=0,AND(J621=1,K621=1),AND(J621=1,I621="SBJ"),AND(J621=1,I621=0)),"?IN_FOCUS",IF(J621&lt;=2,"?ACTIVATED",IF(J621&lt;&gt;"","?FAMILIAR",IF(F621="NEW",IF(ISNA(VLOOKUP(E621,#REF!,1,FALSE())),"?TYPE_IDENTIFIABLE","?REFERENTIAL"),"_")))))</f>
        <v/>
      </c>
      <c r="H621" s="12" t="str">
        <f aca="false">IF(J621&lt;&gt;1,"",IF(I621="SBJ","CB","?"))</f>
        <v/>
      </c>
      <c r="I621" s="13" t="str">
        <f aca="false">IF(OR(E621="",E621="!!!",F621="NEW"),"",INDEX(B$2:B620,-1+SUMPRODUCT(MAX(ROW(E$2:E620)*(E621=E$2:E620)))))</f>
        <v/>
      </c>
      <c r="J621" s="14" t="str">
        <f aca="true">IF(OR(E621="",E621="!!!",F621="NEW"),"",COUNTBLANK(OFFSET(A$1,,,SUMPRODUCT(MAX(ROW(E$2:E621)*(E621=E$2:E621)))))-COUNTBLANK(OFFSET(A$1,,,SUMPRODUCT(MAX(ROW(E$1:E620)*(E621=E$1:E620))))))</f>
        <v/>
      </c>
      <c r="K621" s="14" t="str">
        <f aca="false">IF(OR(E621="",E621="!!!",F621="NEW"),"",INDEX(J$1:J620,SUMPRODUCT(MAX(ROW(E$1:E620)*(E621=E$1:E620)))))</f>
        <v/>
      </c>
      <c r="L621" s="15"/>
    </row>
    <row r="622" customFormat="false" ht="12.75" hidden="false" customHeight="false" outlineLevel="0" collapsed="false">
      <c r="A622" s="0" t="s">
        <v>262</v>
      </c>
      <c r="E622" s="9" t="str">
        <f aca="false">IF(D622="?OLD","!!!","")</f>
        <v/>
      </c>
      <c r="F622" s="10" t="str">
        <f aca="false">IF(OR(E622="",E622="!!!"),"",IF(NOT(ISNA(VLOOKUP(E622,E$1:E621,1,FALSE()))),"OLD",IF(AND(E622&lt;&gt;"",E622&lt;&gt;"!!!"),"NEW","")))</f>
        <v/>
      </c>
      <c r="G622" s="11" t="str">
        <f aca="false">IF(OR(E622="",E622="!!!"),"",IF(OR(J622=0,AND(J622=1,K622=1),AND(J622=1,I622="SBJ"),AND(J622=1,I622=0)),"?IN_FOCUS",IF(J622&lt;=2,"?ACTIVATED",IF(J622&lt;&gt;"","?FAMILIAR",IF(F622="NEW",IF(ISNA(VLOOKUP(E622,#REF!,1,FALSE())),"?TYPE_IDENTIFIABLE","?REFERENTIAL"),"_")))))</f>
        <v/>
      </c>
      <c r="H622" s="12" t="str">
        <f aca="false">IF(J622&lt;&gt;1,"",IF(I622="SBJ","CB","?"))</f>
        <v/>
      </c>
      <c r="I622" s="13" t="str">
        <f aca="false">IF(OR(E622="",E622="!!!",F622="NEW"),"",INDEX(B$2:B621,-1+SUMPRODUCT(MAX(ROW(E$2:E621)*(E622=E$2:E621)))))</f>
        <v/>
      </c>
      <c r="J622" s="14" t="str">
        <f aca="true">IF(OR(E622="",E622="!!!",F622="NEW"),"",COUNTBLANK(OFFSET(A$1,,,SUMPRODUCT(MAX(ROW(E$2:E622)*(E622=E$2:E622)))))-COUNTBLANK(OFFSET(A$1,,,SUMPRODUCT(MAX(ROW(E$1:E621)*(E622=E$1:E621))))))</f>
        <v/>
      </c>
      <c r="K622" s="14" t="str">
        <f aca="false">IF(OR(E622="",E622="!!!",F622="NEW"),"",INDEX(J$1:J621,SUMPRODUCT(MAX(ROW(E$1:E621)*(E622=E$1:E621)))))</f>
        <v/>
      </c>
      <c r="L622" s="15"/>
    </row>
    <row r="623" customFormat="false" ht="12.75" hidden="false" customHeight="false" outlineLevel="0" collapsed="false">
      <c r="A623" s="0" t="s">
        <v>238</v>
      </c>
      <c r="B623" s="0" t="s">
        <v>14</v>
      </c>
      <c r="C623" s="0" t="s">
        <v>38</v>
      </c>
      <c r="D623" s="0" t="s">
        <v>29</v>
      </c>
      <c r="E623" s="9" t="str">
        <f aca="false">IF(D623="?OLD","!!!","")</f>
        <v>!!!</v>
      </c>
      <c r="F623" s="10" t="str">
        <f aca="false">IF(OR(E623="",E623="!!!"),"",IF(NOT(ISNA(VLOOKUP(E623,E$1:E622,1,FALSE()))),"OLD",IF(AND(E623&lt;&gt;"",E623&lt;&gt;"!!!"),"NEW","")))</f>
        <v/>
      </c>
      <c r="G623" s="11" t="str">
        <f aca="false">IF(OR(E623="",E623="!!!"),"",IF(OR(J623=0,AND(J623=1,K623=1),AND(J623=1,I623="SBJ"),AND(J623=1,I623=0)),"?IN_FOCUS",IF(J623&lt;=2,"?ACTIVATED",IF(J623&lt;&gt;"","?FAMILIAR",IF(F623="NEW",IF(ISNA(VLOOKUP(E623,#REF!,1,FALSE())),"?TYPE_IDENTIFIABLE","?REFERENTIAL"),"_")))))</f>
        <v/>
      </c>
      <c r="H623" s="12" t="str">
        <f aca="false">IF(J623&lt;&gt;1,"",IF(I623="SBJ","CB","?"))</f>
        <v/>
      </c>
      <c r="I623" s="13" t="str">
        <f aca="false">IF(OR(E623="",E623="!!!",F623="NEW"),"",INDEX(B$2:B622,-1+SUMPRODUCT(MAX(ROW(E$2:E622)*(E623=E$2:E622)))))</f>
        <v/>
      </c>
      <c r="J623" s="14" t="str">
        <f aca="true">IF(OR(E623="",E623="!!!",F623="NEW"),"",COUNTBLANK(OFFSET(A$1,,,SUMPRODUCT(MAX(ROW(E$2:E623)*(E623=E$2:E623)))))-COUNTBLANK(OFFSET(A$1,,,SUMPRODUCT(MAX(ROW(E$1:E622)*(E623=E$1:E622))))))</f>
        <v/>
      </c>
      <c r="K623" s="14" t="str">
        <f aca="false">IF(OR(E623="",E623="!!!",F623="NEW"),"",INDEX(J$1:J622,SUMPRODUCT(MAX(ROW(E$1:E622)*(E623=E$1:E622)))))</f>
        <v/>
      </c>
      <c r="L623" s="15"/>
    </row>
    <row r="624" customFormat="false" ht="12.75" hidden="false" customHeight="false" outlineLevel="0" collapsed="false">
      <c r="A624" s="0" t="s">
        <v>294</v>
      </c>
      <c r="E624" s="9" t="str">
        <f aca="false">IF(D624="?OLD","!!!","")</f>
        <v/>
      </c>
      <c r="F624" s="10" t="str">
        <f aca="false">IF(OR(E624="",E624="!!!"),"",IF(NOT(ISNA(VLOOKUP(E624,E$1:E623,1,FALSE()))),"OLD",IF(AND(E624&lt;&gt;"",E624&lt;&gt;"!!!"),"NEW","")))</f>
        <v/>
      </c>
      <c r="G624" s="11" t="str">
        <f aca="false">IF(OR(E624="",E624="!!!"),"",IF(OR(J624=0,AND(J624=1,K624=1),AND(J624=1,I624="SBJ"),AND(J624=1,I624=0)),"?IN_FOCUS",IF(J624&lt;=2,"?ACTIVATED",IF(J624&lt;&gt;"","?FAMILIAR",IF(F624="NEW",IF(ISNA(VLOOKUP(E624,#REF!,1,FALSE())),"?TYPE_IDENTIFIABLE","?REFERENTIAL"),"_")))))</f>
        <v/>
      </c>
      <c r="H624" s="12" t="str">
        <f aca="false">IF(J624&lt;&gt;1,"",IF(I624="SBJ","CB","?"))</f>
        <v/>
      </c>
      <c r="I624" s="13" t="str">
        <f aca="false">IF(OR(E624="",E624="!!!",F624="NEW"),"",INDEX(B$2:B623,-1+SUMPRODUCT(MAX(ROW(E$2:E623)*(E624=E$2:E623)))))</f>
        <v/>
      </c>
      <c r="J624" s="14" t="str">
        <f aca="true">IF(OR(E624="",E624="!!!",F624="NEW"),"",COUNTBLANK(OFFSET(A$1,,,SUMPRODUCT(MAX(ROW(E$2:E624)*(E624=E$2:E624)))))-COUNTBLANK(OFFSET(A$1,,,SUMPRODUCT(MAX(ROW(E$1:E623)*(E624=E$1:E623))))))</f>
        <v/>
      </c>
      <c r="K624" s="14" t="str">
        <f aca="false">IF(OR(E624="",E624="!!!",F624="NEW"),"",INDEX(J$1:J623,SUMPRODUCT(MAX(ROW(E$1:E623)*(E624=E$1:E623)))))</f>
        <v/>
      </c>
      <c r="L624" s="15"/>
    </row>
    <row r="625" customFormat="false" ht="12.75" hidden="false" customHeight="false" outlineLevel="0" collapsed="false">
      <c r="A625" s="0" t="s">
        <v>51</v>
      </c>
      <c r="E625" s="9" t="str">
        <f aca="false">IF(D625="?OLD","!!!","")</f>
        <v/>
      </c>
      <c r="F625" s="10" t="str">
        <f aca="false">IF(OR(E625="",E625="!!!"),"",IF(NOT(ISNA(VLOOKUP(E625,E$1:E624,1,FALSE()))),"OLD",IF(AND(E625&lt;&gt;"",E625&lt;&gt;"!!!"),"NEW","")))</f>
        <v/>
      </c>
      <c r="G625" s="11" t="str">
        <f aca="false">IF(OR(E625="",E625="!!!"),"",IF(OR(J625=0,AND(J625=1,K625=1),AND(J625=1,I625="SBJ"),AND(J625=1,I625=0)),"?IN_FOCUS",IF(J625&lt;=2,"?ACTIVATED",IF(J625&lt;&gt;"","?FAMILIAR",IF(F625="NEW",IF(ISNA(VLOOKUP(E625,#REF!,1,FALSE())),"?TYPE_IDENTIFIABLE","?REFERENTIAL"),"_")))))</f>
        <v/>
      </c>
      <c r="H625" s="12" t="str">
        <f aca="false">IF(J625&lt;&gt;1,"",IF(I625="SBJ","CB","?"))</f>
        <v/>
      </c>
      <c r="I625" s="13" t="str">
        <f aca="false">IF(OR(E625="",E625="!!!",F625="NEW"),"",INDEX(B$2:B624,-1+SUMPRODUCT(MAX(ROW(E$2:E624)*(E625=E$2:E624)))))</f>
        <v/>
      </c>
      <c r="J625" s="14" t="str">
        <f aca="true">IF(OR(E625="",E625="!!!",F625="NEW"),"",COUNTBLANK(OFFSET(A$1,,,SUMPRODUCT(MAX(ROW(E$2:E625)*(E625=E$2:E625)))))-COUNTBLANK(OFFSET(A$1,,,SUMPRODUCT(MAX(ROW(E$1:E624)*(E625=E$1:E624))))))</f>
        <v/>
      </c>
      <c r="K625" s="14" t="str">
        <f aca="false">IF(OR(E625="",E625="!!!",F625="NEW"),"",INDEX(J$1:J624,SUMPRODUCT(MAX(ROW(E$1:E624)*(E625=E$1:E624)))))</f>
        <v/>
      </c>
      <c r="L625" s="15"/>
    </row>
    <row r="626" customFormat="false" ht="12.75" hidden="false" customHeight="false" outlineLevel="0" collapsed="false">
      <c r="A626" s="0" t="s">
        <v>377</v>
      </c>
      <c r="E626" s="9" t="str">
        <f aca="false">IF(D626="?OLD","!!!","")</f>
        <v/>
      </c>
      <c r="F626" s="10" t="str">
        <f aca="false">IF(OR(E626="",E626="!!!"),"",IF(NOT(ISNA(VLOOKUP(E626,E$1:E625,1,FALSE()))),"OLD",IF(AND(E626&lt;&gt;"",E626&lt;&gt;"!!!"),"NEW","")))</f>
        <v/>
      </c>
      <c r="G626" s="11" t="str">
        <f aca="false">IF(OR(E626="",E626="!!!"),"",IF(OR(J626=0,AND(J626=1,K626=1),AND(J626=1,I626="SBJ"),AND(J626=1,I626=0)),"?IN_FOCUS",IF(J626&lt;=2,"?ACTIVATED",IF(J626&lt;&gt;"","?FAMILIAR",IF(F626="NEW",IF(ISNA(VLOOKUP(E626,#REF!,1,FALSE())),"?TYPE_IDENTIFIABLE","?REFERENTIAL"),"_")))))</f>
        <v/>
      </c>
      <c r="H626" s="12" t="str">
        <f aca="false">IF(J626&lt;&gt;1,"",IF(I626="SBJ","CB","?"))</f>
        <v/>
      </c>
      <c r="I626" s="13" t="str">
        <f aca="false">IF(OR(E626="",E626="!!!",F626="NEW"),"",INDEX(B$2:B625,-1+SUMPRODUCT(MAX(ROW(E$2:E625)*(E626=E$2:E625)))))</f>
        <v/>
      </c>
      <c r="J626" s="14" t="str">
        <f aca="true">IF(OR(E626="",E626="!!!",F626="NEW"),"",COUNTBLANK(OFFSET(A$1,,,SUMPRODUCT(MAX(ROW(E$2:E626)*(E626=E$2:E626)))))-COUNTBLANK(OFFSET(A$1,,,SUMPRODUCT(MAX(ROW(E$1:E625)*(E626=E$1:E625))))))</f>
        <v/>
      </c>
      <c r="K626" s="14" t="str">
        <f aca="false">IF(OR(E626="",E626="!!!",F626="NEW"),"",INDEX(J$1:J625,SUMPRODUCT(MAX(ROW(E$1:E625)*(E626=E$1:E625)))))</f>
        <v/>
      </c>
      <c r="L626" s="15"/>
    </row>
    <row r="627" customFormat="false" ht="12.75" hidden="false" customHeight="false" outlineLevel="0" collapsed="false">
      <c r="A627" s="0" t="s">
        <v>378</v>
      </c>
      <c r="E627" s="9" t="str">
        <f aca="false">IF(D627="?OLD","!!!","")</f>
        <v/>
      </c>
      <c r="F627" s="10" t="str">
        <f aca="false">IF(OR(E627="",E627="!!!"),"",IF(NOT(ISNA(VLOOKUP(E627,E$1:E626,1,FALSE()))),"OLD",IF(AND(E627&lt;&gt;"",E627&lt;&gt;"!!!"),"NEW","")))</f>
        <v/>
      </c>
      <c r="G627" s="11" t="str">
        <f aca="false">IF(OR(E627="",E627="!!!"),"",IF(OR(J627=0,AND(J627=1,K627=1),AND(J627=1,I627="SBJ"),AND(J627=1,I627=0)),"?IN_FOCUS",IF(J627&lt;=2,"?ACTIVATED",IF(J627&lt;&gt;"","?FAMILIAR",IF(F627="NEW",IF(ISNA(VLOOKUP(E627,#REF!,1,FALSE())),"?TYPE_IDENTIFIABLE","?REFERENTIAL"),"_")))))</f>
        <v/>
      </c>
      <c r="H627" s="12" t="str">
        <f aca="false">IF(J627&lt;&gt;1,"",IF(I627="SBJ","CB","?"))</f>
        <v/>
      </c>
      <c r="I627" s="13" t="str">
        <f aca="false">IF(OR(E627="",E627="!!!",F627="NEW"),"",INDEX(B$2:B626,-1+SUMPRODUCT(MAX(ROW(E$2:E626)*(E627=E$2:E626)))))</f>
        <v/>
      </c>
      <c r="J627" s="14" t="str">
        <f aca="true">IF(OR(E627="",E627="!!!",F627="NEW"),"",COUNTBLANK(OFFSET(A$1,,,SUMPRODUCT(MAX(ROW(E$2:E627)*(E627=E$2:E627)))))-COUNTBLANK(OFFSET(A$1,,,SUMPRODUCT(MAX(ROW(E$1:E626)*(E627=E$1:E626))))))</f>
        <v/>
      </c>
      <c r="K627" s="14" t="str">
        <f aca="false">IF(OR(E627="",E627="!!!",F627="NEW"),"",INDEX(J$1:J626,SUMPRODUCT(MAX(ROW(E$1:E626)*(E627=E$1:E626)))))</f>
        <v/>
      </c>
      <c r="L627" s="15"/>
    </row>
    <row r="628" customFormat="false" ht="12.75" hidden="false" customHeight="false" outlineLevel="0" collapsed="false">
      <c r="A628" s="0" t="s">
        <v>269</v>
      </c>
      <c r="E628" s="9" t="str">
        <f aca="false">IF(D628="?OLD","!!!","")</f>
        <v/>
      </c>
      <c r="F628" s="10" t="str">
        <f aca="false">IF(OR(E628="",E628="!!!"),"",IF(NOT(ISNA(VLOOKUP(E628,E$1:E627,1,FALSE()))),"OLD",IF(AND(E628&lt;&gt;"",E628&lt;&gt;"!!!"),"NEW","")))</f>
        <v/>
      </c>
      <c r="G628" s="11" t="str">
        <f aca="false">IF(OR(E628="",E628="!!!"),"",IF(OR(J628=0,AND(J628=1,K628=1),AND(J628=1,I628="SBJ"),AND(J628=1,I628=0)),"?IN_FOCUS",IF(J628&lt;=2,"?ACTIVATED",IF(J628&lt;&gt;"","?FAMILIAR",IF(F628="NEW",IF(ISNA(VLOOKUP(E628,#REF!,1,FALSE())),"?TYPE_IDENTIFIABLE","?REFERENTIAL"),"_")))))</f>
        <v/>
      </c>
      <c r="H628" s="12" t="str">
        <f aca="false">IF(J628&lt;&gt;1,"",IF(I628="SBJ","CB","?"))</f>
        <v/>
      </c>
      <c r="I628" s="13" t="str">
        <f aca="false">IF(OR(E628="",E628="!!!",F628="NEW"),"",INDEX(B$2:B627,-1+SUMPRODUCT(MAX(ROW(E$2:E627)*(E628=E$2:E627)))))</f>
        <v/>
      </c>
      <c r="J628" s="14" t="str">
        <f aca="true">IF(OR(E628="",E628="!!!",F628="NEW"),"",COUNTBLANK(OFFSET(A$1,,,SUMPRODUCT(MAX(ROW(E$2:E628)*(E628=E$2:E628)))))-COUNTBLANK(OFFSET(A$1,,,SUMPRODUCT(MAX(ROW(E$1:E627)*(E628=E$1:E627))))))</f>
        <v/>
      </c>
      <c r="K628" s="14" t="str">
        <f aca="false">IF(OR(E628="",E628="!!!",F628="NEW"),"",INDEX(J$1:J627,SUMPRODUCT(MAX(ROW(E$1:E627)*(E628=E$1:E627)))))</f>
        <v/>
      </c>
      <c r="L628" s="15"/>
    </row>
    <row r="629" customFormat="false" ht="12.75" hidden="false" customHeight="false" outlineLevel="0" collapsed="false">
      <c r="A629" s="0" t="s">
        <v>262</v>
      </c>
      <c r="E629" s="9" t="str">
        <f aca="false">IF(D629="?OLD","!!!","")</f>
        <v/>
      </c>
      <c r="F629" s="10" t="str">
        <f aca="false">IF(OR(E629="",E629="!!!"),"",IF(NOT(ISNA(VLOOKUP(E629,E$1:E628,1,FALSE()))),"OLD",IF(AND(E629&lt;&gt;"",E629&lt;&gt;"!!!"),"NEW","")))</f>
        <v/>
      </c>
      <c r="G629" s="11" t="str">
        <f aca="false">IF(OR(E629="",E629="!!!"),"",IF(OR(J629=0,AND(J629=1,K629=1),AND(J629=1,I629="SBJ"),AND(J629=1,I629=0)),"?IN_FOCUS",IF(J629&lt;=2,"?ACTIVATED",IF(J629&lt;&gt;"","?FAMILIAR",IF(F629="NEW",IF(ISNA(VLOOKUP(E629,#REF!,1,FALSE())),"?TYPE_IDENTIFIABLE","?REFERENTIAL"),"_")))))</f>
        <v/>
      </c>
      <c r="H629" s="12" t="str">
        <f aca="false">IF(J629&lt;&gt;1,"",IF(I629="SBJ","CB","?"))</f>
        <v/>
      </c>
      <c r="I629" s="13" t="str">
        <f aca="false">IF(OR(E629="",E629="!!!",F629="NEW"),"",INDEX(B$2:B628,-1+SUMPRODUCT(MAX(ROW(E$2:E628)*(E629=E$2:E628)))))</f>
        <v/>
      </c>
      <c r="J629" s="14" t="str">
        <f aca="true">IF(OR(E629="",E629="!!!",F629="NEW"),"",COUNTBLANK(OFFSET(A$1,,,SUMPRODUCT(MAX(ROW(E$2:E629)*(E629=E$2:E629)))))-COUNTBLANK(OFFSET(A$1,,,SUMPRODUCT(MAX(ROW(E$1:E628)*(E629=E$1:E628))))))</f>
        <v/>
      </c>
      <c r="K629" s="14" t="str">
        <f aca="false">IF(OR(E629="",E629="!!!",F629="NEW"),"",INDEX(J$1:J628,SUMPRODUCT(MAX(ROW(E$1:E628)*(E629=E$1:E628)))))</f>
        <v/>
      </c>
      <c r="L629" s="15"/>
    </row>
    <row r="630" customFormat="false" ht="12.75" hidden="false" customHeight="false" outlineLevel="0" collapsed="false">
      <c r="E630" s="9" t="str">
        <f aca="false">IF(D630="?OLD","!!!","")</f>
        <v/>
      </c>
      <c r="F630" s="10" t="str">
        <f aca="false">IF(OR(E630="",E630="!!!"),"",IF(NOT(ISNA(VLOOKUP(E630,E$1:E629,1,FALSE()))),"OLD",IF(AND(E630&lt;&gt;"",E630&lt;&gt;"!!!"),"NEW","")))</f>
        <v/>
      </c>
      <c r="G630" s="11" t="str">
        <f aca="false">IF(OR(E630="",E630="!!!"),"",IF(OR(J630=0,AND(J630=1,K630=1),AND(J630=1,I630="SBJ"),AND(J630=1,I630=0)),"?IN_FOCUS",IF(J630&lt;=2,"?ACTIVATED",IF(J630&lt;&gt;"","?FAMILIAR",IF(F630="NEW",IF(ISNA(VLOOKUP(E630,#REF!,1,FALSE())),"?TYPE_IDENTIFIABLE","?REFERENTIAL"),"_")))))</f>
        <v/>
      </c>
      <c r="H630" s="12" t="str">
        <f aca="false">IF(J630&lt;&gt;1,"",IF(I630="SBJ","CB","?"))</f>
        <v/>
      </c>
      <c r="I630" s="13" t="str">
        <f aca="false">IF(OR(E630="",E630="!!!",F630="NEW"),"",INDEX(B$2:B629,-1+SUMPRODUCT(MAX(ROW(E$2:E629)*(E630=E$2:E629)))))</f>
        <v/>
      </c>
      <c r="J630" s="14" t="str">
        <f aca="true">IF(OR(E630="",E630="!!!",F630="NEW"),"",COUNTBLANK(OFFSET(A$1,,,SUMPRODUCT(MAX(ROW(E$2:E630)*(E630=E$2:E630)))))-COUNTBLANK(OFFSET(A$1,,,SUMPRODUCT(MAX(ROW(E$1:E629)*(E630=E$1:E629))))))</f>
        <v/>
      </c>
      <c r="K630" s="14" t="str">
        <f aca="false">IF(OR(E630="",E630="!!!",F630="NEW"),"",INDEX(J$1:J629,SUMPRODUCT(MAX(ROW(E$1:E629)*(E630=E$1:E629)))))</f>
        <v/>
      </c>
      <c r="L630" s="15"/>
    </row>
    <row r="631" customFormat="false" ht="12.75" hidden="false" customHeight="false" outlineLevel="0" collapsed="false">
      <c r="A631" s="0" t="s">
        <v>260</v>
      </c>
      <c r="E631" s="9" t="str">
        <f aca="false">IF(D631="?OLD","!!!","")</f>
        <v/>
      </c>
      <c r="F631" s="10" t="str">
        <f aca="false">IF(OR(E631="",E631="!!!"),"",IF(NOT(ISNA(VLOOKUP(E631,E$1:E630,1,FALSE()))),"OLD",IF(AND(E631&lt;&gt;"",E631&lt;&gt;"!!!"),"NEW","")))</f>
        <v/>
      </c>
      <c r="G631" s="11" t="str">
        <f aca="false">IF(OR(E631="",E631="!!!"),"",IF(OR(J631=0,AND(J631=1,K631=1),AND(J631=1,I631="SBJ"),AND(J631=1,I631=0)),"?IN_FOCUS",IF(J631&lt;=2,"?ACTIVATED",IF(J631&lt;&gt;"","?FAMILIAR",IF(F631="NEW",IF(ISNA(VLOOKUP(E631,#REF!,1,FALSE())),"?TYPE_IDENTIFIABLE","?REFERENTIAL"),"_")))))</f>
        <v/>
      </c>
      <c r="H631" s="12" t="str">
        <f aca="false">IF(J631&lt;&gt;1,"",IF(I631="SBJ","CB","?"))</f>
        <v/>
      </c>
      <c r="I631" s="13" t="str">
        <f aca="false">IF(OR(E631="",E631="!!!",F631="NEW"),"",INDEX(B$2:B630,-1+SUMPRODUCT(MAX(ROW(E$2:E630)*(E631=E$2:E630)))))</f>
        <v/>
      </c>
      <c r="J631" s="14" t="str">
        <f aca="true">IF(OR(E631="",E631="!!!",F631="NEW"),"",COUNTBLANK(OFFSET(A$1,,,SUMPRODUCT(MAX(ROW(E$2:E631)*(E631=E$2:E631)))))-COUNTBLANK(OFFSET(A$1,,,SUMPRODUCT(MAX(ROW(E$1:E630)*(E631=E$1:E630))))))</f>
        <v/>
      </c>
      <c r="K631" s="14" t="str">
        <f aca="false">IF(OR(E631="",E631="!!!",F631="NEW"),"",INDEX(J$1:J630,SUMPRODUCT(MAX(ROW(E$1:E630)*(E631=E$1:E630)))))</f>
        <v/>
      </c>
      <c r="L631" s="15"/>
    </row>
    <row r="632" customFormat="false" ht="12.75" hidden="false" customHeight="false" outlineLevel="0" collapsed="false">
      <c r="A632" s="0" t="s">
        <v>379</v>
      </c>
      <c r="E632" s="9" t="str">
        <f aca="false">IF(D632="?OLD","!!!","")</f>
        <v/>
      </c>
      <c r="F632" s="10" t="str">
        <f aca="false">IF(OR(E632="",E632="!!!"),"",IF(NOT(ISNA(VLOOKUP(E632,E$1:E631,1,FALSE()))),"OLD",IF(AND(E632&lt;&gt;"",E632&lt;&gt;"!!!"),"NEW","")))</f>
        <v/>
      </c>
      <c r="G632" s="11" t="str">
        <f aca="false">IF(OR(E632="",E632="!!!"),"",IF(OR(J632=0,AND(J632=1,K632=1),AND(J632=1,I632="SBJ"),AND(J632=1,I632=0)),"?IN_FOCUS",IF(J632&lt;=2,"?ACTIVATED",IF(J632&lt;&gt;"","?FAMILIAR",IF(F632="NEW",IF(ISNA(VLOOKUP(E632,#REF!,1,FALSE())),"?TYPE_IDENTIFIABLE","?REFERENTIAL"),"_")))))</f>
        <v/>
      </c>
      <c r="H632" s="12" t="str">
        <f aca="false">IF(J632&lt;&gt;1,"",IF(I632="SBJ","CB","?"))</f>
        <v/>
      </c>
      <c r="I632" s="13" t="str">
        <f aca="false">IF(OR(E632="",E632="!!!",F632="NEW"),"",INDEX(B$2:B631,-1+SUMPRODUCT(MAX(ROW(E$2:E631)*(E632=E$2:E631)))))</f>
        <v/>
      </c>
      <c r="J632" s="14" t="str">
        <f aca="true">IF(OR(E632="",E632="!!!",F632="NEW"),"",COUNTBLANK(OFFSET(A$1,,,SUMPRODUCT(MAX(ROW(E$2:E632)*(E632=E$2:E632)))))-COUNTBLANK(OFFSET(A$1,,,SUMPRODUCT(MAX(ROW(E$1:E631)*(E632=E$1:E631))))))</f>
        <v/>
      </c>
      <c r="K632" s="14" t="str">
        <f aca="false">IF(OR(E632="",E632="!!!",F632="NEW"),"",INDEX(J$1:J631,SUMPRODUCT(MAX(ROW(E$1:E631)*(E632=E$1:E631)))))</f>
        <v/>
      </c>
      <c r="L632" s="15"/>
    </row>
    <row r="633" customFormat="false" ht="12.75" hidden="false" customHeight="false" outlineLevel="0" collapsed="false">
      <c r="A633" s="0" t="s">
        <v>262</v>
      </c>
      <c r="E633" s="9" t="str">
        <f aca="false">IF(D633="?OLD","!!!","")</f>
        <v/>
      </c>
      <c r="F633" s="10" t="str">
        <f aca="false">IF(OR(E633="",E633="!!!"),"",IF(NOT(ISNA(VLOOKUP(E633,E$1:E632,1,FALSE()))),"OLD",IF(AND(E633&lt;&gt;"",E633&lt;&gt;"!!!"),"NEW","")))</f>
        <v/>
      </c>
      <c r="G633" s="11" t="str">
        <f aca="false">IF(OR(E633="",E633="!!!"),"",IF(OR(J633=0,AND(J633=1,K633=1),AND(J633=1,I633="SBJ"),AND(J633=1,I633=0)),"?IN_FOCUS",IF(J633&lt;=2,"?ACTIVATED",IF(J633&lt;&gt;"","?FAMILIAR",IF(F633="NEW",IF(ISNA(VLOOKUP(E633,#REF!,1,FALSE())),"?TYPE_IDENTIFIABLE","?REFERENTIAL"),"_")))))</f>
        <v/>
      </c>
      <c r="H633" s="12" t="str">
        <f aca="false">IF(J633&lt;&gt;1,"",IF(I633="SBJ","CB","?"))</f>
        <v/>
      </c>
      <c r="I633" s="13" t="str">
        <f aca="false">IF(OR(E633="",E633="!!!",F633="NEW"),"",INDEX(B$2:B632,-1+SUMPRODUCT(MAX(ROW(E$2:E632)*(E633=E$2:E632)))))</f>
        <v/>
      </c>
      <c r="J633" s="14" t="str">
        <f aca="true">IF(OR(E633="",E633="!!!",F633="NEW"),"",COUNTBLANK(OFFSET(A$1,,,SUMPRODUCT(MAX(ROW(E$2:E633)*(E633=E$2:E633)))))-COUNTBLANK(OFFSET(A$1,,,SUMPRODUCT(MAX(ROW(E$1:E632)*(E633=E$1:E632))))))</f>
        <v/>
      </c>
      <c r="K633" s="14" t="str">
        <f aca="false">IF(OR(E633="",E633="!!!",F633="NEW"),"",INDEX(J$1:J632,SUMPRODUCT(MAX(ROW(E$1:E632)*(E633=E$1:E632)))))</f>
        <v/>
      </c>
      <c r="L633" s="15"/>
    </row>
    <row r="634" customFormat="false" ht="12.75" hidden="false" customHeight="false" outlineLevel="0" collapsed="false">
      <c r="A634" s="0" t="s">
        <v>380</v>
      </c>
      <c r="E634" s="9" t="str">
        <f aca="false">IF(D634="?OLD","!!!","")</f>
        <v/>
      </c>
      <c r="F634" s="10" t="str">
        <f aca="false">IF(OR(E634="",E634="!!!"),"",IF(NOT(ISNA(VLOOKUP(E634,E$1:E633,1,FALSE()))),"OLD",IF(AND(E634&lt;&gt;"",E634&lt;&gt;"!!!"),"NEW","")))</f>
        <v/>
      </c>
      <c r="G634" s="11" t="str">
        <f aca="false">IF(OR(E634="",E634="!!!"),"",IF(OR(J634=0,AND(J634=1,K634=1),AND(J634=1,I634="SBJ"),AND(J634=1,I634=0)),"?IN_FOCUS",IF(J634&lt;=2,"?ACTIVATED",IF(J634&lt;&gt;"","?FAMILIAR",IF(F634="NEW",IF(ISNA(VLOOKUP(E634,#REF!,1,FALSE())),"?TYPE_IDENTIFIABLE","?REFERENTIAL"),"_")))))</f>
        <v/>
      </c>
      <c r="H634" s="12" t="str">
        <f aca="false">IF(J634&lt;&gt;1,"",IF(I634="SBJ","CB","?"))</f>
        <v/>
      </c>
      <c r="I634" s="13" t="str">
        <f aca="false">IF(OR(E634="",E634="!!!",F634="NEW"),"",INDEX(B$2:B633,-1+SUMPRODUCT(MAX(ROW(E$2:E633)*(E634=E$2:E633)))))</f>
        <v/>
      </c>
      <c r="J634" s="14" t="str">
        <f aca="true">IF(OR(E634="",E634="!!!",F634="NEW"),"",COUNTBLANK(OFFSET(A$1,,,SUMPRODUCT(MAX(ROW(E$2:E634)*(E634=E$2:E634)))))-COUNTBLANK(OFFSET(A$1,,,SUMPRODUCT(MAX(ROW(E$1:E633)*(E634=E$1:E633))))))</f>
        <v/>
      </c>
      <c r="K634" s="14" t="str">
        <f aca="false">IF(OR(E634="",E634="!!!",F634="NEW"),"",INDEX(J$1:J633,SUMPRODUCT(MAX(ROW(E$1:E633)*(E634=E$1:E633)))))</f>
        <v/>
      </c>
      <c r="L634" s="15"/>
    </row>
    <row r="635" customFormat="false" ht="12.75" hidden="false" customHeight="false" outlineLevel="0" collapsed="false">
      <c r="A635" s="0" t="s">
        <v>31</v>
      </c>
      <c r="E635" s="9" t="str">
        <f aca="false">IF(D635="?OLD","!!!","")</f>
        <v/>
      </c>
      <c r="F635" s="10" t="str">
        <f aca="false">IF(OR(E635="",E635="!!!"),"",IF(NOT(ISNA(VLOOKUP(E635,E$1:E634,1,FALSE()))),"OLD",IF(AND(E635&lt;&gt;"",E635&lt;&gt;"!!!"),"NEW","")))</f>
        <v/>
      </c>
      <c r="G635" s="11" t="str">
        <f aca="false">IF(OR(E635="",E635="!!!"),"",IF(OR(J635=0,AND(J635=1,K635=1),AND(J635=1,I635="SBJ"),AND(J635=1,I635=0)),"?IN_FOCUS",IF(J635&lt;=2,"?ACTIVATED",IF(J635&lt;&gt;"","?FAMILIAR",IF(F635="NEW",IF(ISNA(VLOOKUP(E635,#REF!,1,FALSE())),"?TYPE_IDENTIFIABLE","?REFERENTIAL"),"_")))))</f>
        <v/>
      </c>
      <c r="H635" s="12" t="str">
        <f aca="false">IF(J635&lt;&gt;1,"",IF(I635="SBJ","CB","?"))</f>
        <v/>
      </c>
      <c r="I635" s="13" t="str">
        <f aca="false">IF(OR(E635="",E635="!!!",F635="NEW"),"",INDEX(B$2:B634,-1+SUMPRODUCT(MAX(ROW(E$2:E634)*(E635=E$2:E634)))))</f>
        <v/>
      </c>
      <c r="J635" s="14" t="str">
        <f aca="true">IF(OR(E635="",E635="!!!",F635="NEW"),"",COUNTBLANK(OFFSET(A$1,,,SUMPRODUCT(MAX(ROW(E$2:E635)*(E635=E$2:E635)))))-COUNTBLANK(OFFSET(A$1,,,SUMPRODUCT(MAX(ROW(E$1:E634)*(E635=E$1:E634))))))</f>
        <v/>
      </c>
      <c r="K635" s="14" t="str">
        <f aca="false">IF(OR(E635="",E635="!!!",F635="NEW"),"",INDEX(J$1:J634,SUMPRODUCT(MAX(ROW(E$1:E634)*(E635=E$1:E634)))))</f>
        <v/>
      </c>
      <c r="L635" s="15"/>
    </row>
    <row r="636" customFormat="false" ht="12.75" hidden="false" customHeight="false" outlineLevel="0" collapsed="false">
      <c r="A636" s="0" t="s">
        <v>147</v>
      </c>
      <c r="B636" s="0" t="s">
        <v>14</v>
      </c>
      <c r="C636" s="0" t="s">
        <v>38</v>
      </c>
      <c r="D636" s="0" t="s">
        <v>29</v>
      </c>
      <c r="E636" s="9" t="str">
        <f aca="false">IF(D636="?OLD","!!!","")</f>
        <v>!!!</v>
      </c>
      <c r="F636" s="10" t="str">
        <f aca="false">IF(OR(E636="",E636="!!!"),"",IF(NOT(ISNA(VLOOKUP(E636,E$1:E635,1,FALSE()))),"OLD",IF(AND(E636&lt;&gt;"",E636&lt;&gt;"!!!"),"NEW","")))</f>
        <v/>
      </c>
      <c r="G636" s="11" t="str">
        <f aca="false">IF(OR(E636="",E636="!!!"),"",IF(OR(J636=0,AND(J636=1,K636=1),AND(J636=1,I636="SBJ"),AND(J636=1,I636=0)),"?IN_FOCUS",IF(J636&lt;=2,"?ACTIVATED",IF(J636&lt;&gt;"","?FAMILIAR",IF(F636="NEW",IF(ISNA(VLOOKUP(E636,#REF!,1,FALSE())),"?TYPE_IDENTIFIABLE","?REFERENTIAL"),"_")))))</f>
        <v/>
      </c>
      <c r="H636" s="12" t="str">
        <f aca="false">IF(J636&lt;&gt;1,"",IF(I636="SBJ","CB","?"))</f>
        <v/>
      </c>
      <c r="I636" s="13" t="str">
        <f aca="false">IF(OR(E636="",E636="!!!",F636="NEW"),"",INDEX(B$2:B635,-1+SUMPRODUCT(MAX(ROW(E$2:E635)*(E636=E$2:E635)))))</f>
        <v/>
      </c>
      <c r="J636" s="14" t="str">
        <f aca="true">IF(OR(E636="",E636="!!!",F636="NEW"),"",COUNTBLANK(OFFSET(A$1,,,SUMPRODUCT(MAX(ROW(E$2:E636)*(E636=E$2:E636)))))-COUNTBLANK(OFFSET(A$1,,,SUMPRODUCT(MAX(ROW(E$1:E635)*(E636=E$1:E635))))))</f>
        <v/>
      </c>
      <c r="K636" s="14" t="str">
        <f aca="false">IF(OR(E636="",E636="!!!",F636="NEW"),"",INDEX(J$1:J635,SUMPRODUCT(MAX(ROW(E$1:E635)*(E636=E$1:E635)))))</f>
        <v/>
      </c>
      <c r="L636" s="15"/>
    </row>
    <row r="637" customFormat="false" ht="12.75" hidden="false" customHeight="false" outlineLevel="0" collapsed="false">
      <c r="A637" s="0" t="s">
        <v>381</v>
      </c>
      <c r="E637" s="9" t="str">
        <f aca="false">IF(D637="?OLD","!!!","")</f>
        <v/>
      </c>
      <c r="F637" s="10" t="str">
        <f aca="false">IF(OR(E637="",E637="!!!"),"",IF(NOT(ISNA(VLOOKUP(E637,E$1:E636,1,FALSE()))),"OLD",IF(AND(E637&lt;&gt;"",E637&lt;&gt;"!!!"),"NEW","")))</f>
        <v/>
      </c>
      <c r="G637" s="11" t="str">
        <f aca="false">IF(OR(E637="",E637="!!!"),"",IF(OR(J637=0,AND(J637=1,K637=1),AND(J637=1,I637="SBJ"),AND(J637=1,I637=0)),"?IN_FOCUS",IF(J637&lt;=2,"?ACTIVATED",IF(J637&lt;&gt;"","?FAMILIAR",IF(F637="NEW",IF(ISNA(VLOOKUP(E637,#REF!,1,FALSE())),"?TYPE_IDENTIFIABLE","?REFERENTIAL"),"_")))))</f>
        <v/>
      </c>
      <c r="H637" s="12" t="str">
        <f aca="false">IF(J637&lt;&gt;1,"",IF(I637="SBJ","CB","?"))</f>
        <v/>
      </c>
      <c r="I637" s="13" t="str">
        <f aca="false">IF(OR(E637="",E637="!!!",F637="NEW"),"",INDEX(B$2:B636,-1+SUMPRODUCT(MAX(ROW(E$2:E636)*(E637=E$2:E636)))))</f>
        <v/>
      </c>
      <c r="J637" s="14" t="str">
        <f aca="true">IF(OR(E637="",E637="!!!",F637="NEW"),"",COUNTBLANK(OFFSET(A$1,,,SUMPRODUCT(MAX(ROW(E$2:E637)*(E637=E$2:E637)))))-COUNTBLANK(OFFSET(A$1,,,SUMPRODUCT(MAX(ROW(E$1:E636)*(E637=E$1:E636))))))</f>
        <v/>
      </c>
      <c r="K637" s="14" t="str">
        <f aca="false">IF(OR(E637="",E637="!!!",F637="NEW"),"",INDEX(J$1:J636,SUMPRODUCT(MAX(ROW(E$1:E636)*(E637=E$1:E636)))))</f>
        <v/>
      </c>
      <c r="L637" s="15"/>
    </row>
    <row r="638" customFormat="false" ht="12.75" hidden="false" customHeight="false" outlineLevel="0" collapsed="false">
      <c r="A638" s="0" t="s">
        <v>149</v>
      </c>
      <c r="E638" s="9" t="str">
        <f aca="false">IF(D638="?OLD","!!!","")</f>
        <v/>
      </c>
      <c r="F638" s="10" t="str">
        <f aca="false">IF(OR(E638="",E638="!!!"),"",IF(NOT(ISNA(VLOOKUP(E638,E$1:E637,1,FALSE()))),"OLD",IF(AND(E638&lt;&gt;"",E638&lt;&gt;"!!!"),"NEW","")))</f>
        <v/>
      </c>
      <c r="G638" s="11" t="str">
        <f aca="false">IF(OR(E638="",E638="!!!"),"",IF(OR(J638=0,AND(J638=1,K638=1),AND(J638=1,I638="SBJ"),AND(J638=1,I638=0)),"?IN_FOCUS",IF(J638&lt;=2,"?ACTIVATED",IF(J638&lt;&gt;"","?FAMILIAR",IF(F638="NEW",IF(ISNA(VLOOKUP(E638,#REF!,1,FALSE())),"?TYPE_IDENTIFIABLE","?REFERENTIAL"),"_")))))</f>
        <v/>
      </c>
      <c r="H638" s="12" t="str">
        <f aca="false">IF(J638&lt;&gt;1,"",IF(I638="SBJ","CB","?"))</f>
        <v/>
      </c>
      <c r="I638" s="13" t="str">
        <f aca="false">IF(OR(E638="",E638="!!!",F638="NEW"),"",INDEX(B$2:B637,-1+SUMPRODUCT(MAX(ROW(E$2:E637)*(E638=E$2:E637)))))</f>
        <v/>
      </c>
      <c r="J638" s="14" t="str">
        <f aca="true">IF(OR(E638="",E638="!!!",F638="NEW"),"",COUNTBLANK(OFFSET(A$1,,,SUMPRODUCT(MAX(ROW(E$2:E638)*(E638=E$2:E638)))))-COUNTBLANK(OFFSET(A$1,,,SUMPRODUCT(MAX(ROW(E$1:E637)*(E638=E$1:E637))))))</f>
        <v/>
      </c>
      <c r="K638" s="14" t="str">
        <f aca="false">IF(OR(E638="",E638="!!!",F638="NEW"),"",INDEX(J$1:J637,SUMPRODUCT(MAX(ROW(E$1:E637)*(E638=E$1:E637)))))</f>
        <v/>
      </c>
      <c r="L638" s="15"/>
    </row>
    <row r="639" customFormat="false" ht="12.75" hidden="false" customHeight="false" outlineLevel="0" collapsed="false">
      <c r="A639" s="0" t="s">
        <v>150</v>
      </c>
      <c r="B639" s="0" t="s">
        <v>28</v>
      </c>
      <c r="C639" s="0" t="s">
        <v>55</v>
      </c>
      <c r="D639" s="0" t="s">
        <v>29</v>
      </c>
      <c r="E639" s="9" t="str">
        <f aca="false">IF(D639="?OLD","!!!","")</f>
        <v>!!!</v>
      </c>
      <c r="F639" s="10" t="str">
        <f aca="false">IF(OR(E639="",E639="!!!"),"",IF(NOT(ISNA(VLOOKUP(E639,E$1:E638,1,FALSE()))),"OLD",IF(AND(E639&lt;&gt;"",E639&lt;&gt;"!!!"),"NEW","")))</f>
        <v/>
      </c>
      <c r="G639" s="11" t="str">
        <f aca="false">IF(OR(E639="",E639="!!!"),"",IF(OR(J639=0,AND(J639=1,K639=1),AND(J639=1,I639="SBJ"),AND(J639=1,I639=0)),"?IN_FOCUS",IF(J639&lt;=2,"?ACTIVATED",IF(J639&lt;&gt;"","?FAMILIAR",IF(F639="NEW",IF(ISNA(VLOOKUP(E639,#REF!,1,FALSE())),"?TYPE_IDENTIFIABLE","?REFERENTIAL"),"_")))))</f>
        <v/>
      </c>
      <c r="H639" s="12" t="str">
        <f aca="false">IF(J639&lt;&gt;1,"",IF(I639="SBJ","CB","?"))</f>
        <v/>
      </c>
      <c r="I639" s="13" t="str">
        <f aca="false">IF(OR(E639="",E639="!!!",F639="NEW"),"",INDEX(B$2:B638,-1+SUMPRODUCT(MAX(ROW(E$2:E638)*(E639=E$2:E638)))))</f>
        <v/>
      </c>
      <c r="J639" s="14" t="str">
        <f aca="true">IF(OR(E639="",E639="!!!",F639="NEW"),"",COUNTBLANK(OFFSET(A$1,,,SUMPRODUCT(MAX(ROW(E$2:E639)*(E639=E$2:E639)))))-COUNTBLANK(OFFSET(A$1,,,SUMPRODUCT(MAX(ROW(E$1:E638)*(E639=E$1:E638))))))</f>
        <v/>
      </c>
      <c r="K639" s="14" t="str">
        <f aca="false">IF(OR(E639="",E639="!!!",F639="NEW"),"",INDEX(J$1:J638,SUMPRODUCT(MAX(ROW(E$1:E638)*(E639=E$1:E638)))))</f>
        <v/>
      </c>
      <c r="L639" s="15"/>
    </row>
    <row r="640" customFormat="false" ht="12.75" hidden="false" customHeight="false" outlineLevel="0" collapsed="false">
      <c r="A640" s="0" t="s">
        <v>271</v>
      </c>
      <c r="E640" s="9" t="str">
        <f aca="false">IF(D640="?OLD","!!!","")</f>
        <v/>
      </c>
      <c r="F640" s="10" t="str">
        <f aca="false">IF(OR(E640="",E640="!!!"),"",IF(NOT(ISNA(VLOOKUP(E640,E$1:E639,1,FALSE()))),"OLD",IF(AND(E640&lt;&gt;"",E640&lt;&gt;"!!!"),"NEW","")))</f>
        <v/>
      </c>
      <c r="G640" s="11" t="str">
        <f aca="false">IF(OR(E640="",E640="!!!"),"",IF(OR(J640=0,AND(J640=1,K640=1),AND(J640=1,I640="SBJ"),AND(J640=1,I640=0)),"?IN_FOCUS",IF(J640&lt;=2,"?ACTIVATED",IF(J640&lt;&gt;"","?FAMILIAR",IF(F640="NEW",IF(ISNA(VLOOKUP(E640,#REF!,1,FALSE())),"?TYPE_IDENTIFIABLE","?REFERENTIAL"),"_")))))</f>
        <v/>
      </c>
      <c r="H640" s="12" t="str">
        <f aca="false">IF(J640&lt;&gt;1,"",IF(I640="SBJ","CB","?"))</f>
        <v/>
      </c>
      <c r="I640" s="13" t="str">
        <f aca="false">IF(OR(E640="",E640="!!!",F640="NEW"),"",INDEX(B$2:B639,-1+SUMPRODUCT(MAX(ROW(E$2:E639)*(E640=E$2:E639)))))</f>
        <v/>
      </c>
      <c r="J640" s="14" t="str">
        <f aca="true">IF(OR(E640="",E640="!!!",F640="NEW"),"",COUNTBLANK(OFFSET(A$1,,,SUMPRODUCT(MAX(ROW(E$2:E640)*(E640=E$2:E640)))))-COUNTBLANK(OFFSET(A$1,,,SUMPRODUCT(MAX(ROW(E$1:E639)*(E640=E$1:E639))))))</f>
        <v/>
      </c>
      <c r="K640" s="14" t="str">
        <f aca="false">IF(OR(E640="",E640="!!!",F640="NEW"),"",INDEX(J$1:J639,SUMPRODUCT(MAX(ROW(E$1:E639)*(E640=E$1:E639)))))</f>
        <v/>
      </c>
      <c r="L640" s="15"/>
    </row>
    <row r="641" customFormat="false" ht="12.75" hidden="false" customHeight="false" outlineLevel="0" collapsed="false">
      <c r="A641" s="0" t="s">
        <v>382</v>
      </c>
      <c r="B641" s="0" t="s">
        <v>37</v>
      </c>
      <c r="C641" s="0" t="s">
        <v>15</v>
      </c>
      <c r="D641" s="0" t="s">
        <v>29</v>
      </c>
      <c r="E641" s="9" t="str">
        <f aca="false">IF(D641="?OLD","!!!","")</f>
        <v>!!!</v>
      </c>
      <c r="F641" s="10" t="str">
        <f aca="false">IF(OR(E641="",E641="!!!"),"",IF(NOT(ISNA(VLOOKUP(E641,E$1:E640,1,FALSE()))),"OLD",IF(AND(E641&lt;&gt;"",E641&lt;&gt;"!!!"),"NEW","")))</f>
        <v/>
      </c>
      <c r="G641" s="11" t="str">
        <f aca="false">IF(OR(E641="",E641="!!!"),"",IF(OR(J641=0,AND(J641=1,K641=1),AND(J641=1,I641="SBJ"),AND(J641=1,I641=0)),"?IN_FOCUS",IF(J641&lt;=2,"?ACTIVATED",IF(J641&lt;&gt;"","?FAMILIAR",IF(F641="NEW",IF(ISNA(VLOOKUP(E641,#REF!,1,FALSE())),"?TYPE_IDENTIFIABLE","?REFERENTIAL"),"_")))))</f>
        <v/>
      </c>
      <c r="H641" s="12" t="str">
        <f aca="false">IF(J641&lt;&gt;1,"",IF(I641="SBJ","CB","?"))</f>
        <v/>
      </c>
      <c r="I641" s="13" t="str">
        <f aca="false">IF(OR(E641="",E641="!!!",F641="NEW"),"",INDEX(B$2:B640,-1+SUMPRODUCT(MAX(ROW(E$2:E640)*(E641=E$2:E640)))))</f>
        <v/>
      </c>
      <c r="J641" s="14" t="str">
        <f aca="true">IF(OR(E641="",E641="!!!",F641="NEW"),"",COUNTBLANK(OFFSET(A$1,,,SUMPRODUCT(MAX(ROW(E$2:E641)*(E641=E$2:E641)))))-COUNTBLANK(OFFSET(A$1,,,SUMPRODUCT(MAX(ROW(E$1:E640)*(E641=E$1:E640))))))</f>
        <v/>
      </c>
      <c r="K641" s="14" t="str">
        <f aca="false">IF(OR(E641="",E641="!!!",F641="NEW"),"",INDEX(J$1:J640,SUMPRODUCT(MAX(ROW(E$1:E640)*(E641=E$1:E640)))))</f>
        <v/>
      </c>
      <c r="L641" s="15"/>
    </row>
    <row r="642" customFormat="false" ht="12.75" hidden="false" customHeight="false" outlineLevel="0" collapsed="false">
      <c r="A642" s="0" t="s">
        <v>378</v>
      </c>
      <c r="E642" s="9" t="str">
        <f aca="false">IF(D642="?OLD","!!!","")</f>
        <v/>
      </c>
      <c r="F642" s="10" t="str">
        <f aca="false">IF(OR(E642="",E642="!!!"),"",IF(NOT(ISNA(VLOOKUP(E642,E$1:E641,1,FALSE()))),"OLD",IF(AND(E642&lt;&gt;"",E642&lt;&gt;"!!!"),"NEW","")))</f>
        <v/>
      </c>
      <c r="G642" s="11" t="str">
        <f aca="false">IF(OR(E642="",E642="!!!"),"",IF(OR(J642=0,AND(J642=1,K642=1),AND(J642=1,I642="SBJ"),AND(J642=1,I642=0)),"?IN_FOCUS",IF(J642&lt;=2,"?ACTIVATED",IF(J642&lt;&gt;"","?FAMILIAR",IF(F642="NEW",IF(ISNA(VLOOKUP(E642,#REF!,1,FALSE())),"?TYPE_IDENTIFIABLE","?REFERENTIAL"),"_")))))</f>
        <v/>
      </c>
      <c r="H642" s="12" t="str">
        <f aca="false">IF(J642&lt;&gt;1,"",IF(I642="SBJ","CB","?"))</f>
        <v/>
      </c>
      <c r="I642" s="13" t="str">
        <f aca="false">IF(OR(E642="",E642="!!!",F642="NEW"),"",INDEX(B$2:B641,-1+SUMPRODUCT(MAX(ROW(E$2:E641)*(E642=E$2:E641)))))</f>
        <v/>
      </c>
      <c r="J642" s="14" t="str">
        <f aca="true">IF(OR(E642="",E642="!!!",F642="NEW"),"",COUNTBLANK(OFFSET(A$1,,,SUMPRODUCT(MAX(ROW(E$2:E642)*(E642=E$2:E642)))))-COUNTBLANK(OFFSET(A$1,,,SUMPRODUCT(MAX(ROW(E$1:E641)*(E642=E$1:E641))))))</f>
        <v/>
      </c>
      <c r="K642" s="14" t="str">
        <f aca="false">IF(OR(E642="",E642="!!!",F642="NEW"),"",INDEX(J$1:J641,SUMPRODUCT(MAX(ROW(E$1:E641)*(E642=E$1:E641)))))</f>
        <v/>
      </c>
      <c r="L642" s="15"/>
    </row>
    <row r="643" customFormat="false" ht="12.75" hidden="false" customHeight="false" outlineLevel="0" collapsed="false">
      <c r="A643" s="0" t="s">
        <v>73</v>
      </c>
      <c r="E643" s="9" t="str">
        <f aca="false">IF(D643="?OLD","!!!","")</f>
        <v/>
      </c>
      <c r="F643" s="10" t="str">
        <f aca="false">IF(OR(E643="",E643="!!!"),"",IF(NOT(ISNA(VLOOKUP(E643,E$1:E642,1,FALSE()))),"OLD",IF(AND(E643&lt;&gt;"",E643&lt;&gt;"!!!"),"NEW","")))</f>
        <v/>
      </c>
      <c r="G643" s="11" t="str">
        <f aca="false">IF(OR(E643="",E643="!!!"),"",IF(OR(J643=0,AND(J643=1,K643=1),AND(J643=1,I643="SBJ"),AND(J643=1,I643=0)),"?IN_FOCUS",IF(J643&lt;=2,"?ACTIVATED",IF(J643&lt;&gt;"","?FAMILIAR",IF(F643="NEW",IF(ISNA(VLOOKUP(E643,#REF!,1,FALSE())),"?TYPE_IDENTIFIABLE","?REFERENTIAL"),"_")))))</f>
        <v/>
      </c>
      <c r="H643" s="12" t="str">
        <f aca="false">IF(J643&lt;&gt;1,"",IF(I643="SBJ","CB","?"))</f>
        <v/>
      </c>
      <c r="I643" s="13" t="str">
        <f aca="false">IF(OR(E643="",E643="!!!",F643="NEW"),"",INDEX(B$2:B642,-1+SUMPRODUCT(MAX(ROW(E$2:E642)*(E643=E$2:E642)))))</f>
        <v/>
      </c>
      <c r="J643" s="14" t="str">
        <f aca="true">IF(OR(E643="",E643="!!!",F643="NEW"),"",COUNTBLANK(OFFSET(A$1,,,SUMPRODUCT(MAX(ROW(E$2:E643)*(E643=E$2:E643)))))-COUNTBLANK(OFFSET(A$1,,,SUMPRODUCT(MAX(ROW(E$1:E642)*(E643=E$1:E642))))))</f>
        <v/>
      </c>
      <c r="K643" s="14" t="str">
        <f aca="false">IF(OR(E643="",E643="!!!",F643="NEW"),"",INDEX(J$1:J642,SUMPRODUCT(MAX(ROW(E$1:E642)*(E643=E$1:E642)))))</f>
        <v/>
      </c>
      <c r="L643" s="15"/>
    </row>
    <row r="644" customFormat="false" ht="12.75" hidden="false" customHeight="false" outlineLevel="0" collapsed="false">
      <c r="E644" s="9" t="str">
        <f aca="false">IF(D644="?OLD","!!!","")</f>
        <v/>
      </c>
      <c r="F644" s="10" t="str">
        <f aca="false">IF(OR(E644="",E644="!!!"),"",IF(NOT(ISNA(VLOOKUP(E644,E$1:E643,1,FALSE()))),"OLD",IF(AND(E644&lt;&gt;"",E644&lt;&gt;"!!!"),"NEW","")))</f>
        <v/>
      </c>
      <c r="G644" s="11" t="str">
        <f aca="false">IF(OR(E644="",E644="!!!"),"",IF(OR(J644=0,AND(J644=1,K644=1),AND(J644=1,I644="SBJ"),AND(J644=1,I644=0)),"?IN_FOCUS",IF(J644&lt;=2,"?ACTIVATED",IF(J644&lt;&gt;"","?FAMILIAR",IF(F644="NEW",IF(ISNA(VLOOKUP(E644,#REF!,1,FALSE())),"?TYPE_IDENTIFIABLE","?REFERENTIAL"),"_")))))</f>
        <v/>
      </c>
      <c r="H644" s="12" t="str">
        <f aca="false">IF(J644&lt;&gt;1,"",IF(I644="SBJ","CB","?"))</f>
        <v/>
      </c>
      <c r="I644" s="13" t="str">
        <f aca="false">IF(OR(E644="",E644="!!!",F644="NEW"),"",INDEX(B$2:B643,-1+SUMPRODUCT(MAX(ROW(E$2:E643)*(E644=E$2:E643)))))</f>
        <v/>
      </c>
      <c r="J644" s="14" t="str">
        <f aca="true">IF(OR(E644="",E644="!!!",F644="NEW"),"",COUNTBLANK(OFFSET(A$1,,,SUMPRODUCT(MAX(ROW(E$2:E644)*(E644=E$2:E644)))))-COUNTBLANK(OFFSET(A$1,,,SUMPRODUCT(MAX(ROW(E$1:E643)*(E644=E$1:E643))))))</f>
        <v/>
      </c>
      <c r="K644" s="14" t="str">
        <f aca="false">IF(OR(E644="",E644="!!!",F644="NEW"),"",INDEX(J$1:J643,SUMPRODUCT(MAX(ROW(E$1:E643)*(E644=E$1:E643)))))</f>
        <v/>
      </c>
      <c r="L644" s="15"/>
    </row>
    <row r="645" customFormat="false" ht="12.75" hidden="false" customHeight="false" outlineLevel="0" collapsed="false">
      <c r="A645" s="0" t="s">
        <v>383</v>
      </c>
      <c r="E645" s="9" t="str">
        <f aca="false">IF(D645="?OLD","!!!","")</f>
        <v/>
      </c>
      <c r="F645" s="10" t="str">
        <f aca="false">IF(OR(E645="",E645="!!!"),"",IF(NOT(ISNA(VLOOKUP(E645,E$1:E644,1,FALSE()))),"OLD",IF(AND(E645&lt;&gt;"",E645&lt;&gt;"!!!"),"NEW","")))</f>
        <v/>
      </c>
      <c r="G645" s="11" t="str">
        <f aca="false">IF(OR(E645="",E645="!!!"),"",IF(OR(J645=0,AND(J645=1,K645=1),AND(J645=1,I645="SBJ"),AND(J645=1,I645=0)),"?IN_FOCUS",IF(J645&lt;=2,"?ACTIVATED",IF(J645&lt;&gt;"","?FAMILIAR",IF(F645="NEW",IF(ISNA(VLOOKUP(E645,#REF!,1,FALSE())),"?TYPE_IDENTIFIABLE","?REFERENTIAL"),"_")))))</f>
        <v/>
      </c>
      <c r="H645" s="12" t="str">
        <f aca="false">IF(J645&lt;&gt;1,"",IF(I645="SBJ","CB","?"))</f>
        <v/>
      </c>
      <c r="I645" s="13" t="str">
        <f aca="false">IF(OR(E645="",E645="!!!",F645="NEW"),"",INDEX(B$2:B644,-1+SUMPRODUCT(MAX(ROW(E$2:E644)*(E645=E$2:E644)))))</f>
        <v/>
      </c>
      <c r="J645" s="14" t="str">
        <f aca="true">IF(OR(E645="",E645="!!!",F645="NEW"),"",COUNTBLANK(OFFSET(A$1,,,SUMPRODUCT(MAX(ROW(E$2:E645)*(E645=E$2:E645)))))-COUNTBLANK(OFFSET(A$1,,,SUMPRODUCT(MAX(ROW(E$1:E644)*(E645=E$1:E644))))))</f>
        <v/>
      </c>
      <c r="K645" s="14" t="str">
        <f aca="false">IF(OR(E645="",E645="!!!",F645="NEW"),"",INDEX(J$1:J644,SUMPRODUCT(MAX(ROW(E$1:E644)*(E645=E$1:E644)))))</f>
        <v/>
      </c>
      <c r="L645" s="15"/>
    </row>
    <row r="646" customFormat="false" ht="12.75" hidden="false" customHeight="false" outlineLevel="0" collapsed="false">
      <c r="A646" s="0" t="s">
        <v>384</v>
      </c>
      <c r="E646" s="9" t="str">
        <f aca="false">IF(D646="?OLD","!!!","")</f>
        <v/>
      </c>
      <c r="F646" s="10" t="str">
        <f aca="false">IF(OR(E646="",E646="!!!"),"",IF(NOT(ISNA(VLOOKUP(E646,E$1:E645,1,FALSE()))),"OLD",IF(AND(E646&lt;&gt;"",E646&lt;&gt;"!!!"),"NEW","")))</f>
        <v/>
      </c>
      <c r="G646" s="11" t="str">
        <f aca="false">IF(OR(E646="",E646="!!!"),"",IF(OR(J646=0,AND(J646=1,K646=1),AND(J646=1,I646="SBJ"),AND(J646=1,I646=0)),"?IN_FOCUS",IF(J646&lt;=2,"?ACTIVATED",IF(J646&lt;&gt;"","?FAMILIAR",IF(F646="NEW",IF(ISNA(VLOOKUP(E646,#REF!,1,FALSE())),"?TYPE_IDENTIFIABLE","?REFERENTIAL"),"_")))))</f>
        <v/>
      </c>
      <c r="H646" s="12" t="str">
        <f aca="false">IF(J646&lt;&gt;1,"",IF(I646="SBJ","CB","?"))</f>
        <v/>
      </c>
      <c r="I646" s="13" t="str">
        <f aca="false">IF(OR(E646="",E646="!!!",F646="NEW"),"",INDEX(B$2:B645,-1+SUMPRODUCT(MAX(ROW(E$2:E645)*(E646=E$2:E645)))))</f>
        <v/>
      </c>
      <c r="J646" s="14" t="str">
        <f aca="true">IF(OR(E646="",E646="!!!",F646="NEW"),"",COUNTBLANK(OFFSET(A$1,,,SUMPRODUCT(MAX(ROW(E$2:E646)*(E646=E$2:E646)))))-COUNTBLANK(OFFSET(A$1,,,SUMPRODUCT(MAX(ROW(E$1:E645)*(E646=E$1:E645))))))</f>
        <v/>
      </c>
      <c r="K646" s="14" t="str">
        <f aca="false">IF(OR(E646="",E646="!!!",F646="NEW"),"",INDEX(J$1:J645,SUMPRODUCT(MAX(ROW(E$1:E645)*(E646=E$1:E645)))))</f>
        <v/>
      </c>
      <c r="L646" s="15"/>
    </row>
    <row r="647" customFormat="false" ht="12.75" hidden="false" customHeight="false" outlineLevel="0" collapsed="false">
      <c r="A647" s="0" t="s">
        <v>385</v>
      </c>
      <c r="E647" s="9" t="str">
        <f aca="false">IF(D647="?OLD","!!!","")</f>
        <v/>
      </c>
      <c r="F647" s="10" t="str">
        <f aca="false">IF(OR(E647="",E647="!!!"),"",IF(NOT(ISNA(VLOOKUP(E647,E$1:E646,1,FALSE()))),"OLD",IF(AND(E647&lt;&gt;"",E647&lt;&gt;"!!!"),"NEW","")))</f>
        <v/>
      </c>
      <c r="G647" s="11" t="str">
        <f aca="false">IF(OR(E647="",E647="!!!"),"",IF(OR(J647=0,AND(J647=1,K647=1),AND(J647=1,I647="SBJ"),AND(J647=1,I647=0)),"?IN_FOCUS",IF(J647&lt;=2,"?ACTIVATED",IF(J647&lt;&gt;"","?FAMILIAR",IF(F647="NEW",IF(ISNA(VLOOKUP(E647,#REF!,1,FALSE())),"?TYPE_IDENTIFIABLE","?REFERENTIAL"),"_")))))</f>
        <v/>
      </c>
      <c r="H647" s="12" t="str">
        <f aca="false">IF(J647&lt;&gt;1,"",IF(I647="SBJ","CB","?"))</f>
        <v/>
      </c>
      <c r="I647" s="13" t="str">
        <f aca="false">IF(OR(E647="",E647="!!!",F647="NEW"),"",INDEX(B$2:B646,-1+SUMPRODUCT(MAX(ROW(E$2:E646)*(E647=E$2:E646)))))</f>
        <v/>
      </c>
      <c r="J647" s="14" t="str">
        <f aca="true">IF(OR(E647="",E647="!!!",F647="NEW"),"",COUNTBLANK(OFFSET(A$1,,,SUMPRODUCT(MAX(ROW(E$2:E647)*(E647=E$2:E647)))))-COUNTBLANK(OFFSET(A$1,,,SUMPRODUCT(MAX(ROW(E$1:E646)*(E647=E$1:E646))))))</f>
        <v/>
      </c>
      <c r="K647" s="14" t="str">
        <f aca="false">IF(OR(E647="",E647="!!!",F647="NEW"),"",INDEX(J$1:J646,SUMPRODUCT(MAX(ROW(E$1:E646)*(E647=E$1:E646)))))</f>
        <v/>
      </c>
      <c r="L647" s="15"/>
    </row>
    <row r="648" customFormat="false" ht="12.75" hidden="false" customHeight="false" outlineLevel="0" collapsed="false">
      <c r="A648" s="0" t="s">
        <v>302</v>
      </c>
      <c r="E648" s="9" t="str">
        <f aca="false">IF(D648="?OLD","!!!","")</f>
        <v/>
      </c>
      <c r="F648" s="10" t="str">
        <f aca="false">IF(OR(E648="",E648="!!!"),"",IF(NOT(ISNA(VLOOKUP(E648,E$1:E647,1,FALSE()))),"OLD",IF(AND(E648&lt;&gt;"",E648&lt;&gt;"!!!"),"NEW","")))</f>
        <v/>
      </c>
      <c r="G648" s="11" t="str">
        <f aca="false">IF(OR(E648="",E648="!!!"),"",IF(OR(J648=0,AND(J648=1,K648=1),AND(J648=1,I648="SBJ"),AND(J648=1,I648=0)),"?IN_FOCUS",IF(J648&lt;=2,"?ACTIVATED",IF(J648&lt;&gt;"","?FAMILIAR",IF(F648="NEW",IF(ISNA(VLOOKUP(E648,#REF!,1,FALSE())),"?TYPE_IDENTIFIABLE","?REFERENTIAL"),"_")))))</f>
        <v/>
      </c>
      <c r="H648" s="12" t="str">
        <f aca="false">IF(J648&lt;&gt;1,"",IF(I648="SBJ","CB","?"))</f>
        <v/>
      </c>
      <c r="I648" s="13" t="str">
        <f aca="false">IF(OR(E648="",E648="!!!",F648="NEW"),"",INDEX(B$2:B647,-1+SUMPRODUCT(MAX(ROW(E$2:E647)*(E648=E$2:E647)))))</f>
        <v/>
      </c>
      <c r="J648" s="14" t="str">
        <f aca="true">IF(OR(E648="",E648="!!!",F648="NEW"),"",COUNTBLANK(OFFSET(A$1,,,SUMPRODUCT(MAX(ROW(E$2:E648)*(E648=E$2:E648)))))-COUNTBLANK(OFFSET(A$1,,,SUMPRODUCT(MAX(ROW(E$1:E647)*(E648=E$1:E647))))))</f>
        <v/>
      </c>
      <c r="K648" s="14" t="str">
        <f aca="false">IF(OR(E648="",E648="!!!",F648="NEW"),"",INDEX(J$1:J647,SUMPRODUCT(MAX(ROW(E$1:E647)*(E648=E$1:E647)))))</f>
        <v/>
      </c>
      <c r="L648" s="15"/>
    </row>
    <row r="649" customFormat="false" ht="12.75" hidden="false" customHeight="false" outlineLevel="0" collapsed="false">
      <c r="A649" s="0" t="s">
        <v>386</v>
      </c>
      <c r="B649" s="0" t="s">
        <v>62</v>
      </c>
      <c r="C649" s="0" t="s">
        <v>135</v>
      </c>
      <c r="D649" s="0" t="s">
        <v>29</v>
      </c>
      <c r="E649" s="9" t="str">
        <f aca="false">IF(D649="?OLD","!!!","")</f>
        <v>!!!</v>
      </c>
      <c r="F649" s="10" t="str">
        <f aca="false">IF(OR(E649="",E649="!!!"),"",IF(NOT(ISNA(VLOOKUP(E649,E$1:E648,1,FALSE()))),"OLD",IF(AND(E649&lt;&gt;"",E649&lt;&gt;"!!!"),"NEW","")))</f>
        <v/>
      </c>
      <c r="G649" s="11" t="str">
        <f aca="false">IF(OR(E649="",E649="!!!"),"",IF(OR(J649=0,AND(J649=1,K649=1),AND(J649=1,I649="SBJ"),AND(J649=1,I649=0)),"?IN_FOCUS",IF(J649&lt;=2,"?ACTIVATED",IF(J649&lt;&gt;"","?FAMILIAR",IF(F649="NEW",IF(ISNA(VLOOKUP(E649,#REF!,1,FALSE())),"?TYPE_IDENTIFIABLE","?REFERENTIAL"),"_")))))</f>
        <v/>
      </c>
      <c r="H649" s="12" t="str">
        <f aca="false">IF(J649&lt;&gt;1,"",IF(I649="SBJ","CB","?"))</f>
        <v/>
      </c>
      <c r="I649" s="13" t="str">
        <f aca="false">IF(OR(E649="",E649="!!!",F649="NEW"),"",INDEX(B$2:B648,-1+SUMPRODUCT(MAX(ROW(E$2:E648)*(E649=E$2:E648)))))</f>
        <v/>
      </c>
      <c r="J649" s="14" t="str">
        <f aca="true">IF(OR(E649="",E649="!!!",F649="NEW"),"",COUNTBLANK(OFFSET(A$1,,,SUMPRODUCT(MAX(ROW(E$2:E649)*(E649=E$2:E649)))))-COUNTBLANK(OFFSET(A$1,,,SUMPRODUCT(MAX(ROW(E$1:E648)*(E649=E$1:E648))))))</f>
        <v/>
      </c>
      <c r="K649" s="14" t="str">
        <f aca="false">IF(OR(E649="",E649="!!!",F649="NEW"),"",INDEX(J$1:J648,SUMPRODUCT(MAX(ROW(E$1:E648)*(E649=E$1:E648)))))</f>
        <v/>
      </c>
      <c r="L649" s="15"/>
    </row>
    <row r="650" customFormat="false" ht="12.75" hidden="false" customHeight="false" outlineLevel="0" collapsed="false">
      <c r="A650" s="0" t="s">
        <v>31</v>
      </c>
      <c r="E650" s="9" t="str">
        <f aca="false">IF(D650="?OLD","!!!","")</f>
        <v/>
      </c>
      <c r="F650" s="10" t="str">
        <f aca="false">IF(OR(E650="",E650="!!!"),"",IF(NOT(ISNA(VLOOKUP(E650,E$1:E649,1,FALSE()))),"OLD",IF(AND(E650&lt;&gt;"",E650&lt;&gt;"!!!"),"NEW","")))</f>
        <v/>
      </c>
      <c r="G650" s="11" t="str">
        <f aca="false">IF(OR(E650="",E650="!!!"),"",IF(OR(J650=0,AND(J650=1,K650=1),AND(J650=1,I650="SBJ"),AND(J650=1,I650=0)),"?IN_FOCUS",IF(J650&lt;=2,"?ACTIVATED",IF(J650&lt;&gt;"","?FAMILIAR",IF(F650="NEW",IF(ISNA(VLOOKUP(E650,#REF!,1,FALSE())),"?TYPE_IDENTIFIABLE","?REFERENTIAL"),"_")))))</f>
        <v/>
      </c>
      <c r="H650" s="12" t="str">
        <f aca="false">IF(J650&lt;&gt;1,"",IF(I650="SBJ","CB","?"))</f>
        <v/>
      </c>
      <c r="I650" s="13" t="str">
        <f aca="false">IF(OR(E650="",E650="!!!",F650="NEW"),"",INDEX(B$2:B649,-1+SUMPRODUCT(MAX(ROW(E$2:E649)*(E650=E$2:E649)))))</f>
        <v/>
      </c>
      <c r="J650" s="14" t="str">
        <f aca="true">IF(OR(E650="",E650="!!!",F650="NEW"),"",COUNTBLANK(OFFSET(A$1,,,SUMPRODUCT(MAX(ROW(E$2:E650)*(E650=E$2:E650)))))-COUNTBLANK(OFFSET(A$1,,,SUMPRODUCT(MAX(ROW(E$1:E649)*(E650=E$1:E649))))))</f>
        <v/>
      </c>
      <c r="K650" s="14" t="str">
        <f aca="false">IF(OR(E650="",E650="!!!",F650="NEW"),"",INDEX(J$1:J649,SUMPRODUCT(MAX(ROW(E$1:E649)*(E650=E$1:E649)))))</f>
        <v/>
      </c>
      <c r="L650" s="15"/>
    </row>
    <row r="651" customFormat="false" ht="12.75" hidden="false" customHeight="false" outlineLevel="0" collapsed="false">
      <c r="A651" s="0" t="s">
        <v>265</v>
      </c>
      <c r="B651" s="0" t="s">
        <v>28</v>
      </c>
      <c r="C651" s="0" t="s">
        <v>23</v>
      </c>
      <c r="D651" s="0" t="s">
        <v>29</v>
      </c>
      <c r="E651" s="9" t="str">
        <f aca="false">IF(D651="?OLD","!!!","")</f>
        <v>!!!</v>
      </c>
      <c r="F651" s="10" t="str">
        <f aca="false">IF(OR(E651="",E651="!!!"),"",IF(NOT(ISNA(VLOOKUP(E651,E$1:E650,1,FALSE()))),"OLD",IF(AND(E651&lt;&gt;"",E651&lt;&gt;"!!!"),"NEW","")))</f>
        <v/>
      </c>
      <c r="G651" s="11" t="str">
        <f aca="false">IF(OR(E651="",E651="!!!"),"",IF(OR(J651=0,AND(J651=1,K651=1),AND(J651=1,I651="SBJ"),AND(J651=1,I651=0)),"?IN_FOCUS",IF(J651&lt;=2,"?ACTIVATED",IF(J651&lt;&gt;"","?FAMILIAR",IF(F651="NEW",IF(ISNA(VLOOKUP(E651,#REF!,1,FALSE())),"?TYPE_IDENTIFIABLE","?REFERENTIAL"),"_")))))</f>
        <v/>
      </c>
      <c r="H651" s="12" t="str">
        <f aca="false">IF(J651&lt;&gt;1,"",IF(I651="SBJ","CB","?"))</f>
        <v/>
      </c>
      <c r="I651" s="13" t="str">
        <f aca="false">IF(OR(E651="",E651="!!!",F651="NEW"),"",INDEX(B$2:B650,-1+SUMPRODUCT(MAX(ROW(E$2:E650)*(E651=E$2:E650)))))</f>
        <v/>
      </c>
      <c r="J651" s="14" t="str">
        <f aca="true">IF(OR(E651="",E651="!!!",F651="NEW"),"",COUNTBLANK(OFFSET(A$1,,,SUMPRODUCT(MAX(ROW(E$2:E651)*(E651=E$2:E651)))))-COUNTBLANK(OFFSET(A$1,,,SUMPRODUCT(MAX(ROW(E$1:E650)*(E651=E$1:E650))))))</f>
        <v/>
      </c>
      <c r="K651" s="14" t="str">
        <f aca="false">IF(OR(E651="",E651="!!!",F651="NEW"),"",INDEX(J$1:J650,SUMPRODUCT(MAX(ROW(E$1:E650)*(E651=E$1:E650)))))</f>
        <v/>
      </c>
      <c r="L651" s="15"/>
    </row>
    <row r="652" customFormat="false" ht="12.75" hidden="false" customHeight="false" outlineLevel="0" collapsed="false">
      <c r="A652" s="0" t="s">
        <v>73</v>
      </c>
      <c r="E652" s="9" t="str">
        <f aca="false">IF(D652="?OLD","!!!","")</f>
        <v/>
      </c>
      <c r="F652" s="10" t="str">
        <f aca="false">IF(OR(E652="",E652="!!!"),"",IF(NOT(ISNA(VLOOKUP(E652,E$1:E651,1,FALSE()))),"OLD",IF(AND(E652&lt;&gt;"",E652&lt;&gt;"!!!"),"NEW","")))</f>
        <v/>
      </c>
      <c r="G652" s="11" t="str">
        <f aca="false">IF(OR(E652="",E652="!!!"),"",IF(OR(J652=0,AND(J652=1,K652=1),AND(J652=1,I652="SBJ"),AND(J652=1,I652=0)),"?IN_FOCUS",IF(J652&lt;=2,"?ACTIVATED",IF(J652&lt;&gt;"","?FAMILIAR",IF(F652="NEW",IF(ISNA(VLOOKUP(E652,#REF!,1,FALSE())),"?TYPE_IDENTIFIABLE","?REFERENTIAL"),"_")))))</f>
        <v/>
      </c>
      <c r="H652" s="12" t="str">
        <f aca="false">IF(J652&lt;&gt;1,"",IF(I652="SBJ","CB","?"))</f>
        <v/>
      </c>
      <c r="I652" s="13" t="str">
        <f aca="false">IF(OR(E652="",E652="!!!",F652="NEW"),"",INDEX(B$2:B651,-1+SUMPRODUCT(MAX(ROW(E$2:E651)*(E652=E$2:E651)))))</f>
        <v/>
      </c>
      <c r="J652" s="14" t="str">
        <f aca="true">IF(OR(E652="",E652="!!!",F652="NEW"),"",COUNTBLANK(OFFSET(A$1,,,SUMPRODUCT(MAX(ROW(E$2:E652)*(E652=E$2:E652)))))-COUNTBLANK(OFFSET(A$1,,,SUMPRODUCT(MAX(ROW(E$1:E651)*(E652=E$1:E651))))))</f>
        <v/>
      </c>
      <c r="K652" s="14" t="str">
        <f aca="false">IF(OR(E652="",E652="!!!",F652="NEW"),"",INDEX(J$1:J651,SUMPRODUCT(MAX(ROW(E$1:E651)*(E652=E$1:E651)))))</f>
        <v/>
      </c>
      <c r="L652" s="15"/>
    </row>
    <row r="653" customFormat="false" ht="12.75" hidden="false" customHeight="false" outlineLevel="0" collapsed="false">
      <c r="E653" s="9" t="str">
        <f aca="false">IF(D653="?OLD","!!!","")</f>
        <v/>
      </c>
      <c r="F653" s="10" t="str">
        <f aca="false">IF(OR(E653="",E653="!!!"),"",IF(NOT(ISNA(VLOOKUP(E653,E$1:E652,1,FALSE()))),"OLD",IF(AND(E653&lt;&gt;"",E653&lt;&gt;"!!!"),"NEW","")))</f>
        <v/>
      </c>
      <c r="G653" s="11" t="str">
        <f aca="false">IF(OR(E653="",E653="!!!"),"",IF(OR(J653=0,AND(J653=1,K653=1),AND(J653=1,I653="SBJ"),AND(J653=1,I653=0)),"?IN_FOCUS",IF(J653&lt;=2,"?ACTIVATED",IF(J653&lt;&gt;"","?FAMILIAR",IF(F653="NEW",IF(ISNA(VLOOKUP(E653,#REF!,1,FALSE())),"?TYPE_IDENTIFIABLE","?REFERENTIAL"),"_")))))</f>
        <v/>
      </c>
      <c r="H653" s="12" t="str">
        <f aca="false">IF(J653&lt;&gt;1,"",IF(I653="SBJ","CB","?"))</f>
        <v/>
      </c>
      <c r="I653" s="13" t="str">
        <f aca="false">IF(OR(E653="",E653="!!!",F653="NEW"),"",INDEX(B$2:B652,-1+SUMPRODUCT(MAX(ROW(E$2:E652)*(E653=E$2:E652)))))</f>
        <v/>
      </c>
      <c r="J653" s="14" t="str">
        <f aca="true">IF(OR(E653="",E653="!!!",F653="NEW"),"",COUNTBLANK(OFFSET(A$1,,,SUMPRODUCT(MAX(ROW(E$2:E653)*(E653=E$2:E653)))))-COUNTBLANK(OFFSET(A$1,,,SUMPRODUCT(MAX(ROW(E$1:E652)*(E653=E$1:E652))))))</f>
        <v/>
      </c>
      <c r="K653" s="14" t="str">
        <f aca="false">IF(OR(E653="",E653="!!!",F653="NEW"),"",INDEX(J$1:J652,SUMPRODUCT(MAX(ROW(E$1:E652)*(E653=E$1:E652)))))</f>
        <v/>
      </c>
      <c r="L653" s="15"/>
    </row>
    <row r="654" customFormat="false" ht="12.75" hidden="false" customHeight="false" outlineLevel="0" collapsed="false">
      <c r="A654" s="0" t="s">
        <v>387</v>
      </c>
      <c r="E654" s="9" t="str">
        <f aca="false">IF(D654="?OLD","!!!","")</f>
        <v/>
      </c>
      <c r="F654" s="10" t="str">
        <f aca="false">IF(OR(E654="",E654="!!!"),"",IF(NOT(ISNA(VLOOKUP(E654,E$1:E653,1,FALSE()))),"OLD",IF(AND(E654&lt;&gt;"",E654&lt;&gt;"!!!"),"NEW","")))</f>
        <v/>
      </c>
      <c r="G654" s="11" t="str">
        <f aca="false">IF(OR(E654="",E654="!!!"),"",IF(OR(J654=0,AND(J654=1,K654=1),AND(J654=1,I654="SBJ"),AND(J654=1,I654=0)),"?IN_FOCUS",IF(J654&lt;=2,"?ACTIVATED",IF(J654&lt;&gt;"","?FAMILIAR",IF(F654="NEW",IF(ISNA(VLOOKUP(E654,#REF!,1,FALSE())),"?TYPE_IDENTIFIABLE","?REFERENTIAL"),"_")))))</f>
        <v/>
      </c>
      <c r="H654" s="12" t="str">
        <f aca="false">IF(J654&lt;&gt;1,"",IF(I654="SBJ","CB","?"))</f>
        <v/>
      </c>
      <c r="I654" s="13" t="str">
        <f aca="false">IF(OR(E654="",E654="!!!",F654="NEW"),"",INDEX(B$2:B653,-1+SUMPRODUCT(MAX(ROW(E$2:E653)*(E654=E$2:E653)))))</f>
        <v/>
      </c>
      <c r="J654" s="14" t="str">
        <f aca="true">IF(OR(E654="",E654="!!!",F654="NEW"),"",COUNTBLANK(OFFSET(A$1,,,SUMPRODUCT(MAX(ROW(E$2:E654)*(E654=E$2:E654)))))-COUNTBLANK(OFFSET(A$1,,,SUMPRODUCT(MAX(ROW(E$1:E653)*(E654=E$1:E653))))))</f>
        <v/>
      </c>
      <c r="K654" s="14" t="str">
        <f aca="false">IF(OR(E654="",E654="!!!",F654="NEW"),"",INDEX(J$1:J653,SUMPRODUCT(MAX(ROW(E$1:E653)*(E654=E$1:E653)))))</f>
        <v/>
      </c>
      <c r="L654" s="15"/>
    </row>
    <row r="655" customFormat="false" ht="12.75" hidden="false" customHeight="false" outlineLevel="0" collapsed="false">
      <c r="A655" s="0" t="s">
        <v>298</v>
      </c>
      <c r="B655" s="0" t="s">
        <v>14</v>
      </c>
      <c r="C655" s="0" t="s">
        <v>38</v>
      </c>
      <c r="D655" s="0" t="s">
        <v>29</v>
      </c>
      <c r="E655" s="9" t="str">
        <f aca="false">IF(D655="?OLD","!!!","")</f>
        <v>!!!</v>
      </c>
      <c r="F655" s="10" t="str">
        <f aca="false">IF(OR(E655="",E655="!!!"),"",IF(NOT(ISNA(VLOOKUP(E655,E$1:E654,1,FALSE()))),"OLD",IF(AND(E655&lt;&gt;"",E655&lt;&gt;"!!!"),"NEW","")))</f>
        <v/>
      </c>
      <c r="G655" s="11" t="str">
        <f aca="false">IF(OR(E655="",E655="!!!"),"",IF(OR(J655=0,AND(J655=1,K655=1),AND(J655=1,I655="SBJ"),AND(J655=1,I655=0)),"?IN_FOCUS",IF(J655&lt;=2,"?ACTIVATED",IF(J655&lt;&gt;"","?FAMILIAR",IF(F655="NEW",IF(ISNA(VLOOKUP(E655,#REF!,1,FALSE())),"?TYPE_IDENTIFIABLE","?REFERENTIAL"),"_")))))</f>
        <v/>
      </c>
      <c r="H655" s="12" t="str">
        <f aca="false">IF(J655&lt;&gt;1,"",IF(I655="SBJ","CB","?"))</f>
        <v/>
      </c>
      <c r="I655" s="13" t="str">
        <f aca="false">IF(OR(E655="",E655="!!!",F655="NEW"),"",INDEX(B$2:B654,-1+SUMPRODUCT(MAX(ROW(E$2:E654)*(E655=E$2:E654)))))</f>
        <v/>
      </c>
      <c r="J655" s="14" t="str">
        <f aca="true">IF(OR(E655="",E655="!!!",F655="NEW"),"",COUNTBLANK(OFFSET(A$1,,,SUMPRODUCT(MAX(ROW(E$2:E655)*(E655=E$2:E655)))))-COUNTBLANK(OFFSET(A$1,,,SUMPRODUCT(MAX(ROW(E$1:E654)*(E655=E$1:E654))))))</f>
        <v/>
      </c>
      <c r="K655" s="14" t="str">
        <f aca="false">IF(OR(E655="",E655="!!!",F655="NEW"),"",INDEX(J$1:J654,SUMPRODUCT(MAX(ROW(E$1:E654)*(E655=E$1:E654)))))</f>
        <v/>
      </c>
      <c r="L655" s="15"/>
    </row>
    <row r="656" customFormat="false" ht="12.75" hidden="false" customHeight="false" outlineLevel="0" collapsed="false">
      <c r="A656" s="0" t="s">
        <v>276</v>
      </c>
      <c r="E656" s="9" t="str">
        <f aca="false">IF(D656="?OLD","!!!","")</f>
        <v/>
      </c>
      <c r="F656" s="10" t="str">
        <f aca="false">IF(OR(E656="",E656="!!!"),"",IF(NOT(ISNA(VLOOKUP(E656,E$1:E655,1,FALSE()))),"OLD",IF(AND(E656&lt;&gt;"",E656&lt;&gt;"!!!"),"NEW","")))</f>
        <v/>
      </c>
      <c r="G656" s="11" t="str">
        <f aca="false">IF(OR(E656="",E656="!!!"),"",IF(OR(J656=0,AND(J656=1,K656=1),AND(J656=1,I656="SBJ"),AND(J656=1,I656=0)),"?IN_FOCUS",IF(J656&lt;=2,"?ACTIVATED",IF(J656&lt;&gt;"","?FAMILIAR",IF(F656="NEW",IF(ISNA(VLOOKUP(E656,#REF!,1,FALSE())),"?TYPE_IDENTIFIABLE","?REFERENTIAL"),"_")))))</f>
        <v/>
      </c>
      <c r="H656" s="12" t="str">
        <f aca="false">IF(J656&lt;&gt;1,"",IF(I656="SBJ","CB","?"))</f>
        <v/>
      </c>
      <c r="I656" s="13" t="str">
        <f aca="false">IF(OR(E656="",E656="!!!",F656="NEW"),"",INDEX(B$2:B655,-1+SUMPRODUCT(MAX(ROW(E$2:E655)*(E656=E$2:E655)))))</f>
        <v/>
      </c>
      <c r="J656" s="14" t="str">
        <f aca="true">IF(OR(E656="",E656="!!!",F656="NEW"),"",COUNTBLANK(OFFSET(A$1,,,SUMPRODUCT(MAX(ROW(E$2:E656)*(E656=E$2:E656)))))-COUNTBLANK(OFFSET(A$1,,,SUMPRODUCT(MAX(ROW(E$1:E655)*(E656=E$1:E655))))))</f>
        <v/>
      </c>
      <c r="K656" s="14" t="str">
        <f aca="false">IF(OR(E656="",E656="!!!",F656="NEW"),"",INDEX(J$1:J655,SUMPRODUCT(MAX(ROW(E$1:E655)*(E656=E$1:E655)))))</f>
        <v/>
      </c>
      <c r="L656" s="15"/>
    </row>
    <row r="657" customFormat="false" ht="12.75" hidden="false" customHeight="false" outlineLevel="0" collapsed="false">
      <c r="A657" s="0" t="s">
        <v>388</v>
      </c>
      <c r="E657" s="9" t="str">
        <f aca="false">IF(D657="?OLD","!!!","")</f>
        <v/>
      </c>
      <c r="F657" s="10" t="str">
        <f aca="false">IF(OR(E657="",E657="!!!"),"",IF(NOT(ISNA(VLOOKUP(E657,E$1:E656,1,FALSE()))),"OLD",IF(AND(E657&lt;&gt;"",E657&lt;&gt;"!!!"),"NEW","")))</f>
        <v/>
      </c>
      <c r="G657" s="11" t="str">
        <f aca="false">IF(OR(E657="",E657="!!!"),"",IF(OR(J657=0,AND(J657=1,K657=1),AND(J657=1,I657="SBJ"),AND(J657=1,I657=0)),"?IN_FOCUS",IF(J657&lt;=2,"?ACTIVATED",IF(J657&lt;&gt;"","?FAMILIAR",IF(F657="NEW",IF(ISNA(VLOOKUP(E657,#REF!,1,FALSE())),"?TYPE_IDENTIFIABLE","?REFERENTIAL"),"_")))))</f>
        <v/>
      </c>
      <c r="H657" s="12" t="str">
        <f aca="false">IF(J657&lt;&gt;1,"",IF(I657="SBJ","CB","?"))</f>
        <v/>
      </c>
      <c r="I657" s="13" t="str">
        <f aca="false">IF(OR(E657="",E657="!!!",F657="NEW"),"",INDEX(B$2:B656,-1+SUMPRODUCT(MAX(ROW(E$2:E656)*(E657=E$2:E656)))))</f>
        <v/>
      </c>
      <c r="J657" s="14" t="str">
        <f aca="true">IF(OR(E657="",E657="!!!",F657="NEW"),"",COUNTBLANK(OFFSET(A$1,,,SUMPRODUCT(MAX(ROW(E$2:E657)*(E657=E$2:E657)))))-COUNTBLANK(OFFSET(A$1,,,SUMPRODUCT(MAX(ROW(E$1:E656)*(E657=E$1:E656))))))</f>
        <v/>
      </c>
      <c r="K657" s="14" t="str">
        <f aca="false">IF(OR(E657="",E657="!!!",F657="NEW"),"",INDEX(J$1:J656,SUMPRODUCT(MAX(ROW(E$1:E656)*(E657=E$1:E656)))))</f>
        <v/>
      </c>
      <c r="L657" s="15"/>
    </row>
    <row r="658" customFormat="false" ht="12.75" hidden="false" customHeight="false" outlineLevel="0" collapsed="false">
      <c r="A658" s="0" t="s">
        <v>389</v>
      </c>
      <c r="E658" s="9" t="str">
        <f aca="false">IF(D658="?OLD","!!!","")</f>
        <v/>
      </c>
      <c r="F658" s="10" t="str">
        <f aca="false">IF(OR(E658="",E658="!!!"),"",IF(NOT(ISNA(VLOOKUP(E658,E$1:E657,1,FALSE()))),"OLD",IF(AND(E658&lt;&gt;"",E658&lt;&gt;"!!!"),"NEW","")))</f>
        <v/>
      </c>
      <c r="G658" s="11" t="str">
        <f aca="false">IF(OR(E658="",E658="!!!"),"",IF(OR(J658=0,AND(J658=1,K658=1),AND(J658=1,I658="SBJ"),AND(J658=1,I658=0)),"?IN_FOCUS",IF(J658&lt;=2,"?ACTIVATED",IF(J658&lt;&gt;"","?FAMILIAR",IF(F658="NEW",IF(ISNA(VLOOKUP(E658,#REF!,1,FALSE())),"?TYPE_IDENTIFIABLE","?REFERENTIAL"),"_")))))</f>
        <v/>
      </c>
      <c r="H658" s="12" t="str">
        <f aca="false">IF(J658&lt;&gt;1,"",IF(I658="SBJ","CB","?"))</f>
        <v/>
      </c>
      <c r="I658" s="13" t="str">
        <f aca="false">IF(OR(E658="",E658="!!!",F658="NEW"),"",INDEX(B$2:B657,-1+SUMPRODUCT(MAX(ROW(E$2:E657)*(E658=E$2:E657)))))</f>
        <v/>
      </c>
      <c r="J658" s="14" t="str">
        <f aca="true">IF(OR(E658="",E658="!!!",F658="NEW"),"",COUNTBLANK(OFFSET(A$1,,,SUMPRODUCT(MAX(ROW(E$2:E658)*(E658=E$2:E658)))))-COUNTBLANK(OFFSET(A$1,,,SUMPRODUCT(MAX(ROW(E$1:E657)*(E658=E$1:E657))))))</f>
        <v/>
      </c>
      <c r="K658" s="14" t="str">
        <f aca="false">IF(OR(E658="",E658="!!!",F658="NEW"),"",INDEX(J$1:J657,SUMPRODUCT(MAX(ROW(E$1:E657)*(E658=E$1:E657)))))</f>
        <v/>
      </c>
      <c r="L658" s="15"/>
    </row>
    <row r="659" customFormat="false" ht="12.75" hidden="false" customHeight="false" outlineLevel="0" collapsed="false">
      <c r="A659" s="0" t="s">
        <v>66</v>
      </c>
      <c r="E659" s="9" t="str">
        <f aca="false">IF(D659="?OLD","!!!","")</f>
        <v/>
      </c>
      <c r="F659" s="10" t="str">
        <f aca="false">IF(OR(E659="",E659="!!!"),"",IF(NOT(ISNA(VLOOKUP(E659,E$1:E658,1,FALSE()))),"OLD",IF(AND(E659&lt;&gt;"",E659&lt;&gt;"!!!"),"NEW","")))</f>
        <v/>
      </c>
      <c r="G659" s="11" t="str">
        <f aca="false">IF(OR(E659="",E659="!!!"),"",IF(OR(J659=0,AND(J659=1,K659=1),AND(J659=1,I659="SBJ"),AND(J659=1,I659=0)),"?IN_FOCUS",IF(J659&lt;=2,"?ACTIVATED",IF(J659&lt;&gt;"","?FAMILIAR",IF(F659="NEW",IF(ISNA(VLOOKUP(E659,#REF!,1,FALSE())),"?TYPE_IDENTIFIABLE","?REFERENTIAL"),"_")))))</f>
        <v/>
      </c>
      <c r="H659" s="12" t="str">
        <f aca="false">IF(J659&lt;&gt;1,"",IF(I659="SBJ","CB","?"))</f>
        <v/>
      </c>
      <c r="I659" s="13" t="str">
        <f aca="false">IF(OR(E659="",E659="!!!",F659="NEW"),"",INDEX(B$2:B658,-1+SUMPRODUCT(MAX(ROW(E$2:E658)*(E659=E$2:E658)))))</f>
        <v/>
      </c>
      <c r="J659" s="14" t="str">
        <f aca="true">IF(OR(E659="",E659="!!!",F659="NEW"),"",COUNTBLANK(OFFSET(A$1,,,SUMPRODUCT(MAX(ROW(E$2:E659)*(E659=E$2:E659)))))-COUNTBLANK(OFFSET(A$1,,,SUMPRODUCT(MAX(ROW(E$1:E658)*(E659=E$1:E658))))))</f>
        <v/>
      </c>
      <c r="K659" s="14" t="str">
        <f aca="false">IF(OR(E659="",E659="!!!",F659="NEW"),"",INDEX(J$1:J658,SUMPRODUCT(MAX(ROW(E$1:E658)*(E659=E$1:E658)))))</f>
        <v/>
      </c>
      <c r="L659" s="15"/>
    </row>
    <row r="660" customFormat="false" ht="12.75" hidden="false" customHeight="false" outlineLevel="0" collapsed="false">
      <c r="A660" s="0" t="s">
        <v>231</v>
      </c>
      <c r="B660" s="0" t="s">
        <v>62</v>
      </c>
      <c r="C660" s="0" t="s">
        <v>111</v>
      </c>
      <c r="D660" s="0" t="s">
        <v>29</v>
      </c>
      <c r="E660" s="9" t="str">
        <f aca="false">IF(D660="?OLD","!!!","")</f>
        <v>!!!</v>
      </c>
      <c r="F660" s="10" t="str">
        <f aca="false">IF(OR(E660="",E660="!!!"),"",IF(NOT(ISNA(VLOOKUP(E660,E$1:E659,1,FALSE()))),"OLD",IF(AND(E660&lt;&gt;"",E660&lt;&gt;"!!!"),"NEW","")))</f>
        <v/>
      </c>
      <c r="G660" s="11" t="str">
        <f aca="false">IF(OR(E660="",E660="!!!"),"",IF(OR(J660=0,AND(J660=1,K660=1),AND(J660=1,I660="SBJ"),AND(J660=1,I660=0)),"?IN_FOCUS",IF(J660&lt;=2,"?ACTIVATED",IF(J660&lt;&gt;"","?FAMILIAR",IF(F660="NEW",IF(ISNA(VLOOKUP(E660,#REF!,1,FALSE())),"?TYPE_IDENTIFIABLE","?REFERENTIAL"),"_")))))</f>
        <v/>
      </c>
      <c r="H660" s="12" t="str">
        <f aca="false">IF(J660&lt;&gt;1,"",IF(I660="SBJ","CB","?"))</f>
        <v/>
      </c>
      <c r="I660" s="13" t="str">
        <f aca="false">IF(OR(E660="",E660="!!!",F660="NEW"),"",INDEX(B$2:B659,-1+SUMPRODUCT(MAX(ROW(E$2:E659)*(E660=E$2:E659)))))</f>
        <v/>
      </c>
      <c r="J660" s="14" t="str">
        <f aca="true">IF(OR(E660="",E660="!!!",F660="NEW"),"",COUNTBLANK(OFFSET(A$1,,,SUMPRODUCT(MAX(ROW(E$2:E660)*(E660=E$2:E660)))))-COUNTBLANK(OFFSET(A$1,,,SUMPRODUCT(MAX(ROW(E$1:E659)*(E660=E$1:E659))))))</f>
        <v/>
      </c>
      <c r="K660" s="14" t="str">
        <f aca="false">IF(OR(E660="",E660="!!!",F660="NEW"),"",INDEX(J$1:J659,SUMPRODUCT(MAX(ROW(E$1:E659)*(E660=E$1:E659)))))</f>
        <v/>
      </c>
      <c r="L660" s="15"/>
    </row>
    <row r="661" customFormat="false" ht="12.75" hidden="false" customHeight="false" outlineLevel="0" collapsed="false">
      <c r="A661" s="0" t="s">
        <v>31</v>
      </c>
      <c r="E661" s="9" t="str">
        <f aca="false">IF(D661="?OLD","!!!","")</f>
        <v/>
      </c>
      <c r="F661" s="10" t="str">
        <f aca="false">IF(OR(E661="",E661="!!!"),"",IF(NOT(ISNA(VLOOKUP(E661,E$1:E660,1,FALSE()))),"OLD",IF(AND(E661&lt;&gt;"",E661&lt;&gt;"!!!"),"NEW","")))</f>
        <v/>
      </c>
      <c r="G661" s="11" t="str">
        <f aca="false">IF(OR(E661="",E661="!!!"),"",IF(OR(J661=0,AND(J661=1,K661=1),AND(J661=1,I661="SBJ"),AND(J661=1,I661=0)),"?IN_FOCUS",IF(J661&lt;=2,"?ACTIVATED",IF(J661&lt;&gt;"","?FAMILIAR",IF(F661="NEW",IF(ISNA(VLOOKUP(E661,#REF!,1,FALSE())),"?TYPE_IDENTIFIABLE","?REFERENTIAL"),"_")))))</f>
        <v/>
      </c>
      <c r="H661" s="12" t="str">
        <f aca="false">IF(J661&lt;&gt;1,"",IF(I661="SBJ","CB","?"))</f>
        <v/>
      </c>
      <c r="I661" s="13" t="str">
        <f aca="false">IF(OR(E661="",E661="!!!",F661="NEW"),"",INDEX(B$2:B660,-1+SUMPRODUCT(MAX(ROW(E$2:E660)*(E661=E$2:E660)))))</f>
        <v/>
      </c>
      <c r="J661" s="14" t="str">
        <f aca="true">IF(OR(E661="",E661="!!!",F661="NEW"),"",COUNTBLANK(OFFSET(A$1,,,SUMPRODUCT(MAX(ROW(E$2:E661)*(E661=E$2:E661)))))-COUNTBLANK(OFFSET(A$1,,,SUMPRODUCT(MAX(ROW(E$1:E660)*(E661=E$1:E660))))))</f>
        <v/>
      </c>
      <c r="K661" s="14" t="str">
        <f aca="false">IF(OR(E661="",E661="!!!",F661="NEW"),"",INDEX(J$1:J660,SUMPRODUCT(MAX(ROW(E$1:E660)*(E661=E$1:E660)))))</f>
        <v/>
      </c>
      <c r="L661" s="15"/>
    </row>
    <row r="662" customFormat="false" ht="12.75" hidden="false" customHeight="false" outlineLevel="0" collapsed="false">
      <c r="A662" s="0" t="s">
        <v>276</v>
      </c>
      <c r="E662" s="9" t="str">
        <f aca="false">IF(D662="?OLD","!!!","")</f>
        <v/>
      </c>
      <c r="F662" s="10" t="str">
        <f aca="false">IF(OR(E662="",E662="!!!"),"",IF(NOT(ISNA(VLOOKUP(E662,E$1:E661,1,FALSE()))),"OLD",IF(AND(E662&lt;&gt;"",E662&lt;&gt;"!!!"),"NEW","")))</f>
        <v/>
      </c>
      <c r="G662" s="11" t="str">
        <f aca="false">IF(OR(E662="",E662="!!!"),"",IF(OR(J662=0,AND(J662=1,K662=1),AND(J662=1,I662="SBJ"),AND(J662=1,I662=0)),"?IN_FOCUS",IF(J662&lt;=2,"?ACTIVATED",IF(J662&lt;&gt;"","?FAMILIAR",IF(F662="NEW",IF(ISNA(VLOOKUP(E662,#REF!,1,FALSE())),"?TYPE_IDENTIFIABLE","?REFERENTIAL"),"_")))))</f>
        <v/>
      </c>
      <c r="H662" s="12" t="str">
        <f aca="false">IF(J662&lt;&gt;1,"",IF(I662="SBJ","CB","?"))</f>
        <v/>
      </c>
      <c r="I662" s="13" t="str">
        <f aca="false">IF(OR(E662="",E662="!!!",F662="NEW"),"",INDEX(B$2:B661,-1+SUMPRODUCT(MAX(ROW(E$2:E661)*(E662=E$2:E661)))))</f>
        <v/>
      </c>
      <c r="J662" s="14" t="str">
        <f aca="true">IF(OR(E662="",E662="!!!",F662="NEW"),"",COUNTBLANK(OFFSET(A$1,,,SUMPRODUCT(MAX(ROW(E$2:E662)*(E662=E$2:E662)))))-COUNTBLANK(OFFSET(A$1,,,SUMPRODUCT(MAX(ROW(E$1:E661)*(E662=E$1:E661))))))</f>
        <v/>
      </c>
      <c r="K662" s="14" t="str">
        <f aca="false">IF(OR(E662="",E662="!!!",F662="NEW"),"",INDEX(J$1:J661,SUMPRODUCT(MAX(ROW(E$1:E661)*(E662=E$1:E661)))))</f>
        <v/>
      </c>
      <c r="L662" s="15"/>
    </row>
    <row r="663" customFormat="false" ht="12.75" hidden="false" customHeight="false" outlineLevel="0" collapsed="false">
      <c r="A663" s="0" t="s">
        <v>264</v>
      </c>
      <c r="B663" s="0" t="s">
        <v>42</v>
      </c>
      <c r="C663" s="0" t="s">
        <v>38</v>
      </c>
      <c r="D663" s="0" t="s">
        <v>29</v>
      </c>
      <c r="E663" s="9" t="str">
        <f aca="false">IF(D663="?OLD","!!!","")</f>
        <v>!!!</v>
      </c>
      <c r="F663" s="10" t="str">
        <f aca="false">IF(OR(E663="",E663="!!!"),"",IF(NOT(ISNA(VLOOKUP(E663,E$1:E662,1,FALSE()))),"OLD",IF(AND(E663&lt;&gt;"",E663&lt;&gt;"!!!"),"NEW","")))</f>
        <v/>
      </c>
      <c r="G663" s="11" t="str">
        <f aca="false">IF(OR(E663="",E663="!!!"),"",IF(OR(J663=0,AND(J663=1,K663=1),AND(J663=1,I663="SBJ"),AND(J663=1,I663=0)),"?IN_FOCUS",IF(J663&lt;=2,"?ACTIVATED",IF(J663&lt;&gt;"","?FAMILIAR",IF(F663="NEW",IF(ISNA(VLOOKUP(E663,#REF!,1,FALSE())),"?TYPE_IDENTIFIABLE","?REFERENTIAL"),"_")))))</f>
        <v/>
      </c>
      <c r="H663" s="12" t="str">
        <f aca="false">IF(J663&lt;&gt;1,"",IF(I663="SBJ","CB","?"))</f>
        <v/>
      </c>
      <c r="I663" s="13" t="str">
        <f aca="false">IF(OR(E663="",E663="!!!",F663="NEW"),"",INDEX(B$2:B662,-1+SUMPRODUCT(MAX(ROW(E$2:E662)*(E663=E$2:E662)))))</f>
        <v/>
      </c>
      <c r="J663" s="14" t="str">
        <f aca="true">IF(OR(E663="",E663="!!!",F663="NEW"),"",COUNTBLANK(OFFSET(A$1,,,SUMPRODUCT(MAX(ROW(E$2:E663)*(E663=E$2:E663)))))-COUNTBLANK(OFFSET(A$1,,,SUMPRODUCT(MAX(ROW(E$1:E662)*(E663=E$1:E662))))))</f>
        <v/>
      </c>
      <c r="K663" s="14" t="str">
        <f aca="false">IF(OR(E663="",E663="!!!",F663="NEW"),"",INDEX(J$1:J662,SUMPRODUCT(MAX(ROW(E$1:E662)*(E663=E$1:E662)))))</f>
        <v/>
      </c>
      <c r="L663" s="15"/>
    </row>
    <row r="664" customFormat="false" ht="12.75" hidden="false" customHeight="false" outlineLevel="0" collapsed="false">
      <c r="A664" s="0" t="s">
        <v>240</v>
      </c>
      <c r="E664" s="9" t="str">
        <f aca="false">IF(D664="?OLD","!!!","")</f>
        <v/>
      </c>
      <c r="F664" s="10" t="str">
        <f aca="false">IF(OR(E664="",E664="!!!"),"",IF(NOT(ISNA(VLOOKUP(E664,E$1:E663,1,FALSE()))),"OLD",IF(AND(E664&lt;&gt;"",E664&lt;&gt;"!!!"),"NEW","")))</f>
        <v/>
      </c>
      <c r="G664" s="11" t="str">
        <f aca="false">IF(OR(E664="",E664="!!!"),"",IF(OR(J664=0,AND(J664=1,K664=1),AND(J664=1,I664="SBJ"),AND(J664=1,I664=0)),"?IN_FOCUS",IF(J664&lt;=2,"?ACTIVATED",IF(J664&lt;&gt;"","?FAMILIAR",IF(F664="NEW",IF(ISNA(VLOOKUP(E664,#REF!,1,FALSE())),"?TYPE_IDENTIFIABLE","?REFERENTIAL"),"_")))))</f>
        <v/>
      </c>
      <c r="H664" s="12" t="str">
        <f aca="false">IF(J664&lt;&gt;1,"",IF(I664="SBJ","CB","?"))</f>
        <v/>
      </c>
      <c r="I664" s="13" t="str">
        <f aca="false">IF(OR(E664="",E664="!!!",F664="NEW"),"",INDEX(B$2:B663,-1+SUMPRODUCT(MAX(ROW(E$2:E663)*(E664=E$2:E663)))))</f>
        <v/>
      </c>
      <c r="J664" s="14" t="str">
        <f aca="true">IF(OR(E664="",E664="!!!",F664="NEW"),"",COUNTBLANK(OFFSET(A$1,,,SUMPRODUCT(MAX(ROW(E$2:E664)*(E664=E$2:E664)))))-COUNTBLANK(OFFSET(A$1,,,SUMPRODUCT(MAX(ROW(E$1:E663)*(E664=E$1:E663))))))</f>
        <v/>
      </c>
      <c r="K664" s="14" t="str">
        <f aca="false">IF(OR(E664="",E664="!!!",F664="NEW"),"",INDEX(J$1:J663,SUMPRODUCT(MAX(ROW(E$1:E663)*(E664=E$1:E663)))))</f>
        <v/>
      </c>
      <c r="L664" s="15"/>
    </row>
    <row r="665" customFormat="false" ht="12.75" hidden="false" customHeight="false" outlineLevel="0" collapsed="false">
      <c r="A665" s="0" t="s">
        <v>31</v>
      </c>
      <c r="E665" s="9" t="str">
        <f aca="false">IF(D665="?OLD","!!!","")</f>
        <v/>
      </c>
      <c r="F665" s="10" t="str">
        <f aca="false">IF(OR(E665="",E665="!!!"),"",IF(NOT(ISNA(VLOOKUP(E665,E$1:E664,1,FALSE()))),"OLD",IF(AND(E665&lt;&gt;"",E665&lt;&gt;"!!!"),"NEW","")))</f>
        <v/>
      </c>
      <c r="G665" s="11" t="str">
        <f aca="false">IF(OR(E665="",E665="!!!"),"",IF(OR(J665=0,AND(J665=1,K665=1),AND(J665=1,I665="SBJ"),AND(J665=1,I665=0)),"?IN_FOCUS",IF(J665&lt;=2,"?ACTIVATED",IF(J665&lt;&gt;"","?FAMILIAR",IF(F665="NEW",IF(ISNA(VLOOKUP(E665,#REF!,1,FALSE())),"?TYPE_IDENTIFIABLE","?REFERENTIAL"),"_")))))</f>
        <v/>
      </c>
      <c r="H665" s="12" t="str">
        <f aca="false">IF(J665&lt;&gt;1,"",IF(I665="SBJ","CB","?"))</f>
        <v/>
      </c>
      <c r="I665" s="13" t="str">
        <f aca="false">IF(OR(E665="",E665="!!!",F665="NEW"),"",INDEX(B$2:B664,-1+SUMPRODUCT(MAX(ROW(E$2:E664)*(E665=E$2:E664)))))</f>
        <v/>
      </c>
      <c r="J665" s="14" t="str">
        <f aca="true">IF(OR(E665="",E665="!!!",F665="NEW"),"",COUNTBLANK(OFFSET(A$1,,,SUMPRODUCT(MAX(ROW(E$2:E665)*(E665=E$2:E665)))))-COUNTBLANK(OFFSET(A$1,,,SUMPRODUCT(MAX(ROW(E$1:E664)*(E665=E$1:E664))))))</f>
        <v/>
      </c>
      <c r="K665" s="14" t="str">
        <f aca="false">IF(OR(E665="",E665="!!!",F665="NEW"),"",INDEX(J$1:J664,SUMPRODUCT(MAX(ROW(E$1:E664)*(E665=E$1:E664)))))</f>
        <v/>
      </c>
      <c r="L665" s="15"/>
    </row>
    <row r="666" customFormat="false" ht="12.75" hidden="false" customHeight="false" outlineLevel="0" collapsed="false">
      <c r="A666" s="0" t="s">
        <v>123</v>
      </c>
      <c r="B666" s="0" t="s">
        <v>62</v>
      </c>
      <c r="C666" s="0" t="s">
        <v>23</v>
      </c>
      <c r="D666" s="0" t="s">
        <v>29</v>
      </c>
      <c r="E666" s="9" t="str">
        <f aca="false">IF(D666="?OLD","!!!","")</f>
        <v>!!!</v>
      </c>
      <c r="F666" s="10" t="str">
        <f aca="false">IF(OR(E666="",E666="!!!"),"",IF(NOT(ISNA(VLOOKUP(E666,E$1:E665,1,FALSE()))),"OLD",IF(AND(E666&lt;&gt;"",E666&lt;&gt;"!!!"),"NEW","")))</f>
        <v/>
      </c>
      <c r="G666" s="11" t="str">
        <f aca="false">IF(OR(E666="",E666="!!!"),"",IF(OR(J666=0,AND(J666=1,K666=1),AND(J666=1,I666="SBJ"),AND(J666=1,I666=0)),"?IN_FOCUS",IF(J666&lt;=2,"?ACTIVATED",IF(J666&lt;&gt;"","?FAMILIAR",IF(F666="NEW",IF(ISNA(VLOOKUP(E666,#REF!,1,FALSE())),"?TYPE_IDENTIFIABLE","?REFERENTIAL"),"_")))))</f>
        <v/>
      </c>
      <c r="H666" s="12" t="str">
        <f aca="false">IF(J666&lt;&gt;1,"",IF(I666="SBJ","CB","?"))</f>
        <v/>
      </c>
      <c r="I666" s="13" t="str">
        <f aca="false">IF(OR(E666="",E666="!!!",F666="NEW"),"",INDEX(B$2:B665,-1+SUMPRODUCT(MAX(ROW(E$2:E665)*(E666=E$2:E665)))))</f>
        <v/>
      </c>
      <c r="J666" s="14" t="str">
        <f aca="true">IF(OR(E666="",E666="!!!",F666="NEW"),"",COUNTBLANK(OFFSET(A$1,,,SUMPRODUCT(MAX(ROW(E$2:E666)*(E666=E$2:E666)))))-COUNTBLANK(OFFSET(A$1,,,SUMPRODUCT(MAX(ROW(E$1:E665)*(E666=E$1:E665))))))</f>
        <v/>
      </c>
      <c r="K666" s="14" t="str">
        <f aca="false">IF(OR(E666="",E666="!!!",F666="NEW"),"",INDEX(J$1:J665,SUMPRODUCT(MAX(ROW(E$1:E665)*(E666=E$1:E665)))))</f>
        <v/>
      </c>
      <c r="L666" s="15"/>
    </row>
    <row r="667" customFormat="false" ht="12.75" hidden="false" customHeight="false" outlineLevel="0" collapsed="false">
      <c r="A667" s="0" t="s">
        <v>269</v>
      </c>
      <c r="E667" s="9" t="str">
        <f aca="false">IF(D667="?OLD","!!!","")</f>
        <v/>
      </c>
      <c r="F667" s="10" t="str">
        <f aca="false">IF(OR(E667="",E667="!!!"),"",IF(NOT(ISNA(VLOOKUP(E667,E$1:E666,1,FALSE()))),"OLD",IF(AND(E667&lt;&gt;"",E667&lt;&gt;"!!!"),"NEW","")))</f>
        <v/>
      </c>
      <c r="G667" s="11" t="str">
        <f aca="false">IF(OR(E667="",E667="!!!"),"",IF(OR(J667=0,AND(J667=1,K667=1),AND(J667=1,I667="SBJ"),AND(J667=1,I667=0)),"?IN_FOCUS",IF(J667&lt;=2,"?ACTIVATED",IF(J667&lt;&gt;"","?FAMILIAR",IF(F667="NEW",IF(ISNA(VLOOKUP(E667,#REF!,1,FALSE())),"?TYPE_IDENTIFIABLE","?REFERENTIAL"),"_")))))</f>
        <v/>
      </c>
      <c r="H667" s="12" t="str">
        <f aca="false">IF(J667&lt;&gt;1,"",IF(I667="SBJ","CB","?"))</f>
        <v/>
      </c>
      <c r="I667" s="13" t="str">
        <f aca="false">IF(OR(E667="",E667="!!!",F667="NEW"),"",INDEX(B$2:B666,-1+SUMPRODUCT(MAX(ROW(E$2:E666)*(E667=E$2:E666)))))</f>
        <v/>
      </c>
      <c r="J667" s="14" t="str">
        <f aca="true">IF(OR(E667="",E667="!!!",F667="NEW"),"",COUNTBLANK(OFFSET(A$1,,,SUMPRODUCT(MAX(ROW(E$2:E667)*(E667=E$2:E667)))))-COUNTBLANK(OFFSET(A$1,,,SUMPRODUCT(MAX(ROW(E$1:E666)*(E667=E$1:E666))))))</f>
        <v/>
      </c>
      <c r="K667" s="14" t="str">
        <f aca="false">IF(OR(E667="",E667="!!!",F667="NEW"),"",INDEX(J$1:J666,SUMPRODUCT(MAX(ROW(E$1:E666)*(E667=E$1:E666)))))</f>
        <v/>
      </c>
      <c r="L667" s="15"/>
    </row>
    <row r="668" customFormat="false" ht="12.75" hidden="false" customHeight="false" outlineLevel="0" collapsed="false">
      <c r="E668" s="9" t="str">
        <f aca="false">IF(D668="?OLD","!!!","")</f>
        <v/>
      </c>
      <c r="F668" s="10" t="str">
        <f aca="false">IF(OR(E668="",E668="!!!"),"",IF(NOT(ISNA(VLOOKUP(E668,E$1:E667,1,FALSE()))),"OLD",IF(AND(E668&lt;&gt;"",E668&lt;&gt;"!!!"),"NEW","")))</f>
        <v/>
      </c>
      <c r="G668" s="11" t="str">
        <f aca="false">IF(OR(E668="",E668="!!!"),"",IF(OR(J668=0,AND(J668=1,K668=1),AND(J668=1,I668="SBJ"),AND(J668=1,I668=0)),"?IN_FOCUS",IF(J668&lt;=2,"?ACTIVATED",IF(J668&lt;&gt;"","?FAMILIAR",IF(F668="NEW",IF(ISNA(VLOOKUP(E668,#REF!,1,FALSE())),"?TYPE_IDENTIFIABLE","?REFERENTIAL"),"_")))))</f>
        <v/>
      </c>
      <c r="H668" s="12" t="str">
        <f aca="false">IF(J668&lt;&gt;1,"",IF(I668="SBJ","CB","?"))</f>
        <v/>
      </c>
      <c r="I668" s="13" t="str">
        <f aca="false">IF(OR(E668="",E668="!!!",F668="NEW"),"",INDEX(B$2:B667,-1+SUMPRODUCT(MAX(ROW(E$2:E667)*(E668=E$2:E667)))))</f>
        <v/>
      </c>
      <c r="J668" s="14" t="str">
        <f aca="true">IF(OR(E668="",E668="!!!",F668="NEW"),"",COUNTBLANK(OFFSET(A$1,,,SUMPRODUCT(MAX(ROW(E$2:E668)*(E668=E$2:E668)))))-COUNTBLANK(OFFSET(A$1,,,SUMPRODUCT(MAX(ROW(E$1:E667)*(E668=E$1:E667))))))</f>
        <v/>
      </c>
      <c r="K668" s="14" t="str">
        <f aca="false">IF(OR(E668="",E668="!!!",F668="NEW"),"",INDEX(J$1:J667,SUMPRODUCT(MAX(ROW(E$1:E667)*(E668=E$1:E667)))))</f>
        <v/>
      </c>
      <c r="L668" s="15"/>
    </row>
    <row r="669" customFormat="false" ht="12.75" hidden="false" customHeight="false" outlineLevel="0" collapsed="false">
      <c r="A669" s="0" t="s">
        <v>390</v>
      </c>
      <c r="E669" s="9" t="str">
        <f aca="false">IF(D669="?OLD","!!!","")</f>
        <v/>
      </c>
      <c r="F669" s="10" t="str">
        <f aca="false">IF(OR(E669="",E669="!!!"),"",IF(NOT(ISNA(VLOOKUP(E669,E$1:E668,1,FALSE()))),"OLD",IF(AND(E669&lt;&gt;"",E669&lt;&gt;"!!!"),"NEW","")))</f>
        <v/>
      </c>
      <c r="G669" s="11" t="str">
        <f aca="false">IF(OR(E669="",E669="!!!"),"",IF(OR(J669=0,AND(J669=1,K669=1),AND(J669=1,I669="SBJ"),AND(J669=1,I669=0)),"?IN_FOCUS",IF(J669&lt;=2,"?ACTIVATED",IF(J669&lt;&gt;"","?FAMILIAR",IF(F669="NEW",IF(ISNA(VLOOKUP(E669,#REF!,1,FALSE())),"?TYPE_IDENTIFIABLE","?REFERENTIAL"),"_")))))</f>
        <v/>
      </c>
      <c r="H669" s="12" t="str">
        <f aca="false">IF(J669&lt;&gt;1,"",IF(I669="SBJ","CB","?"))</f>
        <v/>
      </c>
      <c r="I669" s="13" t="str">
        <f aca="false">IF(OR(E669="",E669="!!!",F669="NEW"),"",INDEX(B$2:B668,-1+SUMPRODUCT(MAX(ROW(E$2:E668)*(E669=E$2:E668)))))</f>
        <v/>
      </c>
      <c r="J669" s="14" t="str">
        <f aca="true">IF(OR(E669="",E669="!!!",F669="NEW"),"",COUNTBLANK(OFFSET(A$1,,,SUMPRODUCT(MAX(ROW(E$2:E669)*(E669=E$2:E669)))))-COUNTBLANK(OFFSET(A$1,,,SUMPRODUCT(MAX(ROW(E$1:E668)*(E669=E$1:E668))))))</f>
        <v/>
      </c>
      <c r="K669" s="14" t="str">
        <f aca="false">IF(OR(E669="",E669="!!!",F669="NEW"),"",INDEX(J$1:J668,SUMPRODUCT(MAX(ROW(E$1:E668)*(E669=E$1:E668)))))</f>
        <v/>
      </c>
      <c r="L669" s="15"/>
    </row>
    <row r="670" customFormat="false" ht="12.75" hidden="false" customHeight="false" outlineLevel="0" collapsed="false">
      <c r="A670" s="0" t="s">
        <v>391</v>
      </c>
      <c r="E670" s="9" t="str">
        <f aca="false">IF(D670="?OLD","!!!","")</f>
        <v/>
      </c>
      <c r="F670" s="10" t="str">
        <f aca="false">IF(OR(E670="",E670="!!!"),"",IF(NOT(ISNA(VLOOKUP(E670,E$1:E669,1,FALSE()))),"OLD",IF(AND(E670&lt;&gt;"",E670&lt;&gt;"!!!"),"NEW","")))</f>
        <v/>
      </c>
      <c r="G670" s="11" t="str">
        <f aca="false">IF(OR(E670="",E670="!!!"),"",IF(OR(J670=0,AND(J670=1,K670=1),AND(J670=1,I670="SBJ"),AND(J670=1,I670=0)),"?IN_FOCUS",IF(J670&lt;=2,"?ACTIVATED",IF(J670&lt;&gt;"","?FAMILIAR",IF(F670="NEW",IF(ISNA(VLOOKUP(E670,#REF!,1,FALSE())),"?TYPE_IDENTIFIABLE","?REFERENTIAL"),"_")))))</f>
        <v/>
      </c>
      <c r="H670" s="12" t="str">
        <f aca="false">IF(J670&lt;&gt;1,"",IF(I670="SBJ","CB","?"))</f>
        <v/>
      </c>
      <c r="I670" s="13" t="str">
        <f aca="false">IF(OR(E670="",E670="!!!",F670="NEW"),"",INDEX(B$2:B669,-1+SUMPRODUCT(MAX(ROW(E$2:E669)*(E670=E$2:E669)))))</f>
        <v/>
      </c>
      <c r="J670" s="14" t="str">
        <f aca="true">IF(OR(E670="",E670="!!!",F670="NEW"),"",COUNTBLANK(OFFSET(A$1,,,SUMPRODUCT(MAX(ROW(E$2:E670)*(E670=E$2:E670)))))-COUNTBLANK(OFFSET(A$1,,,SUMPRODUCT(MAX(ROW(E$1:E669)*(E670=E$1:E669))))))</f>
        <v/>
      </c>
      <c r="K670" s="14" t="str">
        <f aca="false">IF(OR(E670="",E670="!!!",F670="NEW"),"",INDEX(J$1:J669,SUMPRODUCT(MAX(ROW(E$1:E669)*(E670=E$1:E669)))))</f>
        <v/>
      </c>
      <c r="L670" s="15"/>
    </row>
    <row r="671" customFormat="false" ht="12.75" hidden="false" customHeight="false" outlineLevel="0" collapsed="false">
      <c r="A671" s="0" t="s">
        <v>264</v>
      </c>
      <c r="B671" s="0" t="s">
        <v>14</v>
      </c>
      <c r="C671" s="0" t="s">
        <v>38</v>
      </c>
      <c r="D671" s="0" t="s">
        <v>29</v>
      </c>
      <c r="E671" s="9" t="str">
        <f aca="false">IF(D671="?OLD","!!!","")</f>
        <v>!!!</v>
      </c>
      <c r="F671" s="10" t="str">
        <f aca="false">IF(OR(E671="",E671="!!!"),"",IF(NOT(ISNA(VLOOKUP(E671,E$1:E670,1,FALSE()))),"OLD",IF(AND(E671&lt;&gt;"",E671&lt;&gt;"!!!"),"NEW","")))</f>
        <v/>
      </c>
      <c r="G671" s="11" t="str">
        <f aca="false">IF(OR(E671="",E671="!!!"),"",IF(OR(J671=0,AND(J671=1,K671=1),AND(J671=1,I671="SBJ"),AND(J671=1,I671=0)),"?IN_FOCUS",IF(J671&lt;=2,"?ACTIVATED",IF(J671&lt;&gt;"","?FAMILIAR",IF(F671="NEW",IF(ISNA(VLOOKUP(E671,#REF!,1,FALSE())),"?TYPE_IDENTIFIABLE","?REFERENTIAL"),"_")))))</f>
        <v/>
      </c>
      <c r="H671" s="12" t="str">
        <f aca="false">IF(J671&lt;&gt;1,"",IF(I671="SBJ","CB","?"))</f>
        <v/>
      </c>
      <c r="I671" s="13" t="str">
        <f aca="false">IF(OR(E671="",E671="!!!",F671="NEW"),"",INDEX(B$2:B670,-1+SUMPRODUCT(MAX(ROW(E$2:E670)*(E671=E$2:E670)))))</f>
        <v/>
      </c>
      <c r="J671" s="14" t="str">
        <f aca="true">IF(OR(E671="",E671="!!!",F671="NEW"),"",COUNTBLANK(OFFSET(A$1,,,SUMPRODUCT(MAX(ROW(E$2:E671)*(E671=E$2:E671)))))-COUNTBLANK(OFFSET(A$1,,,SUMPRODUCT(MAX(ROW(E$1:E670)*(E671=E$1:E670))))))</f>
        <v/>
      </c>
      <c r="K671" s="14" t="str">
        <f aca="false">IF(OR(E671="",E671="!!!",F671="NEW"),"",INDEX(J$1:J670,SUMPRODUCT(MAX(ROW(E$1:E670)*(E671=E$1:E670)))))</f>
        <v/>
      </c>
      <c r="L671" s="15"/>
    </row>
    <row r="672" customFormat="false" ht="12.75" hidden="false" customHeight="false" outlineLevel="0" collapsed="false">
      <c r="A672" s="0" t="s">
        <v>392</v>
      </c>
      <c r="E672" s="9" t="str">
        <f aca="false">IF(D672="?OLD","!!!","")</f>
        <v/>
      </c>
      <c r="F672" s="10" t="str">
        <f aca="false">IF(OR(E672="",E672="!!!"),"",IF(NOT(ISNA(VLOOKUP(E672,E$1:E671,1,FALSE()))),"OLD",IF(AND(E672&lt;&gt;"",E672&lt;&gt;"!!!"),"NEW","")))</f>
        <v/>
      </c>
      <c r="G672" s="11" t="str">
        <f aca="false">IF(OR(E672="",E672="!!!"),"",IF(OR(J672=0,AND(J672=1,K672=1),AND(J672=1,I672="SBJ"),AND(J672=1,I672=0)),"?IN_FOCUS",IF(J672&lt;=2,"?ACTIVATED",IF(J672&lt;&gt;"","?FAMILIAR",IF(F672="NEW",IF(ISNA(VLOOKUP(E672,#REF!,1,FALSE())),"?TYPE_IDENTIFIABLE","?REFERENTIAL"),"_")))))</f>
        <v/>
      </c>
      <c r="H672" s="12" t="str">
        <f aca="false">IF(J672&lt;&gt;1,"",IF(I672="SBJ","CB","?"))</f>
        <v/>
      </c>
      <c r="I672" s="13" t="str">
        <f aca="false">IF(OR(E672="",E672="!!!",F672="NEW"),"",INDEX(B$2:B671,-1+SUMPRODUCT(MAX(ROW(E$2:E671)*(E672=E$2:E671)))))</f>
        <v/>
      </c>
      <c r="J672" s="14" t="str">
        <f aca="true">IF(OR(E672="",E672="!!!",F672="NEW"),"",COUNTBLANK(OFFSET(A$1,,,SUMPRODUCT(MAX(ROW(E$2:E672)*(E672=E$2:E672)))))-COUNTBLANK(OFFSET(A$1,,,SUMPRODUCT(MAX(ROW(E$1:E671)*(E672=E$1:E671))))))</f>
        <v/>
      </c>
      <c r="K672" s="14" t="str">
        <f aca="false">IF(OR(E672="",E672="!!!",F672="NEW"),"",INDEX(J$1:J671,SUMPRODUCT(MAX(ROW(E$1:E671)*(E672=E$1:E671)))))</f>
        <v/>
      </c>
      <c r="L672" s="15"/>
    </row>
    <row r="673" customFormat="false" ht="12.75" hidden="false" customHeight="false" outlineLevel="0" collapsed="false">
      <c r="A673" s="0" t="s">
        <v>66</v>
      </c>
      <c r="E673" s="9" t="str">
        <f aca="false">IF(D673="?OLD","!!!","")</f>
        <v/>
      </c>
      <c r="F673" s="10" t="str">
        <f aca="false">IF(OR(E673="",E673="!!!"),"",IF(NOT(ISNA(VLOOKUP(E673,E$1:E672,1,FALSE()))),"OLD",IF(AND(E673&lt;&gt;"",E673&lt;&gt;"!!!"),"NEW","")))</f>
        <v/>
      </c>
      <c r="G673" s="11" t="str">
        <f aca="false">IF(OR(E673="",E673="!!!"),"",IF(OR(J673=0,AND(J673=1,K673=1),AND(J673=1,I673="SBJ"),AND(J673=1,I673=0)),"?IN_FOCUS",IF(J673&lt;=2,"?ACTIVATED",IF(J673&lt;&gt;"","?FAMILIAR",IF(F673="NEW",IF(ISNA(VLOOKUP(E673,#REF!,1,FALSE())),"?TYPE_IDENTIFIABLE","?REFERENTIAL"),"_")))))</f>
        <v/>
      </c>
      <c r="H673" s="12" t="str">
        <f aca="false">IF(J673&lt;&gt;1,"",IF(I673="SBJ","CB","?"))</f>
        <v/>
      </c>
      <c r="I673" s="13" t="str">
        <f aca="false">IF(OR(E673="",E673="!!!",F673="NEW"),"",INDEX(B$2:B672,-1+SUMPRODUCT(MAX(ROW(E$2:E672)*(E673=E$2:E672)))))</f>
        <v/>
      </c>
      <c r="J673" s="14" t="str">
        <f aca="true">IF(OR(E673="",E673="!!!",F673="NEW"),"",COUNTBLANK(OFFSET(A$1,,,SUMPRODUCT(MAX(ROW(E$2:E673)*(E673=E$2:E673)))))-COUNTBLANK(OFFSET(A$1,,,SUMPRODUCT(MAX(ROW(E$1:E672)*(E673=E$1:E672))))))</f>
        <v/>
      </c>
      <c r="K673" s="14" t="str">
        <f aca="false">IF(OR(E673="",E673="!!!",F673="NEW"),"",INDEX(J$1:J672,SUMPRODUCT(MAX(ROW(E$1:E672)*(E673=E$1:E672)))))</f>
        <v/>
      </c>
      <c r="L673" s="15"/>
    </row>
    <row r="674" customFormat="false" ht="12.75" hidden="false" customHeight="false" outlineLevel="0" collapsed="false">
      <c r="A674" s="0" t="s">
        <v>393</v>
      </c>
      <c r="B674" s="0" t="s">
        <v>37</v>
      </c>
      <c r="C674" s="0" t="s">
        <v>111</v>
      </c>
      <c r="D674" s="0" t="s">
        <v>29</v>
      </c>
      <c r="E674" s="9" t="str">
        <f aca="false">IF(D674="?OLD","!!!","")</f>
        <v>!!!</v>
      </c>
      <c r="F674" s="10" t="str">
        <f aca="false">IF(OR(E674="",E674="!!!"),"",IF(NOT(ISNA(VLOOKUP(E674,E$1:E673,1,FALSE()))),"OLD",IF(AND(E674&lt;&gt;"",E674&lt;&gt;"!!!"),"NEW","")))</f>
        <v/>
      </c>
      <c r="G674" s="11" t="str">
        <f aca="false">IF(OR(E674="",E674="!!!"),"",IF(OR(J674=0,AND(J674=1,K674=1),AND(J674=1,I674="SBJ"),AND(J674=1,I674=0)),"?IN_FOCUS",IF(J674&lt;=2,"?ACTIVATED",IF(J674&lt;&gt;"","?FAMILIAR",IF(F674="NEW",IF(ISNA(VLOOKUP(E674,#REF!,1,FALSE())),"?TYPE_IDENTIFIABLE","?REFERENTIAL"),"_")))))</f>
        <v/>
      </c>
      <c r="H674" s="12" t="str">
        <f aca="false">IF(J674&lt;&gt;1,"",IF(I674="SBJ","CB","?"))</f>
        <v/>
      </c>
      <c r="I674" s="13" t="str">
        <f aca="false">IF(OR(E674="",E674="!!!",F674="NEW"),"",INDEX(B$2:B673,-1+SUMPRODUCT(MAX(ROW(E$2:E673)*(E674=E$2:E673)))))</f>
        <v/>
      </c>
      <c r="J674" s="14" t="str">
        <f aca="true">IF(OR(E674="",E674="!!!",F674="NEW"),"",COUNTBLANK(OFFSET(A$1,,,SUMPRODUCT(MAX(ROW(E$2:E674)*(E674=E$2:E674)))))-COUNTBLANK(OFFSET(A$1,,,SUMPRODUCT(MAX(ROW(E$1:E673)*(E674=E$1:E673))))))</f>
        <v/>
      </c>
      <c r="K674" s="14" t="str">
        <f aca="false">IF(OR(E674="",E674="!!!",F674="NEW"),"",INDEX(J$1:J673,SUMPRODUCT(MAX(ROW(E$1:E673)*(E674=E$1:E673)))))</f>
        <v/>
      </c>
      <c r="L674" s="15"/>
    </row>
    <row r="675" customFormat="false" ht="12.75" hidden="false" customHeight="false" outlineLevel="0" collapsed="false">
      <c r="A675" s="0" t="s">
        <v>19</v>
      </c>
      <c r="E675" s="9" t="str">
        <f aca="false">IF(D675="?OLD","!!!","")</f>
        <v/>
      </c>
      <c r="F675" s="10" t="str">
        <f aca="false">IF(OR(E675="",E675="!!!"),"",IF(NOT(ISNA(VLOOKUP(E675,E$1:E674,1,FALSE()))),"OLD",IF(AND(E675&lt;&gt;"",E675&lt;&gt;"!!!"),"NEW","")))</f>
        <v/>
      </c>
      <c r="G675" s="11" t="str">
        <f aca="false">IF(OR(E675="",E675="!!!"),"",IF(OR(J675=0,AND(J675=1,K675=1),AND(J675=1,I675="SBJ"),AND(J675=1,I675=0)),"?IN_FOCUS",IF(J675&lt;=2,"?ACTIVATED",IF(J675&lt;&gt;"","?FAMILIAR",IF(F675="NEW",IF(ISNA(VLOOKUP(E675,#REF!,1,FALSE())),"?TYPE_IDENTIFIABLE","?REFERENTIAL"),"_")))))</f>
        <v/>
      </c>
      <c r="H675" s="12" t="str">
        <f aca="false">IF(J675&lt;&gt;1,"",IF(I675="SBJ","CB","?"))</f>
        <v/>
      </c>
      <c r="I675" s="13" t="str">
        <f aca="false">IF(OR(E675="",E675="!!!",F675="NEW"),"",INDEX(B$2:B674,-1+SUMPRODUCT(MAX(ROW(E$2:E674)*(E675=E$2:E674)))))</f>
        <v/>
      </c>
      <c r="J675" s="14" t="str">
        <f aca="true">IF(OR(E675="",E675="!!!",F675="NEW"),"",COUNTBLANK(OFFSET(A$1,,,SUMPRODUCT(MAX(ROW(E$2:E675)*(E675=E$2:E675)))))-COUNTBLANK(OFFSET(A$1,,,SUMPRODUCT(MAX(ROW(E$1:E674)*(E675=E$1:E674))))))</f>
        <v/>
      </c>
      <c r="K675" s="14" t="str">
        <f aca="false">IF(OR(E675="",E675="!!!",F675="NEW"),"",INDEX(J$1:J674,SUMPRODUCT(MAX(ROW(E$1:E674)*(E675=E$1:E674)))))</f>
        <v/>
      </c>
      <c r="L675" s="15"/>
    </row>
    <row r="676" customFormat="false" ht="12.75" hidden="false" customHeight="false" outlineLevel="0" collapsed="false">
      <c r="A676" s="0" t="s">
        <v>66</v>
      </c>
      <c r="E676" s="9" t="str">
        <f aca="false">IF(D676="?OLD","!!!","")</f>
        <v/>
      </c>
      <c r="F676" s="10" t="str">
        <f aca="false">IF(OR(E676="",E676="!!!"),"",IF(NOT(ISNA(VLOOKUP(E676,E$1:E675,1,FALSE()))),"OLD",IF(AND(E676&lt;&gt;"",E676&lt;&gt;"!!!"),"NEW","")))</f>
        <v/>
      </c>
      <c r="G676" s="11" t="str">
        <f aca="false">IF(OR(E676="",E676="!!!"),"",IF(OR(J676=0,AND(J676=1,K676=1),AND(J676=1,I676="SBJ"),AND(J676=1,I676=0)),"?IN_FOCUS",IF(J676&lt;=2,"?ACTIVATED",IF(J676&lt;&gt;"","?FAMILIAR",IF(F676="NEW",IF(ISNA(VLOOKUP(E676,#REF!,1,FALSE())),"?TYPE_IDENTIFIABLE","?REFERENTIAL"),"_")))))</f>
        <v/>
      </c>
      <c r="H676" s="12" t="str">
        <f aca="false">IF(J676&lt;&gt;1,"",IF(I676="SBJ","CB","?"))</f>
        <v/>
      </c>
      <c r="I676" s="13" t="str">
        <f aca="false">IF(OR(E676="",E676="!!!",F676="NEW"),"",INDEX(B$2:B675,-1+SUMPRODUCT(MAX(ROW(E$2:E675)*(E676=E$2:E675)))))</f>
        <v/>
      </c>
      <c r="J676" s="14" t="str">
        <f aca="true">IF(OR(E676="",E676="!!!",F676="NEW"),"",COUNTBLANK(OFFSET(A$1,,,SUMPRODUCT(MAX(ROW(E$2:E676)*(E676=E$2:E676)))))-COUNTBLANK(OFFSET(A$1,,,SUMPRODUCT(MAX(ROW(E$1:E675)*(E676=E$1:E675))))))</f>
        <v/>
      </c>
      <c r="K676" s="14" t="str">
        <f aca="false">IF(OR(E676="",E676="!!!",F676="NEW"),"",INDEX(J$1:J675,SUMPRODUCT(MAX(ROW(E$1:E675)*(E676=E$1:E675)))))</f>
        <v/>
      </c>
      <c r="L676" s="15"/>
    </row>
    <row r="677" customFormat="false" ht="12.75" hidden="false" customHeight="false" outlineLevel="0" collapsed="false">
      <c r="A677" s="0" t="s">
        <v>394</v>
      </c>
      <c r="B677" s="0" t="s">
        <v>28</v>
      </c>
      <c r="C677" s="0" t="s">
        <v>111</v>
      </c>
      <c r="D677" s="0" t="s">
        <v>29</v>
      </c>
      <c r="E677" s="9" t="str">
        <f aca="false">IF(D677="?OLD","!!!","")</f>
        <v>!!!</v>
      </c>
      <c r="F677" s="10" t="str">
        <f aca="false">IF(OR(E677="",E677="!!!"),"",IF(NOT(ISNA(VLOOKUP(E677,E$1:E676,1,FALSE()))),"OLD",IF(AND(E677&lt;&gt;"",E677&lt;&gt;"!!!"),"NEW","")))</f>
        <v/>
      </c>
      <c r="G677" s="11" t="str">
        <f aca="false">IF(OR(E677="",E677="!!!"),"",IF(OR(J677=0,AND(J677=1,K677=1),AND(J677=1,I677="SBJ"),AND(J677=1,I677=0)),"?IN_FOCUS",IF(J677&lt;=2,"?ACTIVATED",IF(J677&lt;&gt;"","?FAMILIAR",IF(F677="NEW",IF(ISNA(VLOOKUP(E677,#REF!,1,FALSE())),"?TYPE_IDENTIFIABLE","?REFERENTIAL"),"_")))))</f>
        <v/>
      </c>
      <c r="H677" s="12" t="str">
        <f aca="false">IF(J677&lt;&gt;1,"",IF(I677="SBJ","CB","?"))</f>
        <v/>
      </c>
      <c r="I677" s="13" t="str">
        <f aca="false">IF(OR(E677="",E677="!!!",F677="NEW"),"",INDEX(B$2:B676,-1+SUMPRODUCT(MAX(ROW(E$2:E676)*(E677=E$2:E676)))))</f>
        <v/>
      </c>
      <c r="J677" s="14" t="str">
        <f aca="true">IF(OR(E677="",E677="!!!",F677="NEW"),"",COUNTBLANK(OFFSET(A$1,,,SUMPRODUCT(MAX(ROW(E$2:E677)*(E677=E$2:E677)))))-COUNTBLANK(OFFSET(A$1,,,SUMPRODUCT(MAX(ROW(E$1:E676)*(E677=E$1:E676))))))</f>
        <v/>
      </c>
      <c r="K677" s="14" t="str">
        <f aca="false">IF(OR(E677="",E677="!!!",F677="NEW"),"",INDEX(J$1:J676,SUMPRODUCT(MAX(ROW(E$1:E676)*(E677=E$1:E676)))))</f>
        <v/>
      </c>
      <c r="L677" s="15"/>
    </row>
    <row r="678" customFormat="false" ht="12.75" hidden="false" customHeight="false" outlineLevel="0" collapsed="false">
      <c r="A678" s="0" t="s">
        <v>269</v>
      </c>
      <c r="E678" s="9" t="str">
        <f aca="false">IF(D678="?OLD","!!!","")</f>
        <v/>
      </c>
      <c r="F678" s="10" t="str">
        <f aca="false">IF(OR(E678="",E678="!!!"),"",IF(NOT(ISNA(VLOOKUP(E678,E$1:E677,1,FALSE()))),"OLD",IF(AND(E678&lt;&gt;"",E678&lt;&gt;"!!!"),"NEW","")))</f>
        <v/>
      </c>
      <c r="G678" s="11" t="str">
        <f aca="false">IF(OR(E678="",E678="!!!"),"",IF(OR(J678=0,AND(J678=1,K678=1),AND(J678=1,I678="SBJ"),AND(J678=1,I678=0)),"?IN_FOCUS",IF(J678&lt;=2,"?ACTIVATED",IF(J678&lt;&gt;"","?FAMILIAR",IF(F678="NEW",IF(ISNA(VLOOKUP(E678,#REF!,1,FALSE())),"?TYPE_IDENTIFIABLE","?REFERENTIAL"),"_")))))</f>
        <v/>
      </c>
      <c r="H678" s="12" t="str">
        <f aca="false">IF(J678&lt;&gt;1,"",IF(I678="SBJ","CB","?"))</f>
        <v/>
      </c>
      <c r="I678" s="13" t="str">
        <f aca="false">IF(OR(E678="",E678="!!!",F678="NEW"),"",INDEX(B$2:B677,-1+SUMPRODUCT(MAX(ROW(E$2:E677)*(E678=E$2:E677)))))</f>
        <v/>
      </c>
      <c r="J678" s="14" t="str">
        <f aca="true">IF(OR(E678="",E678="!!!",F678="NEW"),"",COUNTBLANK(OFFSET(A$1,,,SUMPRODUCT(MAX(ROW(E$2:E678)*(E678=E$2:E678)))))-COUNTBLANK(OFFSET(A$1,,,SUMPRODUCT(MAX(ROW(E$1:E677)*(E678=E$1:E677))))))</f>
        <v/>
      </c>
      <c r="K678" s="14" t="str">
        <f aca="false">IF(OR(E678="",E678="!!!",F678="NEW"),"",INDEX(J$1:J677,SUMPRODUCT(MAX(ROW(E$1:E677)*(E678=E$1:E677)))))</f>
        <v/>
      </c>
      <c r="L678" s="15"/>
    </row>
    <row r="679" customFormat="false" ht="12.75" hidden="false" customHeight="false" outlineLevel="0" collapsed="false">
      <c r="E679" s="9" t="str">
        <f aca="false">IF(D679="?OLD","!!!","")</f>
        <v/>
      </c>
      <c r="F679" s="10" t="str">
        <f aca="false">IF(OR(E679="",E679="!!!"),"",IF(NOT(ISNA(VLOOKUP(E679,E$1:E678,1,FALSE()))),"OLD",IF(AND(E679&lt;&gt;"",E679&lt;&gt;"!!!"),"NEW","")))</f>
        <v/>
      </c>
      <c r="G679" s="11" t="str">
        <f aca="false">IF(OR(E679="",E679="!!!"),"",IF(OR(J679=0,AND(J679=1,K679=1),AND(J679=1,I679="SBJ"),AND(J679=1,I679=0)),"?IN_FOCUS",IF(J679&lt;=2,"?ACTIVATED",IF(J679&lt;&gt;"","?FAMILIAR",IF(F679="NEW",IF(ISNA(VLOOKUP(E679,#REF!,1,FALSE())),"?TYPE_IDENTIFIABLE","?REFERENTIAL"),"_")))))</f>
        <v/>
      </c>
      <c r="H679" s="12" t="str">
        <f aca="false">IF(J679&lt;&gt;1,"",IF(I679="SBJ","CB","?"))</f>
        <v/>
      </c>
      <c r="I679" s="13" t="str">
        <f aca="false">IF(OR(E679="",E679="!!!",F679="NEW"),"",INDEX(B$2:B678,-1+SUMPRODUCT(MAX(ROW(E$2:E678)*(E679=E$2:E678)))))</f>
        <v/>
      </c>
      <c r="J679" s="14" t="str">
        <f aca="true">IF(OR(E679="",E679="!!!",F679="NEW"),"",COUNTBLANK(OFFSET(A$1,,,SUMPRODUCT(MAX(ROW(E$2:E679)*(E679=E$2:E679)))))-COUNTBLANK(OFFSET(A$1,,,SUMPRODUCT(MAX(ROW(E$1:E678)*(E679=E$1:E678))))))</f>
        <v/>
      </c>
      <c r="K679" s="14" t="str">
        <f aca="false">IF(OR(E679="",E679="!!!",F679="NEW"),"",INDEX(J$1:J678,SUMPRODUCT(MAX(ROW(E$1:E678)*(E679=E$1:E678)))))</f>
        <v/>
      </c>
      <c r="L679" s="15"/>
    </row>
    <row r="680" customFormat="false" ht="12.75" hidden="false" customHeight="false" outlineLevel="0" collapsed="false">
      <c r="A680" s="0" t="s">
        <v>260</v>
      </c>
      <c r="E680" s="9" t="str">
        <f aca="false">IF(D680="?OLD","!!!","")</f>
        <v/>
      </c>
      <c r="F680" s="10" t="str">
        <f aca="false">IF(OR(E680="",E680="!!!"),"",IF(NOT(ISNA(VLOOKUP(E680,E$1:E679,1,FALSE()))),"OLD",IF(AND(E680&lt;&gt;"",E680&lt;&gt;"!!!"),"NEW","")))</f>
        <v/>
      </c>
      <c r="G680" s="11" t="str">
        <f aca="false">IF(OR(E680="",E680="!!!"),"",IF(OR(J680=0,AND(J680=1,K680=1),AND(J680=1,I680="SBJ"),AND(J680=1,I680=0)),"?IN_FOCUS",IF(J680&lt;=2,"?ACTIVATED",IF(J680&lt;&gt;"","?FAMILIAR",IF(F680="NEW",IF(ISNA(VLOOKUP(E680,#REF!,1,FALSE())),"?TYPE_IDENTIFIABLE","?REFERENTIAL"),"_")))))</f>
        <v/>
      </c>
      <c r="H680" s="12" t="str">
        <f aca="false">IF(J680&lt;&gt;1,"",IF(I680="SBJ","CB","?"))</f>
        <v/>
      </c>
      <c r="I680" s="13" t="str">
        <f aca="false">IF(OR(E680="",E680="!!!",F680="NEW"),"",INDEX(B$2:B679,-1+SUMPRODUCT(MAX(ROW(E$2:E679)*(E680=E$2:E679)))))</f>
        <v/>
      </c>
      <c r="J680" s="14" t="str">
        <f aca="true">IF(OR(E680="",E680="!!!",F680="NEW"),"",COUNTBLANK(OFFSET(A$1,,,SUMPRODUCT(MAX(ROW(E$2:E680)*(E680=E$2:E680)))))-COUNTBLANK(OFFSET(A$1,,,SUMPRODUCT(MAX(ROW(E$1:E679)*(E680=E$1:E679))))))</f>
        <v/>
      </c>
      <c r="K680" s="14" t="str">
        <f aca="false">IF(OR(E680="",E680="!!!",F680="NEW"),"",INDEX(J$1:J679,SUMPRODUCT(MAX(ROW(E$1:E679)*(E680=E$1:E679)))))</f>
        <v/>
      </c>
      <c r="L680" s="15"/>
    </row>
    <row r="681" customFormat="false" ht="12.75" hidden="false" customHeight="false" outlineLevel="0" collapsed="false">
      <c r="A681" s="0" t="s">
        <v>395</v>
      </c>
      <c r="E681" s="9" t="str">
        <f aca="false">IF(D681="?OLD","!!!","")</f>
        <v/>
      </c>
      <c r="F681" s="10" t="str">
        <f aca="false">IF(OR(E681="",E681="!!!"),"",IF(NOT(ISNA(VLOOKUP(E681,E$1:E680,1,FALSE()))),"OLD",IF(AND(E681&lt;&gt;"",E681&lt;&gt;"!!!"),"NEW","")))</f>
        <v/>
      </c>
      <c r="G681" s="11" t="str">
        <f aca="false">IF(OR(E681="",E681="!!!"),"",IF(OR(J681=0,AND(J681=1,K681=1),AND(J681=1,I681="SBJ"),AND(J681=1,I681=0)),"?IN_FOCUS",IF(J681&lt;=2,"?ACTIVATED",IF(J681&lt;&gt;"","?FAMILIAR",IF(F681="NEW",IF(ISNA(VLOOKUP(E681,#REF!,1,FALSE())),"?TYPE_IDENTIFIABLE","?REFERENTIAL"),"_")))))</f>
        <v/>
      </c>
      <c r="H681" s="12" t="str">
        <f aca="false">IF(J681&lt;&gt;1,"",IF(I681="SBJ","CB","?"))</f>
        <v/>
      </c>
      <c r="I681" s="13" t="str">
        <f aca="false">IF(OR(E681="",E681="!!!",F681="NEW"),"",INDEX(B$2:B680,-1+SUMPRODUCT(MAX(ROW(E$2:E680)*(E681=E$2:E680)))))</f>
        <v/>
      </c>
      <c r="J681" s="14" t="str">
        <f aca="true">IF(OR(E681="",E681="!!!",F681="NEW"),"",COUNTBLANK(OFFSET(A$1,,,SUMPRODUCT(MAX(ROW(E$2:E681)*(E681=E$2:E681)))))-COUNTBLANK(OFFSET(A$1,,,SUMPRODUCT(MAX(ROW(E$1:E680)*(E681=E$1:E680))))))</f>
        <v/>
      </c>
      <c r="K681" s="14" t="str">
        <f aca="false">IF(OR(E681="",E681="!!!",F681="NEW"),"",INDEX(J$1:J680,SUMPRODUCT(MAX(ROW(E$1:E680)*(E681=E$1:E680)))))</f>
        <v/>
      </c>
      <c r="L681" s="15"/>
    </row>
    <row r="682" customFormat="false" ht="12.75" hidden="false" customHeight="false" outlineLevel="0" collapsed="false">
      <c r="A682" s="0" t="s">
        <v>306</v>
      </c>
      <c r="B682" s="0" t="s">
        <v>62</v>
      </c>
      <c r="C682" s="0" t="s">
        <v>162</v>
      </c>
      <c r="E682" s="9" t="str">
        <f aca="false">IF(D682="?OLD","!!!","")</f>
        <v/>
      </c>
      <c r="F682" s="10" t="str">
        <f aca="false">IF(OR(E682="",E682="!!!"),"",IF(NOT(ISNA(VLOOKUP(E682,E$1:E681,1,FALSE()))),"OLD",IF(AND(E682&lt;&gt;"",E682&lt;&gt;"!!!"),"NEW","")))</f>
        <v/>
      </c>
      <c r="G682" s="11" t="str">
        <f aca="false">IF(OR(E682="",E682="!!!"),"",IF(OR(J682=0,AND(J682=1,K682=1),AND(J682=1,I682="SBJ"),AND(J682=1,I682=0)),"?IN_FOCUS",IF(J682&lt;=2,"?ACTIVATED",IF(J682&lt;&gt;"","?FAMILIAR",IF(F682="NEW",IF(ISNA(VLOOKUP(E682,#REF!,1,FALSE())),"?TYPE_IDENTIFIABLE","?REFERENTIAL"),"_")))))</f>
        <v/>
      </c>
      <c r="H682" s="12" t="str">
        <f aca="false">IF(J682&lt;&gt;1,"",IF(I682="SBJ","CB","?"))</f>
        <v/>
      </c>
      <c r="I682" s="13" t="str">
        <f aca="false">IF(OR(E682="",E682="!!!",F682="NEW"),"",INDEX(B$2:B681,-1+SUMPRODUCT(MAX(ROW(E$2:E681)*(E682=E$2:E681)))))</f>
        <v/>
      </c>
      <c r="J682" s="14" t="str">
        <f aca="true">IF(OR(E682="",E682="!!!",F682="NEW"),"",COUNTBLANK(OFFSET(A$1,,,SUMPRODUCT(MAX(ROW(E$2:E682)*(E682=E$2:E682)))))-COUNTBLANK(OFFSET(A$1,,,SUMPRODUCT(MAX(ROW(E$1:E681)*(E682=E$1:E681))))))</f>
        <v/>
      </c>
      <c r="K682" s="14" t="str">
        <f aca="false">IF(OR(E682="",E682="!!!",F682="NEW"),"",INDEX(J$1:J681,SUMPRODUCT(MAX(ROW(E$1:E681)*(E682=E$1:E681)))))</f>
        <v/>
      </c>
      <c r="L682" s="15"/>
    </row>
    <row r="683" customFormat="false" ht="12.75" hidden="false" customHeight="false" outlineLevel="0" collapsed="false">
      <c r="A683" s="0" t="s">
        <v>294</v>
      </c>
      <c r="E683" s="9" t="str">
        <f aca="false">IF(D683="?OLD","!!!","")</f>
        <v/>
      </c>
      <c r="F683" s="10" t="str">
        <f aca="false">IF(OR(E683="",E683="!!!"),"",IF(NOT(ISNA(VLOOKUP(E683,E$1:E682,1,FALSE()))),"OLD",IF(AND(E683&lt;&gt;"",E683&lt;&gt;"!!!"),"NEW","")))</f>
        <v/>
      </c>
      <c r="G683" s="11" t="str">
        <f aca="false">IF(OR(E683="",E683="!!!"),"",IF(OR(J683=0,AND(J683=1,K683=1),AND(J683=1,I683="SBJ"),AND(J683=1,I683=0)),"?IN_FOCUS",IF(J683&lt;=2,"?ACTIVATED",IF(J683&lt;&gt;"","?FAMILIAR",IF(F683="NEW",IF(ISNA(VLOOKUP(E683,#REF!,1,FALSE())),"?TYPE_IDENTIFIABLE","?REFERENTIAL"),"_")))))</f>
        <v/>
      </c>
      <c r="H683" s="12" t="str">
        <f aca="false">IF(J683&lt;&gt;1,"",IF(I683="SBJ","CB","?"))</f>
        <v/>
      </c>
      <c r="I683" s="13" t="str">
        <f aca="false">IF(OR(E683="",E683="!!!",F683="NEW"),"",INDEX(B$2:B682,-1+SUMPRODUCT(MAX(ROW(E$2:E682)*(E683=E$2:E682)))))</f>
        <v/>
      </c>
      <c r="J683" s="14" t="str">
        <f aca="true">IF(OR(E683="",E683="!!!",F683="NEW"),"",COUNTBLANK(OFFSET(A$1,,,SUMPRODUCT(MAX(ROW(E$2:E683)*(E683=E$2:E683)))))-COUNTBLANK(OFFSET(A$1,,,SUMPRODUCT(MAX(ROW(E$1:E682)*(E683=E$1:E682))))))</f>
        <v/>
      </c>
      <c r="K683" s="14" t="str">
        <f aca="false">IF(OR(E683="",E683="!!!",F683="NEW"),"",INDEX(J$1:J682,SUMPRODUCT(MAX(ROW(E$1:E682)*(E683=E$1:E682)))))</f>
        <v/>
      </c>
      <c r="L683" s="15"/>
    </row>
    <row r="684" customFormat="false" ht="12.75" hidden="false" customHeight="false" outlineLevel="0" collapsed="false">
      <c r="A684" s="0" t="s">
        <v>90</v>
      </c>
      <c r="E684" s="9" t="str">
        <f aca="false">IF(D684="?OLD","!!!","")</f>
        <v/>
      </c>
      <c r="F684" s="10" t="str">
        <f aca="false">IF(OR(E684="",E684="!!!"),"",IF(NOT(ISNA(VLOOKUP(E684,E$1:E683,1,FALSE()))),"OLD",IF(AND(E684&lt;&gt;"",E684&lt;&gt;"!!!"),"NEW","")))</f>
        <v/>
      </c>
      <c r="G684" s="11" t="str">
        <f aca="false">IF(OR(E684="",E684="!!!"),"",IF(OR(J684=0,AND(J684=1,K684=1),AND(J684=1,I684="SBJ"),AND(J684=1,I684=0)),"?IN_FOCUS",IF(J684&lt;=2,"?ACTIVATED",IF(J684&lt;&gt;"","?FAMILIAR",IF(F684="NEW",IF(ISNA(VLOOKUP(E684,#REF!,1,FALSE())),"?TYPE_IDENTIFIABLE","?REFERENTIAL"),"_")))))</f>
        <v/>
      </c>
      <c r="H684" s="12" t="str">
        <f aca="false">IF(J684&lt;&gt;1,"",IF(I684="SBJ","CB","?"))</f>
        <v/>
      </c>
      <c r="I684" s="13" t="str">
        <f aca="false">IF(OR(E684="",E684="!!!",F684="NEW"),"",INDEX(B$2:B683,-1+SUMPRODUCT(MAX(ROW(E$2:E683)*(E684=E$2:E683)))))</f>
        <v/>
      </c>
      <c r="J684" s="14" t="str">
        <f aca="true">IF(OR(E684="",E684="!!!",F684="NEW"),"",COUNTBLANK(OFFSET(A$1,,,SUMPRODUCT(MAX(ROW(E$2:E684)*(E684=E$2:E684)))))-COUNTBLANK(OFFSET(A$1,,,SUMPRODUCT(MAX(ROW(E$1:E683)*(E684=E$1:E683))))))</f>
        <v/>
      </c>
      <c r="K684" s="14" t="str">
        <f aca="false">IF(OR(E684="",E684="!!!",F684="NEW"),"",INDEX(J$1:J683,SUMPRODUCT(MAX(ROW(E$1:E683)*(E684=E$1:E683)))))</f>
        <v/>
      </c>
      <c r="L684" s="15"/>
    </row>
    <row r="685" customFormat="false" ht="12.75" hidden="false" customHeight="false" outlineLevel="0" collapsed="false">
      <c r="A685" s="0" t="s">
        <v>396</v>
      </c>
      <c r="E685" s="9" t="str">
        <f aca="false">IF(D685="?OLD","!!!","")</f>
        <v/>
      </c>
      <c r="F685" s="10" t="str">
        <f aca="false">IF(OR(E685="",E685="!!!"),"",IF(NOT(ISNA(VLOOKUP(E685,E$1:E684,1,FALSE()))),"OLD",IF(AND(E685&lt;&gt;"",E685&lt;&gt;"!!!"),"NEW","")))</f>
        <v/>
      </c>
      <c r="G685" s="11" t="str">
        <f aca="false">IF(OR(E685="",E685="!!!"),"",IF(OR(J685=0,AND(J685=1,K685=1),AND(J685=1,I685="SBJ"),AND(J685=1,I685=0)),"?IN_FOCUS",IF(J685&lt;=2,"?ACTIVATED",IF(J685&lt;&gt;"","?FAMILIAR",IF(F685="NEW",IF(ISNA(VLOOKUP(E685,#REF!,1,FALSE())),"?TYPE_IDENTIFIABLE","?REFERENTIAL"),"_")))))</f>
        <v/>
      </c>
      <c r="H685" s="12" t="str">
        <f aca="false">IF(J685&lt;&gt;1,"",IF(I685="SBJ","CB","?"))</f>
        <v/>
      </c>
      <c r="I685" s="13" t="str">
        <f aca="false">IF(OR(E685="",E685="!!!",F685="NEW"),"",INDEX(B$2:B684,-1+SUMPRODUCT(MAX(ROW(E$2:E684)*(E685=E$2:E684)))))</f>
        <v/>
      </c>
      <c r="J685" s="14" t="str">
        <f aca="true">IF(OR(E685="",E685="!!!",F685="NEW"),"",COUNTBLANK(OFFSET(A$1,,,SUMPRODUCT(MAX(ROW(E$2:E685)*(E685=E$2:E685)))))-COUNTBLANK(OFFSET(A$1,,,SUMPRODUCT(MAX(ROW(E$1:E684)*(E685=E$1:E684))))))</f>
        <v/>
      </c>
      <c r="K685" s="14" t="str">
        <f aca="false">IF(OR(E685="",E685="!!!",F685="NEW"),"",INDEX(J$1:J684,SUMPRODUCT(MAX(ROW(E$1:E684)*(E685=E$1:E684)))))</f>
        <v/>
      </c>
      <c r="L685" s="15"/>
    </row>
    <row r="686" customFormat="false" ht="12.75" hidden="false" customHeight="false" outlineLevel="0" collapsed="false">
      <c r="A686" s="0" t="s">
        <v>397</v>
      </c>
      <c r="B686" s="0" t="s">
        <v>14</v>
      </c>
      <c r="C686" s="0" t="s">
        <v>135</v>
      </c>
      <c r="D686" s="0" t="s">
        <v>29</v>
      </c>
      <c r="E686" s="9" t="str">
        <f aca="false">IF(D686="?OLD","!!!","")</f>
        <v>!!!</v>
      </c>
      <c r="F686" s="10" t="str">
        <f aca="false">IF(OR(E686="",E686="!!!"),"",IF(NOT(ISNA(VLOOKUP(E686,E$1:E685,1,FALSE()))),"OLD",IF(AND(E686&lt;&gt;"",E686&lt;&gt;"!!!"),"NEW","")))</f>
        <v/>
      </c>
      <c r="G686" s="11" t="str">
        <f aca="false">IF(OR(E686="",E686="!!!"),"",IF(OR(J686=0,AND(J686=1,K686=1),AND(J686=1,I686="SBJ"),AND(J686=1,I686=0)),"?IN_FOCUS",IF(J686&lt;=2,"?ACTIVATED",IF(J686&lt;&gt;"","?FAMILIAR",IF(F686="NEW",IF(ISNA(VLOOKUP(E686,#REF!,1,FALSE())),"?TYPE_IDENTIFIABLE","?REFERENTIAL"),"_")))))</f>
        <v/>
      </c>
      <c r="H686" s="12" t="str">
        <f aca="false">IF(J686&lt;&gt;1,"",IF(I686="SBJ","CB","?"))</f>
        <v/>
      </c>
      <c r="I686" s="13" t="str">
        <f aca="false">IF(OR(E686="",E686="!!!",F686="NEW"),"",INDEX(B$2:B685,-1+SUMPRODUCT(MAX(ROW(E$2:E685)*(E686=E$2:E685)))))</f>
        <v/>
      </c>
      <c r="J686" s="14" t="str">
        <f aca="true">IF(OR(E686="",E686="!!!",F686="NEW"),"",COUNTBLANK(OFFSET(A$1,,,SUMPRODUCT(MAX(ROW(E$2:E686)*(E686=E$2:E686)))))-COUNTBLANK(OFFSET(A$1,,,SUMPRODUCT(MAX(ROW(E$1:E685)*(E686=E$1:E685))))))</f>
        <v/>
      </c>
      <c r="K686" s="14" t="str">
        <f aca="false">IF(OR(E686="",E686="!!!",F686="NEW"),"",INDEX(J$1:J685,SUMPRODUCT(MAX(ROW(E$1:E685)*(E686=E$1:E685)))))</f>
        <v/>
      </c>
      <c r="L686" s="15"/>
    </row>
    <row r="687" customFormat="false" ht="12.75" hidden="false" customHeight="false" outlineLevel="0" collapsed="false">
      <c r="A687" s="0" t="s">
        <v>145</v>
      </c>
      <c r="E687" s="9" t="str">
        <f aca="false">IF(D687="?OLD","!!!","")</f>
        <v/>
      </c>
      <c r="F687" s="10" t="str">
        <f aca="false">IF(OR(E687="",E687="!!!"),"",IF(NOT(ISNA(VLOOKUP(E687,E$1:E686,1,FALSE()))),"OLD",IF(AND(E687&lt;&gt;"",E687&lt;&gt;"!!!"),"NEW","")))</f>
        <v/>
      </c>
      <c r="G687" s="11" t="str">
        <f aca="false">IF(OR(E687="",E687="!!!"),"",IF(OR(J687=0,AND(J687=1,K687=1),AND(J687=1,I687="SBJ"),AND(J687=1,I687=0)),"?IN_FOCUS",IF(J687&lt;=2,"?ACTIVATED",IF(J687&lt;&gt;"","?FAMILIAR",IF(F687="NEW",IF(ISNA(VLOOKUP(E687,#REF!,1,FALSE())),"?TYPE_IDENTIFIABLE","?REFERENTIAL"),"_")))))</f>
        <v/>
      </c>
      <c r="H687" s="12" t="str">
        <f aca="false">IF(J687&lt;&gt;1,"",IF(I687="SBJ","CB","?"))</f>
        <v/>
      </c>
      <c r="I687" s="13" t="str">
        <f aca="false">IF(OR(E687="",E687="!!!",F687="NEW"),"",INDEX(B$2:B686,-1+SUMPRODUCT(MAX(ROW(E$2:E686)*(E687=E$2:E686)))))</f>
        <v/>
      </c>
      <c r="J687" s="14" t="str">
        <f aca="true">IF(OR(E687="",E687="!!!",F687="NEW"),"",COUNTBLANK(OFFSET(A$1,,,SUMPRODUCT(MAX(ROW(E$2:E687)*(E687=E$2:E687)))))-COUNTBLANK(OFFSET(A$1,,,SUMPRODUCT(MAX(ROW(E$1:E686)*(E687=E$1:E686))))))</f>
        <v/>
      </c>
      <c r="K687" s="14" t="str">
        <f aca="false">IF(OR(E687="",E687="!!!",F687="NEW"),"",INDEX(J$1:J686,SUMPRODUCT(MAX(ROW(E$1:E686)*(E687=E$1:E686)))))</f>
        <v/>
      </c>
      <c r="L687" s="15"/>
    </row>
    <row r="688" customFormat="false" ht="12.75" hidden="false" customHeight="false" outlineLevel="0" collapsed="false">
      <c r="A688" s="0" t="s">
        <v>302</v>
      </c>
      <c r="E688" s="9" t="str">
        <f aca="false">IF(D688="?OLD","!!!","")</f>
        <v/>
      </c>
      <c r="F688" s="10" t="str">
        <f aca="false">IF(OR(E688="",E688="!!!"),"",IF(NOT(ISNA(VLOOKUP(E688,E$1:E687,1,FALSE()))),"OLD",IF(AND(E688&lt;&gt;"",E688&lt;&gt;"!!!"),"NEW","")))</f>
        <v/>
      </c>
      <c r="G688" s="11" t="str">
        <f aca="false">IF(OR(E688="",E688="!!!"),"",IF(OR(J688=0,AND(J688=1,K688=1),AND(J688=1,I688="SBJ"),AND(J688=1,I688=0)),"?IN_FOCUS",IF(J688&lt;=2,"?ACTIVATED",IF(J688&lt;&gt;"","?FAMILIAR",IF(F688="NEW",IF(ISNA(VLOOKUP(E688,#REF!,1,FALSE())),"?TYPE_IDENTIFIABLE","?REFERENTIAL"),"_")))))</f>
        <v/>
      </c>
      <c r="H688" s="12" t="str">
        <f aca="false">IF(J688&lt;&gt;1,"",IF(I688="SBJ","CB","?"))</f>
        <v/>
      </c>
      <c r="I688" s="13" t="str">
        <f aca="false">IF(OR(E688="",E688="!!!",F688="NEW"),"",INDEX(B$2:B687,-1+SUMPRODUCT(MAX(ROW(E$2:E687)*(E688=E$2:E687)))))</f>
        <v/>
      </c>
      <c r="J688" s="14" t="str">
        <f aca="true">IF(OR(E688="",E688="!!!",F688="NEW"),"",COUNTBLANK(OFFSET(A$1,,,SUMPRODUCT(MAX(ROW(E$2:E688)*(E688=E$2:E688)))))-COUNTBLANK(OFFSET(A$1,,,SUMPRODUCT(MAX(ROW(E$1:E687)*(E688=E$1:E687))))))</f>
        <v/>
      </c>
      <c r="K688" s="14" t="str">
        <f aca="false">IF(OR(E688="",E688="!!!",F688="NEW"),"",INDEX(J$1:J687,SUMPRODUCT(MAX(ROW(E$1:E687)*(E688=E$1:E687)))))</f>
        <v/>
      </c>
      <c r="L688" s="15"/>
    </row>
    <row r="689" customFormat="false" ht="12.75" hidden="false" customHeight="false" outlineLevel="0" collapsed="false">
      <c r="A689" s="0" t="s">
        <v>344</v>
      </c>
      <c r="B689" s="0" t="s">
        <v>28</v>
      </c>
      <c r="C689" s="0" t="s">
        <v>135</v>
      </c>
      <c r="D689" s="0" t="s">
        <v>29</v>
      </c>
      <c r="E689" s="9" t="str">
        <f aca="false">IF(D689="?OLD","!!!","")</f>
        <v>!!!</v>
      </c>
      <c r="F689" s="10" t="str">
        <f aca="false">IF(OR(E689="",E689="!!!"),"",IF(NOT(ISNA(VLOOKUP(E689,E$1:E688,1,FALSE()))),"OLD",IF(AND(E689&lt;&gt;"",E689&lt;&gt;"!!!"),"NEW","")))</f>
        <v/>
      </c>
      <c r="G689" s="11" t="str">
        <f aca="false">IF(OR(E689="",E689="!!!"),"",IF(OR(J689=0,AND(J689=1,K689=1),AND(J689=1,I689="SBJ"),AND(J689=1,I689=0)),"?IN_FOCUS",IF(J689&lt;=2,"?ACTIVATED",IF(J689&lt;&gt;"","?FAMILIAR",IF(F689="NEW",IF(ISNA(VLOOKUP(E689,#REF!,1,FALSE())),"?TYPE_IDENTIFIABLE","?REFERENTIAL"),"_")))))</f>
        <v/>
      </c>
      <c r="H689" s="12" t="str">
        <f aca="false">IF(J689&lt;&gt;1,"",IF(I689="SBJ","CB","?"))</f>
        <v/>
      </c>
      <c r="I689" s="13" t="str">
        <f aca="false">IF(OR(E689="",E689="!!!",F689="NEW"),"",INDEX(B$2:B688,-1+SUMPRODUCT(MAX(ROW(E$2:E688)*(E689=E$2:E688)))))</f>
        <v/>
      </c>
      <c r="J689" s="14" t="str">
        <f aca="true">IF(OR(E689="",E689="!!!",F689="NEW"),"",COUNTBLANK(OFFSET(A$1,,,SUMPRODUCT(MAX(ROW(E$2:E689)*(E689=E$2:E689)))))-COUNTBLANK(OFFSET(A$1,,,SUMPRODUCT(MAX(ROW(E$1:E688)*(E689=E$1:E688))))))</f>
        <v/>
      </c>
      <c r="K689" s="14" t="str">
        <f aca="false">IF(OR(E689="",E689="!!!",F689="NEW"),"",INDEX(J$1:J688,SUMPRODUCT(MAX(ROW(E$1:E688)*(E689=E$1:E688)))))</f>
        <v/>
      </c>
      <c r="L689" s="15"/>
    </row>
    <row r="690" customFormat="false" ht="12.75" hidden="false" customHeight="false" outlineLevel="0" collapsed="false">
      <c r="A690" s="0" t="s">
        <v>269</v>
      </c>
      <c r="E690" s="9" t="str">
        <f aca="false">IF(D690="?OLD","!!!","")</f>
        <v/>
      </c>
      <c r="F690" s="10" t="str">
        <f aca="false">IF(OR(E690="",E690="!!!"),"",IF(NOT(ISNA(VLOOKUP(E690,E$1:E689,1,FALSE()))),"OLD",IF(AND(E690&lt;&gt;"",E690&lt;&gt;"!!!"),"NEW","")))</f>
        <v/>
      </c>
      <c r="G690" s="11" t="str">
        <f aca="false">IF(OR(E690="",E690="!!!"),"",IF(OR(J690=0,AND(J690=1,K690=1),AND(J690=1,I690="SBJ"),AND(J690=1,I690=0)),"?IN_FOCUS",IF(J690&lt;=2,"?ACTIVATED",IF(J690&lt;&gt;"","?FAMILIAR",IF(F690="NEW",IF(ISNA(VLOOKUP(E690,#REF!,1,FALSE())),"?TYPE_IDENTIFIABLE","?REFERENTIAL"),"_")))))</f>
        <v/>
      </c>
      <c r="H690" s="12" t="str">
        <f aca="false">IF(J690&lt;&gt;1,"",IF(I690="SBJ","CB","?"))</f>
        <v/>
      </c>
      <c r="I690" s="13" t="str">
        <f aca="false">IF(OR(E690="",E690="!!!",F690="NEW"),"",INDEX(B$2:B689,-1+SUMPRODUCT(MAX(ROW(E$2:E689)*(E690=E$2:E689)))))</f>
        <v/>
      </c>
      <c r="J690" s="14" t="str">
        <f aca="true">IF(OR(E690="",E690="!!!",F690="NEW"),"",COUNTBLANK(OFFSET(A$1,,,SUMPRODUCT(MAX(ROW(E$2:E690)*(E690=E$2:E690)))))-COUNTBLANK(OFFSET(A$1,,,SUMPRODUCT(MAX(ROW(E$1:E689)*(E690=E$1:E689))))))</f>
        <v/>
      </c>
      <c r="K690" s="14" t="str">
        <f aca="false">IF(OR(E690="",E690="!!!",F690="NEW"),"",INDEX(J$1:J689,SUMPRODUCT(MAX(ROW(E$1:E689)*(E690=E$1:E689)))))</f>
        <v/>
      </c>
      <c r="L690" s="15"/>
    </row>
    <row r="691" customFormat="false" ht="12.75" hidden="false" customHeight="false" outlineLevel="0" collapsed="false">
      <c r="A691" s="0" t="s">
        <v>262</v>
      </c>
      <c r="E691" s="9" t="str">
        <f aca="false">IF(D691="?OLD","!!!","")</f>
        <v/>
      </c>
      <c r="F691" s="10" t="str">
        <f aca="false">IF(OR(E691="",E691="!!!"),"",IF(NOT(ISNA(VLOOKUP(E691,E$1:E690,1,FALSE()))),"OLD",IF(AND(E691&lt;&gt;"",E691&lt;&gt;"!!!"),"NEW","")))</f>
        <v/>
      </c>
      <c r="G691" s="11" t="str">
        <f aca="false">IF(OR(E691="",E691="!!!"),"",IF(OR(J691=0,AND(J691=1,K691=1),AND(J691=1,I691="SBJ"),AND(J691=1,I691=0)),"?IN_FOCUS",IF(J691&lt;=2,"?ACTIVATED",IF(J691&lt;&gt;"","?FAMILIAR",IF(F691="NEW",IF(ISNA(VLOOKUP(E691,#REF!,1,FALSE())),"?TYPE_IDENTIFIABLE","?REFERENTIAL"),"_")))))</f>
        <v/>
      </c>
      <c r="H691" s="12" t="str">
        <f aca="false">IF(J691&lt;&gt;1,"",IF(I691="SBJ","CB","?"))</f>
        <v/>
      </c>
      <c r="I691" s="13" t="str">
        <f aca="false">IF(OR(E691="",E691="!!!",F691="NEW"),"",INDEX(B$2:B690,-1+SUMPRODUCT(MAX(ROW(E$2:E690)*(E691=E$2:E690)))))</f>
        <v/>
      </c>
      <c r="J691" s="14" t="str">
        <f aca="true">IF(OR(E691="",E691="!!!",F691="NEW"),"",COUNTBLANK(OFFSET(A$1,,,SUMPRODUCT(MAX(ROW(E$2:E691)*(E691=E$2:E691)))))-COUNTBLANK(OFFSET(A$1,,,SUMPRODUCT(MAX(ROW(E$1:E690)*(E691=E$1:E690))))))</f>
        <v/>
      </c>
      <c r="K691" s="14" t="str">
        <f aca="false">IF(OR(E691="",E691="!!!",F691="NEW"),"",INDEX(J$1:J690,SUMPRODUCT(MAX(ROW(E$1:E690)*(E691=E$1:E690)))))</f>
        <v/>
      </c>
      <c r="L691" s="15"/>
    </row>
    <row r="692" customFormat="false" ht="12.75" hidden="false" customHeight="false" outlineLevel="0" collapsed="false">
      <c r="E692" s="9" t="str">
        <f aca="false">IF(D692="?OLD","!!!","")</f>
        <v/>
      </c>
      <c r="F692" s="10" t="str">
        <f aca="false">IF(OR(E692="",E692="!!!"),"",IF(NOT(ISNA(VLOOKUP(E692,E$1:E691,1,FALSE()))),"OLD",IF(AND(E692&lt;&gt;"",E692&lt;&gt;"!!!"),"NEW","")))</f>
        <v/>
      </c>
      <c r="G692" s="11" t="str">
        <f aca="false">IF(OR(E692="",E692="!!!"),"",IF(OR(J692=0,AND(J692=1,K692=1),AND(J692=1,I692="SBJ"),AND(J692=1,I692=0)),"?IN_FOCUS",IF(J692&lt;=2,"?ACTIVATED",IF(J692&lt;&gt;"","?FAMILIAR",IF(F692="NEW",IF(ISNA(VLOOKUP(E692,#REF!,1,FALSE())),"?TYPE_IDENTIFIABLE","?REFERENTIAL"),"_")))))</f>
        <v/>
      </c>
      <c r="H692" s="12" t="str">
        <f aca="false">IF(J692&lt;&gt;1,"",IF(I692="SBJ","CB","?"))</f>
        <v/>
      </c>
      <c r="I692" s="13" t="str">
        <f aca="false">IF(OR(E692="",E692="!!!",F692="NEW"),"",INDEX(B$2:B691,-1+SUMPRODUCT(MAX(ROW(E$2:E691)*(E692=E$2:E691)))))</f>
        <v/>
      </c>
      <c r="J692" s="14" t="str">
        <f aca="true">IF(OR(E692="",E692="!!!",F692="NEW"),"",COUNTBLANK(OFFSET(A$1,,,SUMPRODUCT(MAX(ROW(E$2:E692)*(E692=E$2:E692)))))-COUNTBLANK(OFFSET(A$1,,,SUMPRODUCT(MAX(ROW(E$1:E691)*(E692=E$1:E691))))))</f>
        <v/>
      </c>
      <c r="K692" s="14" t="str">
        <f aca="false">IF(OR(E692="",E692="!!!",F692="NEW"),"",INDEX(J$1:J691,SUMPRODUCT(MAX(ROW(E$1:E691)*(E692=E$1:E691)))))</f>
        <v/>
      </c>
      <c r="L692" s="15"/>
    </row>
    <row r="693" customFormat="false" ht="12.75" hidden="false" customHeight="false" outlineLevel="0" collapsed="false">
      <c r="A693" s="0" t="s">
        <v>260</v>
      </c>
      <c r="E693" s="9" t="str">
        <f aca="false">IF(D693="?OLD","!!!","")</f>
        <v/>
      </c>
      <c r="F693" s="10" t="str">
        <f aca="false">IF(OR(E693="",E693="!!!"),"",IF(NOT(ISNA(VLOOKUP(E693,E$1:E692,1,FALSE()))),"OLD",IF(AND(E693&lt;&gt;"",E693&lt;&gt;"!!!"),"NEW","")))</f>
        <v/>
      </c>
      <c r="G693" s="11" t="str">
        <f aca="false">IF(OR(E693="",E693="!!!"),"",IF(OR(J693=0,AND(J693=1,K693=1),AND(J693=1,I693="SBJ"),AND(J693=1,I693=0)),"?IN_FOCUS",IF(J693&lt;=2,"?ACTIVATED",IF(J693&lt;&gt;"","?FAMILIAR",IF(F693="NEW",IF(ISNA(VLOOKUP(E693,#REF!,1,FALSE())),"?TYPE_IDENTIFIABLE","?REFERENTIAL"),"_")))))</f>
        <v/>
      </c>
      <c r="H693" s="12" t="str">
        <f aca="false">IF(J693&lt;&gt;1,"",IF(I693="SBJ","CB","?"))</f>
        <v/>
      </c>
      <c r="I693" s="13" t="str">
        <f aca="false">IF(OR(E693="",E693="!!!",F693="NEW"),"",INDEX(B$2:B692,-1+SUMPRODUCT(MAX(ROW(E$2:E692)*(E693=E$2:E692)))))</f>
        <v/>
      </c>
      <c r="J693" s="14" t="str">
        <f aca="true">IF(OR(E693="",E693="!!!",F693="NEW"),"",COUNTBLANK(OFFSET(A$1,,,SUMPRODUCT(MAX(ROW(E$2:E693)*(E693=E$2:E693)))))-COUNTBLANK(OFFSET(A$1,,,SUMPRODUCT(MAX(ROW(E$1:E692)*(E693=E$1:E692))))))</f>
        <v/>
      </c>
      <c r="K693" s="14" t="str">
        <f aca="false">IF(OR(E693="",E693="!!!",F693="NEW"),"",INDEX(J$1:J692,SUMPRODUCT(MAX(ROW(E$1:E692)*(E693=E$1:E692)))))</f>
        <v/>
      </c>
      <c r="L693" s="15"/>
    </row>
    <row r="694" customFormat="false" ht="12.75" hidden="false" customHeight="false" outlineLevel="0" collapsed="false">
      <c r="A694" s="0" t="s">
        <v>398</v>
      </c>
      <c r="E694" s="9" t="str">
        <f aca="false">IF(D694="?OLD","!!!","")</f>
        <v/>
      </c>
      <c r="F694" s="10" t="str">
        <f aca="false">IF(OR(E694="",E694="!!!"),"",IF(NOT(ISNA(VLOOKUP(E694,E$1:E693,1,FALSE()))),"OLD",IF(AND(E694&lt;&gt;"",E694&lt;&gt;"!!!"),"NEW","")))</f>
        <v/>
      </c>
      <c r="G694" s="11" t="str">
        <f aca="false">IF(OR(E694="",E694="!!!"),"",IF(OR(J694=0,AND(J694=1,K694=1),AND(J694=1,I694="SBJ"),AND(J694=1,I694=0)),"?IN_FOCUS",IF(J694&lt;=2,"?ACTIVATED",IF(J694&lt;&gt;"","?FAMILIAR",IF(F694="NEW",IF(ISNA(VLOOKUP(E694,#REF!,1,FALSE())),"?TYPE_IDENTIFIABLE","?REFERENTIAL"),"_")))))</f>
        <v/>
      </c>
      <c r="H694" s="12" t="str">
        <f aca="false">IF(J694&lt;&gt;1,"",IF(I694="SBJ","CB","?"))</f>
        <v/>
      </c>
      <c r="I694" s="13" t="str">
        <f aca="false">IF(OR(E694="",E694="!!!",F694="NEW"),"",INDEX(B$2:B693,-1+SUMPRODUCT(MAX(ROW(E$2:E693)*(E694=E$2:E693)))))</f>
        <v/>
      </c>
      <c r="J694" s="14" t="str">
        <f aca="true">IF(OR(E694="",E694="!!!",F694="NEW"),"",COUNTBLANK(OFFSET(A$1,,,SUMPRODUCT(MAX(ROW(E$2:E694)*(E694=E$2:E694)))))-COUNTBLANK(OFFSET(A$1,,,SUMPRODUCT(MAX(ROW(E$1:E693)*(E694=E$1:E693))))))</f>
        <v/>
      </c>
      <c r="K694" s="14" t="str">
        <f aca="false">IF(OR(E694="",E694="!!!",F694="NEW"),"",INDEX(J$1:J693,SUMPRODUCT(MAX(ROW(E$1:E693)*(E694=E$1:E693)))))</f>
        <v/>
      </c>
      <c r="L694" s="15"/>
    </row>
    <row r="695" customFormat="false" ht="12.75" hidden="false" customHeight="false" outlineLevel="0" collapsed="false">
      <c r="A695" s="0" t="s">
        <v>262</v>
      </c>
      <c r="E695" s="9" t="str">
        <f aca="false">IF(D695="?OLD","!!!","")</f>
        <v/>
      </c>
      <c r="F695" s="10" t="str">
        <f aca="false">IF(OR(E695="",E695="!!!"),"",IF(NOT(ISNA(VLOOKUP(E695,E$1:E694,1,FALSE()))),"OLD",IF(AND(E695&lt;&gt;"",E695&lt;&gt;"!!!"),"NEW","")))</f>
        <v/>
      </c>
      <c r="G695" s="11" t="str">
        <f aca="false">IF(OR(E695="",E695="!!!"),"",IF(OR(J695=0,AND(J695=1,K695=1),AND(J695=1,I695="SBJ"),AND(J695=1,I695=0)),"?IN_FOCUS",IF(J695&lt;=2,"?ACTIVATED",IF(J695&lt;&gt;"","?FAMILIAR",IF(F695="NEW",IF(ISNA(VLOOKUP(E695,#REF!,1,FALSE())),"?TYPE_IDENTIFIABLE","?REFERENTIAL"),"_")))))</f>
        <v/>
      </c>
      <c r="H695" s="12" t="str">
        <f aca="false">IF(J695&lt;&gt;1,"",IF(I695="SBJ","CB","?"))</f>
        <v/>
      </c>
      <c r="I695" s="13" t="str">
        <f aca="false">IF(OR(E695="",E695="!!!",F695="NEW"),"",INDEX(B$2:B694,-1+SUMPRODUCT(MAX(ROW(E$2:E694)*(E695=E$2:E694)))))</f>
        <v/>
      </c>
      <c r="J695" s="14" t="str">
        <f aca="true">IF(OR(E695="",E695="!!!",F695="NEW"),"",COUNTBLANK(OFFSET(A$1,,,SUMPRODUCT(MAX(ROW(E$2:E695)*(E695=E$2:E695)))))-COUNTBLANK(OFFSET(A$1,,,SUMPRODUCT(MAX(ROW(E$1:E694)*(E695=E$1:E694))))))</f>
        <v/>
      </c>
      <c r="K695" s="14" t="str">
        <f aca="false">IF(OR(E695="",E695="!!!",F695="NEW"),"",INDEX(J$1:J694,SUMPRODUCT(MAX(ROW(E$1:E694)*(E695=E$1:E694)))))</f>
        <v/>
      </c>
      <c r="L695" s="15"/>
    </row>
    <row r="696" customFormat="false" ht="12.75" hidden="false" customHeight="false" outlineLevel="0" collapsed="false">
      <c r="A696" s="0" t="s">
        <v>122</v>
      </c>
      <c r="B696" s="0" t="s">
        <v>14</v>
      </c>
      <c r="C696" s="0" t="s">
        <v>38</v>
      </c>
      <c r="D696" s="0" t="s">
        <v>29</v>
      </c>
      <c r="E696" s="9" t="str">
        <f aca="false">IF(D696="?OLD","!!!","")</f>
        <v>!!!</v>
      </c>
      <c r="F696" s="10" t="str">
        <f aca="false">IF(OR(E696="",E696="!!!"),"",IF(NOT(ISNA(VLOOKUP(E696,E$1:E695,1,FALSE()))),"OLD",IF(AND(E696&lt;&gt;"",E696&lt;&gt;"!!!"),"NEW","")))</f>
        <v/>
      </c>
      <c r="G696" s="11" t="str">
        <f aca="false">IF(OR(E696="",E696="!!!"),"",IF(OR(J696=0,AND(J696=1,K696=1),AND(J696=1,I696="SBJ"),AND(J696=1,I696=0)),"?IN_FOCUS",IF(J696&lt;=2,"?ACTIVATED",IF(J696&lt;&gt;"","?FAMILIAR",IF(F696="NEW",IF(ISNA(VLOOKUP(E696,#REF!,1,FALSE())),"?TYPE_IDENTIFIABLE","?REFERENTIAL"),"_")))))</f>
        <v/>
      </c>
      <c r="H696" s="12" t="str">
        <f aca="false">IF(J696&lt;&gt;1,"",IF(I696="SBJ","CB","?"))</f>
        <v/>
      </c>
      <c r="I696" s="13" t="str">
        <f aca="false">IF(OR(E696="",E696="!!!",F696="NEW"),"",INDEX(B$2:B695,-1+SUMPRODUCT(MAX(ROW(E$2:E695)*(E696=E$2:E695)))))</f>
        <v/>
      </c>
      <c r="J696" s="14" t="str">
        <f aca="true">IF(OR(E696="",E696="!!!",F696="NEW"),"",COUNTBLANK(OFFSET(A$1,,,SUMPRODUCT(MAX(ROW(E$2:E696)*(E696=E$2:E696)))))-COUNTBLANK(OFFSET(A$1,,,SUMPRODUCT(MAX(ROW(E$1:E695)*(E696=E$1:E695))))))</f>
        <v/>
      </c>
      <c r="K696" s="14" t="str">
        <f aca="false">IF(OR(E696="",E696="!!!",F696="NEW"),"",INDEX(J$1:J695,SUMPRODUCT(MAX(ROW(E$1:E695)*(E696=E$1:E695)))))</f>
        <v/>
      </c>
      <c r="L696" s="15"/>
    </row>
    <row r="697" customFormat="false" ht="12.75" hidden="false" customHeight="false" outlineLevel="0" collapsed="false">
      <c r="A697" s="0" t="s">
        <v>399</v>
      </c>
      <c r="E697" s="9" t="str">
        <f aca="false">IF(D697="?OLD","!!!","")</f>
        <v/>
      </c>
      <c r="F697" s="10" t="str">
        <f aca="false">IF(OR(E697="",E697="!!!"),"",IF(NOT(ISNA(VLOOKUP(E697,E$1:E696,1,FALSE()))),"OLD",IF(AND(E697&lt;&gt;"",E697&lt;&gt;"!!!"),"NEW","")))</f>
        <v/>
      </c>
      <c r="G697" s="11" t="str">
        <f aca="false">IF(OR(E697="",E697="!!!"),"",IF(OR(J697=0,AND(J697=1,K697=1),AND(J697=1,I697="SBJ"),AND(J697=1,I697=0)),"?IN_FOCUS",IF(J697&lt;=2,"?ACTIVATED",IF(J697&lt;&gt;"","?FAMILIAR",IF(F697="NEW",IF(ISNA(VLOOKUP(E697,#REF!,1,FALSE())),"?TYPE_IDENTIFIABLE","?REFERENTIAL"),"_")))))</f>
        <v/>
      </c>
      <c r="H697" s="12" t="str">
        <f aca="false">IF(J697&lt;&gt;1,"",IF(I697="SBJ","CB","?"))</f>
        <v/>
      </c>
      <c r="I697" s="13" t="str">
        <f aca="false">IF(OR(E697="",E697="!!!",F697="NEW"),"",INDEX(B$2:B696,-1+SUMPRODUCT(MAX(ROW(E$2:E696)*(E697=E$2:E696)))))</f>
        <v/>
      </c>
      <c r="J697" s="14" t="str">
        <f aca="true">IF(OR(E697="",E697="!!!",F697="NEW"),"",COUNTBLANK(OFFSET(A$1,,,SUMPRODUCT(MAX(ROW(E$2:E697)*(E697=E$2:E697)))))-COUNTBLANK(OFFSET(A$1,,,SUMPRODUCT(MAX(ROW(E$1:E696)*(E697=E$1:E696))))))</f>
        <v/>
      </c>
      <c r="K697" s="14" t="str">
        <f aca="false">IF(OR(E697="",E697="!!!",F697="NEW"),"",INDEX(J$1:J696,SUMPRODUCT(MAX(ROW(E$1:E696)*(E697=E$1:E696)))))</f>
        <v/>
      </c>
      <c r="L697" s="15"/>
    </row>
    <row r="698" customFormat="false" ht="12.75" hidden="false" customHeight="false" outlineLevel="0" collapsed="false">
      <c r="A698" s="0" t="s">
        <v>400</v>
      </c>
      <c r="B698" s="0" t="s">
        <v>42</v>
      </c>
      <c r="C698" s="0" t="s">
        <v>38</v>
      </c>
      <c r="D698" s="0" t="s">
        <v>29</v>
      </c>
      <c r="E698" s="9" t="str">
        <f aca="false">IF(D698="?OLD","!!!","")</f>
        <v>!!!</v>
      </c>
      <c r="F698" s="10" t="str">
        <f aca="false">IF(OR(E698="",E698="!!!"),"",IF(NOT(ISNA(VLOOKUP(E698,E$1:E697,1,FALSE()))),"OLD",IF(AND(E698&lt;&gt;"",E698&lt;&gt;"!!!"),"NEW","")))</f>
        <v/>
      </c>
      <c r="G698" s="11" t="str">
        <f aca="false">IF(OR(E698="",E698="!!!"),"",IF(OR(J698=0,AND(J698=1,K698=1),AND(J698=1,I698="SBJ"),AND(J698=1,I698=0)),"?IN_FOCUS",IF(J698&lt;=2,"?ACTIVATED",IF(J698&lt;&gt;"","?FAMILIAR",IF(F698="NEW",IF(ISNA(VLOOKUP(E698,#REF!,1,FALSE())),"?TYPE_IDENTIFIABLE","?REFERENTIAL"),"_")))))</f>
        <v/>
      </c>
      <c r="H698" s="12" t="str">
        <f aca="false">IF(J698&lt;&gt;1,"",IF(I698="SBJ","CB","?"))</f>
        <v/>
      </c>
      <c r="I698" s="13" t="str">
        <f aca="false">IF(OR(E698="",E698="!!!",F698="NEW"),"",INDEX(B$2:B697,-1+SUMPRODUCT(MAX(ROW(E$2:E697)*(E698=E$2:E697)))))</f>
        <v/>
      </c>
      <c r="J698" s="14" t="str">
        <f aca="true">IF(OR(E698="",E698="!!!",F698="NEW"),"",COUNTBLANK(OFFSET(A$1,,,SUMPRODUCT(MAX(ROW(E$2:E698)*(E698=E$2:E698)))))-COUNTBLANK(OFFSET(A$1,,,SUMPRODUCT(MAX(ROW(E$1:E697)*(E698=E$1:E697))))))</f>
        <v/>
      </c>
      <c r="K698" s="14" t="str">
        <f aca="false">IF(OR(E698="",E698="!!!",F698="NEW"),"",INDEX(J$1:J697,SUMPRODUCT(MAX(ROW(E$1:E697)*(E698=E$1:E697)))))</f>
        <v/>
      </c>
      <c r="L698" s="15"/>
    </row>
    <row r="699" customFormat="false" ht="12.75" hidden="false" customHeight="false" outlineLevel="0" collapsed="false">
      <c r="A699" s="0" t="s">
        <v>294</v>
      </c>
      <c r="E699" s="9" t="str">
        <f aca="false">IF(D699="?OLD","!!!","")</f>
        <v/>
      </c>
      <c r="F699" s="10" t="str">
        <f aca="false">IF(OR(E699="",E699="!!!"),"",IF(NOT(ISNA(VLOOKUP(E699,E$1:E698,1,FALSE()))),"OLD",IF(AND(E699&lt;&gt;"",E699&lt;&gt;"!!!"),"NEW","")))</f>
        <v/>
      </c>
      <c r="G699" s="11" t="str">
        <f aca="false">IF(OR(E699="",E699="!!!"),"",IF(OR(J699=0,AND(J699=1,K699=1),AND(J699=1,I699="SBJ"),AND(J699=1,I699=0)),"?IN_FOCUS",IF(J699&lt;=2,"?ACTIVATED",IF(J699&lt;&gt;"","?FAMILIAR",IF(F699="NEW",IF(ISNA(VLOOKUP(E699,#REF!,1,FALSE())),"?TYPE_IDENTIFIABLE","?REFERENTIAL"),"_")))))</f>
        <v/>
      </c>
      <c r="H699" s="12" t="str">
        <f aca="false">IF(J699&lt;&gt;1,"",IF(I699="SBJ","CB","?"))</f>
        <v/>
      </c>
      <c r="I699" s="13" t="str">
        <f aca="false">IF(OR(E699="",E699="!!!",F699="NEW"),"",INDEX(B$2:B698,-1+SUMPRODUCT(MAX(ROW(E$2:E698)*(E699=E$2:E698)))))</f>
        <v/>
      </c>
      <c r="J699" s="14" t="str">
        <f aca="true">IF(OR(E699="",E699="!!!",F699="NEW"),"",COUNTBLANK(OFFSET(A$1,,,SUMPRODUCT(MAX(ROW(E$2:E699)*(E699=E$2:E699)))))-COUNTBLANK(OFFSET(A$1,,,SUMPRODUCT(MAX(ROW(E$1:E698)*(E699=E$1:E698))))))</f>
        <v/>
      </c>
      <c r="K699" s="14" t="str">
        <f aca="false">IF(OR(E699="",E699="!!!",F699="NEW"),"",INDEX(J$1:J698,SUMPRODUCT(MAX(ROW(E$1:E698)*(E699=E$1:E698)))))</f>
        <v/>
      </c>
      <c r="L699" s="15"/>
    </row>
    <row r="700" customFormat="false" ht="12.75" hidden="false" customHeight="false" outlineLevel="0" collapsed="false">
      <c r="A700" s="0" t="s">
        <v>66</v>
      </c>
      <c r="E700" s="9" t="str">
        <f aca="false">IF(D700="?OLD","!!!","")</f>
        <v/>
      </c>
      <c r="F700" s="10" t="str">
        <f aca="false">IF(OR(E700="",E700="!!!"),"",IF(NOT(ISNA(VLOOKUP(E700,E$1:E699,1,FALSE()))),"OLD",IF(AND(E700&lt;&gt;"",E700&lt;&gt;"!!!"),"NEW","")))</f>
        <v/>
      </c>
      <c r="G700" s="11" t="str">
        <f aca="false">IF(OR(E700="",E700="!!!"),"",IF(OR(J700=0,AND(J700=1,K700=1),AND(J700=1,I700="SBJ"),AND(J700=1,I700=0)),"?IN_FOCUS",IF(J700&lt;=2,"?ACTIVATED",IF(J700&lt;&gt;"","?FAMILIAR",IF(F700="NEW",IF(ISNA(VLOOKUP(E700,#REF!,1,FALSE())),"?TYPE_IDENTIFIABLE","?REFERENTIAL"),"_")))))</f>
        <v/>
      </c>
      <c r="H700" s="12" t="str">
        <f aca="false">IF(J700&lt;&gt;1,"",IF(I700="SBJ","CB","?"))</f>
        <v/>
      </c>
      <c r="I700" s="13" t="str">
        <f aca="false">IF(OR(E700="",E700="!!!",F700="NEW"),"",INDEX(B$2:B699,-1+SUMPRODUCT(MAX(ROW(E$2:E699)*(E700=E$2:E699)))))</f>
        <v/>
      </c>
      <c r="J700" s="14" t="str">
        <f aca="true">IF(OR(E700="",E700="!!!",F700="NEW"),"",COUNTBLANK(OFFSET(A$1,,,SUMPRODUCT(MAX(ROW(E$2:E700)*(E700=E$2:E700)))))-COUNTBLANK(OFFSET(A$1,,,SUMPRODUCT(MAX(ROW(E$1:E699)*(E700=E$1:E699))))))</f>
        <v/>
      </c>
      <c r="K700" s="14" t="str">
        <f aca="false">IF(OR(E700="",E700="!!!",F700="NEW"),"",INDEX(J$1:J699,SUMPRODUCT(MAX(ROW(E$1:E699)*(E700=E$1:E699)))))</f>
        <v/>
      </c>
      <c r="L700" s="15"/>
    </row>
    <row r="701" customFormat="false" ht="12.75" hidden="false" customHeight="false" outlineLevel="0" collapsed="false">
      <c r="A701" s="0" t="s">
        <v>401</v>
      </c>
      <c r="E701" s="9" t="str">
        <f aca="false">IF(D701="?OLD","!!!","")</f>
        <v/>
      </c>
      <c r="F701" s="10" t="str">
        <f aca="false">IF(OR(E701="",E701="!!!"),"",IF(NOT(ISNA(VLOOKUP(E701,E$1:E700,1,FALSE()))),"OLD",IF(AND(E701&lt;&gt;"",E701&lt;&gt;"!!!"),"NEW","")))</f>
        <v/>
      </c>
      <c r="G701" s="11" t="str">
        <f aca="false">IF(OR(E701="",E701="!!!"),"",IF(OR(J701=0,AND(J701=1,K701=1),AND(J701=1,I701="SBJ"),AND(J701=1,I701=0)),"?IN_FOCUS",IF(J701&lt;=2,"?ACTIVATED",IF(J701&lt;&gt;"","?FAMILIAR",IF(F701="NEW",IF(ISNA(VLOOKUP(E701,#REF!,1,FALSE())),"?TYPE_IDENTIFIABLE","?REFERENTIAL"),"_")))))</f>
        <v/>
      </c>
      <c r="H701" s="12" t="str">
        <f aca="false">IF(J701&lt;&gt;1,"",IF(I701="SBJ","CB","?"))</f>
        <v/>
      </c>
      <c r="I701" s="13" t="str">
        <f aca="false">IF(OR(E701="",E701="!!!",F701="NEW"),"",INDEX(B$2:B700,-1+SUMPRODUCT(MAX(ROW(E$2:E700)*(E701=E$2:E700)))))</f>
        <v/>
      </c>
      <c r="J701" s="14" t="str">
        <f aca="true">IF(OR(E701="",E701="!!!",F701="NEW"),"",COUNTBLANK(OFFSET(A$1,,,SUMPRODUCT(MAX(ROW(E$2:E701)*(E701=E$2:E701)))))-COUNTBLANK(OFFSET(A$1,,,SUMPRODUCT(MAX(ROW(E$1:E700)*(E701=E$1:E700))))))</f>
        <v/>
      </c>
      <c r="K701" s="14" t="str">
        <f aca="false">IF(OR(E701="",E701="!!!",F701="NEW"),"",INDEX(J$1:J700,SUMPRODUCT(MAX(ROW(E$1:E700)*(E701=E$1:E700)))))</f>
        <v/>
      </c>
      <c r="L701" s="15"/>
    </row>
    <row r="702" customFormat="false" ht="12.75" hidden="false" customHeight="false" outlineLevel="0" collapsed="false">
      <c r="A702" s="0" t="s">
        <v>397</v>
      </c>
      <c r="B702" s="0" t="s">
        <v>62</v>
      </c>
      <c r="C702" s="0" t="s">
        <v>111</v>
      </c>
      <c r="D702" s="0" t="s">
        <v>29</v>
      </c>
      <c r="E702" s="9" t="str">
        <f aca="false">IF(D702="?OLD","!!!","")</f>
        <v>!!!</v>
      </c>
      <c r="F702" s="10" t="str">
        <f aca="false">IF(OR(E702="",E702="!!!"),"",IF(NOT(ISNA(VLOOKUP(E702,E$1:E701,1,FALSE()))),"OLD",IF(AND(E702&lt;&gt;"",E702&lt;&gt;"!!!"),"NEW","")))</f>
        <v/>
      </c>
      <c r="G702" s="11" t="str">
        <f aca="false">IF(OR(E702="",E702="!!!"),"",IF(OR(J702=0,AND(J702=1,K702=1),AND(J702=1,I702="SBJ"),AND(J702=1,I702=0)),"?IN_FOCUS",IF(J702&lt;=2,"?ACTIVATED",IF(J702&lt;&gt;"","?FAMILIAR",IF(F702="NEW",IF(ISNA(VLOOKUP(E702,#REF!,1,FALSE())),"?TYPE_IDENTIFIABLE","?REFERENTIAL"),"_")))))</f>
        <v/>
      </c>
      <c r="H702" s="12" t="str">
        <f aca="false">IF(J702&lt;&gt;1,"",IF(I702="SBJ","CB","?"))</f>
        <v/>
      </c>
      <c r="I702" s="13" t="str">
        <f aca="false">IF(OR(E702="",E702="!!!",F702="NEW"),"",INDEX(B$2:B701,-1+SUMPRODUCT(MAX(ROW(E$2:E701)*(E702=E$2:E701)))))</f>
        <v/>
      </c>
      <c r="J702" s="14" t="str">
        <f aca="true">IF(OR(E702="",E702="!!!",F702="NEW"),"",COUNTBLANK(OFFSET(A$1,,,SUMPRODUCT(MAX(ROW(E$2:E702)*(E702=E$2:E702)))))-COUNTBLANK(OFFSET(A$1,,,SUMPRODUCT(MAX(ROW(E$1:E701)*(E702=E$1:E701))))))</f>
        <v/>
      </c>
      <c r="K702" s="14" t="str">
        <f aca="false">IF(OR(E702="",E702="!!!",F702="NEW"),"",INDEX(J$1:J701,SUMPRODUCT(MAX(ROW(E$1:E701)*(E702=E$1:E701)))))</f>
        <v/>
      </c>
      <c r="L702" s="15"/>
    </row>
    <row r="703" customFormat="false" ht="12.75" hidden="false" customHeight="false" outlineLevel="0" collapsed="false">
      <c r="A703" s="0" t="s">
        <v>73</v>
      </c>
      <c r="E703" s="9" t="str">
        <f aca="false">IF(D703="?OLD","!!!","")</f>
        <v/>
      </c>
      <c r="F703" s="10" t="str">
        <f aca="false">IF(OR(E703="",E703="!!!"),"",IF(NOT(ISNA(VLOOKUP(E703,E$1:E702,1,FALSE()))),"OLD",IF(AND(E703&lt;&gt;"",E703&lt;&gt;"!!!"),"NEW","")))</f>
        <v/>
      </c>
      <c r="G703" s="11" t="str">
        <f aca="false">IF(OR(E703="",E703="!!!"),"",IF(OR(J703=0,AND(J703=1,K703=1),AND(J703=1,I703="SBJ"),AND(J703=1,I703=0)),"?IN_FOCUS",IF(J703&lt;=2,"?ACTIVATED",IF(J703&lt;&gt;"","?FAMILIAR",IF(F703="NEW",IF(ISNA(VLOOKUP(E703,#REF!,1,FALSE())),"?TYPE_IDENTIFIABLE","?REFERENTIAL"),"_")))))</f>
        <v/>
      </c>
      <c r="H703" s="12" t="str">
        <f aca="false">IF(J703&lt;&gt;1,"",IF(I703="SBJ","CB","?"))</f>
        <v/>
      </c>
      <c r="I703" s="13" t="str">
        <f aca="false">IF(OR(E703="",E703="!!!",F703="NEW"),"",INDEX(B$2:B702,-1+SUMPRODUCT(MAX(ROW(E$2:E702)*(E703=E$2:E702)))))</f>
        <v/>
      </c>
      <c r="J703" s="14" t="str">
        <f aca="true">IF(OR(E703="",E703="!!!",F703="NEW"),"",COUNTBLANK(OFFSET(A$1,,,SUMPRODUCT(MAX(ROW(E$2:E703)*(E703=E$2:E703)))))-COUNTBLANK(OFFSET(A$1,,,SUMPRODUCT(MAX(ROW(E$1:E702)*(E703=E$1:E702))))))</f>
        <v/>
      </c>
      <c r="K703" s="14" t="str">
        <f aca="false">IF(OR(E703="",E703="!!!",F703="NEW"),"",INDEX(J$1:J702,SUMPRODUCT(MAX(ROW(E$1:E702)*(E703=E$1:E702)))))</f>
        <v/>
      </c>
      <c r="L703" s="15"/>
    </row>
    <row r="704" customFormat="false" ht="12.75" hidden="false" customHeight="false" outlineLevel="0" collapsed="false">
      <c r="A704" s="0" t="s">
        <v>262</v>
      </c>
      <c r="E704" s="9" t="str">
        <f aca="false">IF(D704="?OLD","!!!","")</f>
        <v/>
      </c>
      <c r="F704" s="10" t="str">
        <f aca="false">IF(OR(E704="",E704="!!!"),"",IF(NOT(ISNA(VLOOKUP(E704,E$1:E703,1,FALSE()))),"OLD",IF(AND(E704&lt;&gt;"",E704&lt;&gt;"!!!"),"NEW","")))</f>
        <v/>
      </c>
      <c r="G704" s="11" t="str">
        <f aca="false">IF(OR(E704="",E704="!!!"),"",IF(OR(J704=0,AND(J704=1,K704=1),AND(J704=1,I704="SBJ"),AND(J704=1,I704=0)),"?IN_FOCUS",IF(J704&lt;=2,"?ACTIVATED",IF(J704&lt;&gt;"","?FAMILIAR",IF(F704="NEW",IF(ISNA(VLOOKUP(E704,#REF!,1,FALSE())),"?TYPE_IDENTIFIABLE","?REFERENTIAL"),"_")))))</f>
        <v/>
      </c>
      <c r="H704" s="12" t="str">
        <f aca="false">IF(J704&lt;&gt;1,"",IF(I704="SBJ","CB","?"))</f>
        <v/>
      </c>
      <c r="I704" s="13" t="str">
        <f aca="false">IF(OR(E704="",E704="!!!",F704="NEW"),"",INDEX(B$2:B703,-1+SUMPRODUCT(MAX(ROW(E$2:E703)*(E704=E$2:E703)))))</f>
        <v/>
      </c>
      <c r="J704" s="14" t="str">
        <f aca="true">IF(OR(E704="",E704="!!!",F704="NEW"),"",COUNTBLANK(OFFSET(A$1,,,SUMPRODUCT(MAX(ROW(E$2:E704)*(E704=E$2:E704)))))-COUNTBLANK(OFFSET(A$1,,,SUMPRODUCT(MAX(ROW(E$1:E703)*(E704=E$1:E703))))))</f>
        <v/>
      </c>
      <c r="K704" s="14" t="str">
        <f aca="false">IF(OR(E704="",E704="!!!",F704="NEW"),"",INDEX(J$1:J703,SUMPRODUCT(MAX(ROW(E$1:E703)*(E704=E$1:E703)))))</f>
        <v/>
      </c>
      <c r="L704" s="15"/>
    </row>
    <row r="705" customFormat="false" ht="12.75" hidden="false" customHeight="false" outlineLevel="0" collapsed="false">
      <c r="E705" s="9" t="str">
        <f aca="false">IF(D705="?OLD","!!!","")</f>
        <v/>
      </c>
      <c r="F705" s="10" t="str">
        <f aca="false">IF(OR(E705="",E705="!!!"),"",IF(NOT(ISNA(VLOOKUP(E705,E$1:E704,1,FALSE()))),"OLD",IF(AND(E705&lt;&gt;"",E705&lt;&gt;"!!!"),"NEW","")))</f>
        <v/>
      </c>
      <c r="G705" s="11" t="str">
        <f aca="false">IF(OR(E705="",E705="!!!"),"",IF(OR(J705=0,AND(J705=1,K705=1),AND(J705=1,I705="SBJ"),AND(J705=1,I705=0)),"?IN_FOCUS",IF(J705&lt;=2,"?ACTIVATED",IF(J705&lt;&gt;"","?FAMILIAR",IF(F705="NEW",IF(ISNA(VLOOKUP(E705,#REF!,1,FALSE())),"?TYPE_IDENTIFIABLE","?REFERENTIAL"),"_")))))</f>
        <v/>
      </c>
      <c r="H705" s="12" t="str">
        <f aca="false">IF(J705&lt;&gt;1,"",IF(I705="SBJ","CB","?"))</f>
        <v/>
      </c>
      <c r="I705" s="13" t="str">
        <f aca="false">IF(OR(E705="",E705="!!!",F705="NEW"),"",INDEX(B$2:B704,-1+SUMPRODUCT(MAX(ROW(E$2:E704)*(E705=E$2:E704)))))</f>
        <v/>
      </c>
      <c r="J705" s="14" t="str">
        <f aca="true">IF(OR(E705="",E705="!!!",F705="NEW"),"",COUNTBLANK(OFFSET(A$1,,,SUMPRODUCT(MAX(ROW(E$2:E705)*(E705=E$2:E705)))))-COUNTBLANK(OFFSET(A$1,,,SUMPRODUCT(MAX(ROW(E$1:E704)*(E705=E$1:E704))))))</f>
        <v/>
      </c>
      <c r="K705" s="14" t="str">
        <f aca="false">IF(OR(E705="",E705="!!!",F705="NEW"),"",INDEX(J$1:J704,SUMPRODUCT(MAX(ROW(E$1:E704)*(E705=E$1:E704)))))</f>
        <v/>
      </c>
      <c r="L705" s="15"/>
    </row>
    <row r="706" customFormat="false" ht="12.75" hidden="false" customHeight="false" outlineLevel="0" collapsed="false">
      <c r="A706" s="0" t="s">
        <v>260</v>
      </c>
      <c r="E706" s="9" t="str">
        <f aca="false">IF(D706="?OLD","!!!","")</f>
        <v/>
      </c>
      <c r="F706" s="10" t="str">
        <f aca="false">IF(OR(E706="",E706="!!!"),"",IF(NOT(ISNA(VLOOKUP(E706,E$1:E705,1,FALSE()))),"OLD",IF(AND(E706&lt;&gt;"",E706&lt;&gt;"!!!"),"NEW","")))</f>
        <v/>
      </c>
      <c r="G706" s="11" t="str">
        <f aca="false">IF(OR(E706="",E706="!!!"),"",IF(OR(J706=0,AND(J706=1,K706=1),AND(J706=1,I706="SBJ"),AND(J706=1,I706=0)),"?IN_FOCUS",IF(J706&lt;=2,"?ACTIVATED",IF(J706&lt;&gt;"","?FAMILIAR",IF(F706="NEW",IF(ISNA(VLOOKUP(E706,#REF!,1,FALSE())),"?TYPE_IDENTIFIABLE","?REFERENTIAL"),"_")))))</f>
        <v/>
      </c>
      <c r="H706" s="12" t="str">
        <f aca="false">IF(J706&lt;&gt;1,"",IF(I706="SBJ","CB","?"))</f>
        <v/>
      </c>
      <c r="I706" s="13" t="str">
        <f aca="false">IF(OR(E706="",E706="!!!",F706="NEW"),"",INDEX(B$2:B705,-1+SUMPRODUCT(MAX(ROW(E$2:E705)*(E706=E$2:E705)))))</f>
        <v/>
      </c>
      <c r="J706" s="14" t="str">
        <f aca="true">IF(OR(E706="",E706="!!!",F706="NEW"),"",COUNTBLANK(OFFSET(A$1,,,SUMPRODUCT(MAX(ROW(E$2:E706)*(E706=E$2:E706)))))-COUNTBLANK(OFFSET(A$1,,,SUMPRODUCT(MAX(ROW(E$1:E705)*(E706=E$1:E705))))))</f>
        <v/>
      </c>
      <c r="K706" s="14" t="str">
        <f aca="false">IF(OR(E706="",E706="!!!",F706="NEW"),"",INDEX(J$1:J705,SUMPRODUCT(MAX(ROW(E$1:E705)*(E706=E$1:E705)))))</f>
        <v/>
      </c>
      <c r="L706" s="15"/>
    </row>
    <row r="707" customFormat="false" ht="12.75" hidden="false" customHeight="false" outlineLevel="0" collapsed="false">
      <c r="A707" s="0" t="s">
        <v>402</v>
      </c>
      <c r="E707" s="9" t="str">
        <f aca="false">IF(D707="?OLD","!!!","")</f>
        <v/>
      </c>
      <c r="F707" s="10" t="str">
        <f aca="false">IF(OR(E707="",E707="!!!"),"",IF(NOT(ISNA(VLOOKUP(E707,E$1:E706,1,FALSE()))),"OLD",IF(AND(E707&lt;&gt;"",E707&lt;&gt;"!!!"),"NEW","")))</f>
        <v/>
      </c>
      <c r="G707" s="11" t="str">
        <f aca="false">IF(OR(E707="",E707="!!!"),"",IF(OR(J707=0,AND(J707=1,K707=1),AND(J707=1,I707="SBJ"),AND(J707=1,I707=0)),"?IN_FOCUS",IF(J707&lt;=2,"?ACTIVATED",IF(J707&lt;&gt;"","?FAMILIAR",IF(F707="NEW",IF(ISNA(VLOOKUP(E707,#REF!,1,FALSE())),"?TYPE_IDENTIFIABLE","?REFERENTIAL"),"_")))))</f>
        <v/>
      </c>
      <c r="H707" s="12" t="str">
        <f aca="false">IF(J707&lt;&gt;1,"",IF(I707="SBJ","CB","?"))</f>
        <v/>
      </c>
      <c r="I707" s="13" t="str">
        <f aca="false">IF(OR(E707="",E707="!!!",F707="NEW"),"",INDEX(B$2:B706,-1+SUMPRODUCT(MAX(ROW(E$2:E706)*(E707=E$2:E706)))))</f>
        <v/>
      </c>
      <c r="J707" s="14" t="str">
        <f aca="true">IF(OR(E707="",E707="!!!",F707="NEW"),"",COUNTBLANK(OFFSET(A$1,,,SUMPRODUCT(MAX(ROW(E$2:E707)*(E707=E$2:E707)))))-COUNTBLANK(OFFSET(A$1,,,SUMPRODUCT(MAX(ROW(E$1:E706)*(E707=E$1:E706))))))</f>
        <v/>
      </c>
      <c r="K707" s="14" t="str">
        <f aca="false">IF(OR(E707="",E707="!!!",F707="NEW"),"",INDEX(J$1:J706,SUMPRODUCT(MAX(ROW(E$1:E706)*(E707=E$1:E706)))))</f>
        <v/>
      </c>
      <c r="L707" s="15"/>
    </row>
    <row r="708" customFormat="false" ht="12.75" hidden="false" customHeight="false" outlineLevel="0" collapsed="false">
      <c r="A708" s="0" t="s">
        <v>262</v>
      </c>
      <c r="E708" s="9" t="str">
        <f aca="false">IF(D708="?OLD","!!!","")</f>
        <v/>
      </c>
      <c r="F708" s="10" t="str">
        <f aca="false">IF(OR(E708="",E708="!!!"),"",IF(NOT(ISNA(VLOOKUP(E708,E$1:E707,1,FALSE()))),"OLD",IF(AND(E708&lt;&gt;"",E708&lt;&gt;"!!!"),"NEW","")))</f>
        <v/>
      </c>
      <c r="G708" s="11" t="str">
        <f aca="false">IF(OR(E708="",E708="!!!"),"",IF(OR(J708=0,AND(J708=1,K708=1),AND(J708=1,I708="SBJ"),AND(J708=1,I708=0)),"?IN_FOCUS",IF(J708&lt;=2,"?ACTIVATED",IF(J708&lt;&gt;"","?FAMILIAR",IF(F708="NEW",IF(ISNA(VLOOKUP(E708,#REF!,1,FALSE())),"?TYPE_IDENTIFIABLE","?REFERENTIAL"),"_")))))</f>
        <v/>
      </c>
      <c r="H708" s="12" t="str">
        <f aca="false">IF(J708&lt;&gt;1,"",IF(I708="SBJ","CB","?"))</f>
        <v/>
      </c>
      <c r="I708" s="13" t="str">
        <f aca="false">IF(OR(E708="",E708="!!!",F708="NEW"),"",INDEX(B$2:B707,-1+SUMPRODUCT(MAX(ROW(E$2:E707)*(E708=E$2:E707)))))</f>
        <v/>
      </c>
      <c r="J708" s="14" t="str">
        <f aca="true">IF(OR(E708="",E708="!!!",F708="NEW"),"",COUNTBLANK(OFFSET(A$1,,,SUMPRODUCT(MAX(ROW(E$2:E708)*(E708=E$2:E708)))))-COUNTBLANK(OFFSET(A$1,,,SUMPRODUCT(MAX(ROW(E$1:E707)*(E708=E$1:E707))))))</f>
        <v/>
      </c>
      <c r="K708" s="14" t="str">
        <f aca="false">IF(OR(E708="",E708="!!!",F708="NEW"),"",INDEX(J$1:J707,SUMPRODUCT(MAX(ROW(E$1:E707)*(E708=E$1:E707)))))</f>
        <v/>
      </c>
      <c r="L708" s="15"/>
    </row>
    <row r="709" customFormat="false" ht="12.75" hidden="false" customHeight="false" outlineLevel="0" collapsed="false">
      <c r="A709" s="0" t="s">
        <v>403</v>
      </c>
      <c r="E709" s="9" t="str">
        <f aca="false">IF(D709="?OLD","!!!","")</f>
        <v/>
      </c>
      <c r="F709" s="10" t="str">
        <f aca="false">IF(OR(E709="",E709="!!!"),"",IF(NOT(ISNA(VLOOKUP(E709,E$1:E708,1,FALSE()))),"OLD",IF(AND(E709&lt;&gt;"",E709&lt;&gt;"!!!"),"NEW","")))</f>
        <v/>
      </c>
      <c r="G709" s="11" t="str">
        <f aca="false">IF(OR(E709="",E709="!!!"),"",IF(OR(J709=0,AND(J709=1,K709=1),AND(J709=1,I709="SBJ"),AND(J709=1,I709=0)),"?IN_FOCUS",IF(J709&lt;=2,"?ACTIVATED",IF(J709&lt;&gt;"","?FAMILIAR",IF(F709="NEW",IF(ISNA(VLOOKUP(E709,#REF!,1,FALSE())),"?TYPE_IDENTIFIABLE","?REFERENTIAL"),"_")))))</f>
        <v/>
      </c>
      <c r="H709" s="12" t="str">
        <f aca="false">IF(J709&lt;&gt;1,"",IF(I709="SBJ","CB","?"))</f>
        <v/>
      </c>
      <c r="I709" s="13" t="str">
        <f aca="false">IF(OR(E709="",E709="!!!",F709="NEW"),"",INDEX(B$2:B708,-1+SUMPRODUCT(MAX(ROW(E$2:E708)*(E709=E$2:E708)))))</f>
        <v/>
      </c>
      <c r="J709" s="14" t="str">
        <f aca="true">IF(OR(E709="",E709="!!!",F709="NEW"),"",COUNTBLANK(OFFSET(A$1,,,SUMPRODUCT(MAX(ROW(E$2:E709)*(E709=E$2:E709)))))-COUNTBLANK(OFFSET(A$1,,,SUMPRODUCT(MAX(ROW(E$1:E708)*(E709=E$1:E708))))))</f>
        <v/>
      </c>
      <c r="K709" s="14" t="str">
        <f aca="false">IF(OR(E709="",E709="!!!",F709="NEW"),"",INDEX(J$1:J708,SUMPRODUCT(MAX(ROW(E$1:E708)*(E709=E$1:E708)))))</f>
        <v/>
      </c>
      <c r="L709" s="15"/>
    </row>
    <row r="710" customFormat="false" ht="12.75" hidden="false" customHeight="false" outlineLevel="0" collapsed="false">
      <c r="A710" s="0" t="s">
        <v>66</v>
      </c>
      <c r="E710" s="9" t="str">
        <f aca="false">IF(D710="?OLD","!!!","")</f>
        <v/>
      </c>
      <c r="F710" s="10" t="str">
        <f aca="false">IF(OR(E710="",E710="!!!"),"",IF(NOT(ISNA(VLOOKUP(E710,E$1:E709,1,FALSE()))),"OLD",IF(AND(E710&lt;&gt;"",E710&lt;&gt;"!!!"),"NEW","")))</f>
        <v/>
      </c>
      <c r="G710" s="11" t="str">
        <f aca="false">IF(OR(E710="",E710="!!!"),"",IF(OR(J710=0,AND(J710=1,K710=1),AND(J710=1,I710="SBJ"),AND(J710=1,I710=0)),"?IN_FOCUS",IF(J710&lt;=2,"?ACTIVATED",IF(J710&lt;&gt;"","?FAMILIAR",IF(F710="NEW",IF(ISNA(VLOOKUP(E710,#REF!,1,FALSE())),"?TYPE_IDENTIFIABLE","?REFERENTIAL"),"_")))))</f>
        <v/>
      </c>
      <c r="H710" s="12" t="str">
        <f aca="false">IF(J710&lt;&gt;1,"",IF(I710="SBJ","CB","?"))</f>
        <v/>
      </c>
      <c r="I710" s="13" t="str">
        <f aca="false">IF(OR(E710="",E710="!!!",F710="NEW"),"",INDEX(B$2:B709,-1+SUMPRODUCT(MAX(ROW(E$2:E709)*(E710=E$2:E709)))))</f>
        <v/>
      </c>
      <c r="J710" s="14" t="str">
        <f aca="true">IF(OR(E710="",E710="!!!",F710="NEW"),"",COUNTBLANK(OFFSET(A$1,,,SUMPRODUCT(MAX(ROW(E$2:E710)*(E710=E$2:E710)))))-COUNTBLANK(OFFSET(A$1,,,SUMPRODUCT(MAX(ROW(E$1:E709)*(E710=E$1:E709))))))</f>
        <v/>
      </c>
      <c r="K710" s="14" t="str">
        <f aca="false">IF(OR(E710="",E710="!!!",F710="NEW"),"",INDEX(J$1:J709,SUMPRODUCT(MAX(ROW(E$1:E709)*(E710=E$1:E709)))))</f>
        <v/>
      </c>
      <c r="L710" s="15"/>
    </row>
    <row r="711" customFormat="false" ht="12.75" hidden="false" customHeight="false" outlineLevel="0" collapsed="false">
      <c r="A711" s="0" t="s">
        <v>33</v>
      </c>
      <c r="E711" s="9" t="str">
        <f aca="false">IF(D711="?OLD","!!!","")</f>
        <v/>
      </c>
      <c r="F711" s="10" t="str">
        <f aca="false">IF(OR(E711="",E711="!!!"),"",IF(NOT(ISNA(VLOOKUP(E711,E$1:E710,1,FALSE()))),"OLD",IF(AND(E711&lt;&gt;"",E711&lt;&gt;"!!!"),"NEW","")))</f>
        <v/>
      </c>
      <c r="G711" s="11" t="str">
        <f aca="false">IF(OR(E711="",E711="!!!"),"",IF(OR(J711=0,AND(J711=1,K711=1),AND(J711=1,I711="SBJ"),AND(J711=1,I711=0)),"?IN_FOCUS",IF(J711&lt;=2,"?ACTIVATED",IF(J711&lt;&gt;"","?FAMILIAR",IF(F711="NEW",IF(ISNA(VLOOKUP(E711,#REF!,1,FALSE())),"?TYPE_IDENTIFIABLE","?REFERENTIAL"),"_")))))</f>
        <v/>
      </c>
      <c r="H711" s="12" t="str">
        <f aca="false">IF(J711&lt;&gt;1,"",IF(I711="SBJ","CB","?"))</f>
        <v/>
      </c>
      <c r="I711" s="13" t="str">
        <f aca="false">IF(OR(E711="",E711="!!!",F711="NEW"),"",INDEX(B$2:B710,-1+SUMPRODUCT(MAX(ROW(E$2:E710)*(E711=E$2:E710)))))</f>
        <v/>
      </c>
      <c r="J711" s="14" t="str">
        <f aca="true">IF(OR(E711="",E711="!!!",F711="NEW"),"",COUNTBLANK(OFFSET(A$1,,,SUMPRODUCT(MAX(ROW(E$2:E711)*(E711=E$2:E711)))))-COUNTBLANK(OFFSET(A$1,,,SUMPRODUCT(MAX(ROW(E$1:E710)*(E711=E$1:E710))))))</f>
        <v/>
      </c>
      <c r="K711" s="14" t="str">
        <f aca="false">IF(OR(E711="",E711="!!!",F711="NEW"),"",INDEX(J$1:J710,SUMPRODUCT(MAX(ROW(E$1:E710)*(E711=E$1:E710)))))</f>
        <v/>
      </c>
      <c r="L711" s="15"/>
    </row>
    <row r="712" customFormat="false" ht="12.75" hidden="false" customHeight="false" outlineLevel="0" collapsed="false">
      <c r="A712" s="0" t="s">
        <v>404</v>
      </c>
      <c r="B712" s="0" t="s">
        <v>62</v>
      </c>
      <c r="C712" s="0" t="s">
        <v>405</v>
      </c>
      <c r="D712" s="0" t="s">
        <v>29</v>
      </c>
      <c r="E712" s="9" t="str">
        <f aca="false">IF(D712="?OLD","!!!","")</f>
        <v>!!!</v>
      </c>
      <c r="F712" s="10" t="str">
        <f aca="false">IF(OR(E712="",E712="!!!"),"",IF(NOT(ISNA(VLOOKUP(E712,E$1:E711,1,FALSE()))),"OLD",IF(AND(E712&lt;&gt;"",E712&lt;&gt;"!!!"),"NEW","")))</f>
        <v/>
      </c>
      <c r="G712" s="11" t="str">
        <f aca="false">IF(OR(E712="",E712="!!!"),"",IF(OR(J712=0,AND(J712=1,K712=1),AND(J712=1,I712="SBJ"),AND(J712=1,I712=0)),"?IN_FOCUS",IF(J712&lt;=2,"?ACTIVATED",IF(J712&lt;&gt;"","?FAMILIAR",IF(F712="NEW",IF(ISNA(VLOOKUP(E712,#REF!,1,FALSE())),"?TYPE_IDENTIFIABLE","?REFERENTIAL"),"_")))))</f>
        <v/>
      </c>
      <c r="H712" s="12" t="str">
        <f aca="false">IF(J712&lt;&gt;1,"",IF(I712="SBJ","CB","?"))</f>
        <v/>
      </c>
      <c r="I712" s="13" t="str">
        <f aca="false">IF(OR(E712="",E712="!!!",F712="NEW"),"",INDEX(B$2:B711,-1+SUMPRODUCT(MAX(ROW(E$2:E711)*(E712=E$2:E711)))))</f>
        <v/>
      </c>
      <c r="J712" s="14" t="str">
        <f aca="true">IF(OR(E712="",E712="!!!",F712="NEW"),"",COUNTBLANK(OFFSET(A$1,,,SUMPRODUCT(MAX(ROW(E$2:E712)*(E712=E$2:E712)))))-COUNTBLANK(OFFSET(A$1,,,SUMPRODUCT(MAX(ROW(E$1:E711)*(E712=E$1:E711))))))</f>
        <v/>
      </c>
      <c r="K712" s="14" t="str">
        <f aca="false">IF(OR(E712="",E712="!!!",F712="NEW"),"",INDEX(J$1:J711,SUMPRODUCT(MAX(ROW(E$1:E711)*(E712=E$1:E711)))))</f>
        <v/>
      </c>
      <c r="L712" s="15"/>
    </row>
    <row r="713" customFormat="false" ht="12.75" hidden="false" customHeight="false" outlineLevel="0" collapsed="false">
      <c r="A713" s="0" t="s">
        <v>31</v>
      </c>
      <c r="E713" s="9" t="str">
        <f aca="false">IF(D713="?OLD","!!!","")</f>
        <v/>
      </c>
      <c r="F713" s="10" t="str">
        <f aca="false">IF(OR(E713="",E713="!!!"),"",IF(NOT(ISNA(VLOOKUP(E713,E$1:E712,1,FALSE()))),"OLD",IF(AND(E713&lt;&gt;"",E713&lt;&gt;"!!!"),"NEW","")))</f>
        <v/>
      </c>
      <c r="G713" s="11" t="str">
        <f aca="false">IF(OR(E713="",E713="!!!"),"",IF(OR(J713=0,AND(J713=1,K713=1),AND(J713=1,I713="SBJ"),AND(J713=1,I713=0)),"?IN_FOCUS",IF(J713&lt;=2,"?ACTIVATED",IF(J713&lt;&gt;"","?FAMILIAR",IF(F713="NEW",IF(ISNA(VLOOKUP(E713,#REF!,1,FALSE())),"?TYPE_IDENTIFIABLE","?REFERENTIAL"),"_")))))</f>
        <v/>
      </c>
      <c r="H713" s="12" t="str">
        <f aca="false">IF(J713&lt;&gt;1,"",IF(I713="SBJ","CB","?"))</f>
        <v/>
      </c>
      <c r="I713" s="13" t="str">
        <f aca="false">IF(OR(E713="",E713="!!!",F713="NEW"),"",INDEX(B$2:B712,-1+SUMPRODUCT(MAX(ROW(E$2:E712)*(E713=E$2:E712)))))</f>
        <v/>
      </c>
      <c r="J713" s="14" t="str">
        <f aca="true">IF(OR(E713="",E713="!!!",F713="NEW"),"",COUNTBLANK(OFFSET(A$1,,,SUMPRODUCT(MAX(ROW(E$2:E713)*(E713=E$2:E713)))))-COUNTBLANK(OFFSET(A$1,,,SUMPRODUCT(MAX(ROW(E$1:E712)*(E713=E$1:E712))))))</f>
        <v/>
      </c>
      <c r="K713" s="14" t="str">
        <f aca="false">IF(OR(E713="",E713="!!!",F713="NEW"),"",INDEX(J$1:J712,SUMPRODUCT(MAX(ROW(E$1:E712)*(E713=E$1:E712)))))</f>
        <v/>
      </c>
      <c r="L713" s="15"/>
    </row>
    <row r="714" customFormat="false" ht="12.75" hidden="false" customHeight="false" outlineLevel="0" collapsed="false">
      <c r="A714" s="0" t="s">
        <v>85</v>
      </c>
      <c r="B714" s="0" t="s">
        <v>42</v>
      </c>
      <c r="E714" s="9" t="str">
        <f aca="false">IF(D714="?OLD","!!!","")</f>
        <v/>
      </c>
      <c r="F714" s="10" t="str">
        <f aca="false">IF(OR(E714="",E714="!!!"),"",IF(NOT(ISNA(VLOOKUP(E714,E$1:E713,1,FALSE()))),"OLD",IF(AND(E714&lt;&gt;"",E714&lt;&gt;"!!!"),"NEW","")))</f>
        <v/>
      </c>
      <c r="G714" s="11" t="str">
        <f aca="false">IF(OR(E714="",E714="!!!"),"",IF(OR(J714=0,AND(J714=1,K714=1),AND(J714=1,I714="SBJ"),AND(J714=1,I714=0)),"?IN_FOCUS",IF(J714&lt;=2,"?ACTIVATED",IF(J714&lt;&gt;"","?FAMILIAR",IF(F714="NEW",IF(ISNA(VLOOKUP(E714,#REF!,1,FALSE())),"?TYPE_IDENTIFIABLE","?REFERENTIAL"),"_")))))</f>
        <v/>
      </c>
      <c r="H714" s="12" t="str">
        <f aca="false">IF(J714&lt;&gt;1,"",IF(I714="SBJ","CB","?"))</f>
        <v/>
      </c>
      <c r="I714" s="13" t="str">
        <f aca="false">IF(OR(E714="",E714="!!!",F714="NEW"),"",INDEX(B$2:B713,-1+SUMPRODUCT(MAX(ROW(E$2:E713)*(E714=E$2:E713)))))</f>
        <v/>
      </c>
      <c r="J714" s="14" t="str">
        <f aca="true">IF(OR(E714="",E714="!!!",F714="NEW"),"",COUNTBLANK(OFFSET(A$1,,,SUMPRODUCT(MAX(ROW(E$2:E714)*(E714=E$2:E714)))))-COUNTBLANK(OFFSET(A$1,,,SUMPRODUCT(MAX(ROW(E$1:E713)*(E714=E$1:E713))))))</f>
        <v/>
      </c>
      <c r="K714" s="14" t="str">
        <f aca="false">IF(OR(E714="",E714="!!!",F714="NEW"),"",INDEX(J$1:J713,SUMPRODUCT(MAX(ROW(E$1:E713)*(E714=E$1:E713)))))</f>
        <v/>
      </c>
      <c r="L714" s="15"/>
    </row>
    <row r="715" customFormat="false" ht="12.75" hidden="false" customHeight="false" outlineLevel="0" collapsed="false">
      <c r="A715" s="0" t="s">
        <v>406</v>
      </c>
      <c r="E715" s="9" t="str">
        <f aca="false">IF(D715="?OLD","!!!","")</f>
        <v/>
      </c>
      <c r="F715" s="10" t="str">
        <f aca="false">IF(OR(E715="",E715="!!!"),"",IF(NOT(ISNA(VLOOKUP(E715,E$1:E714,1,FALSE()))),"OLD",IF(AND(E715&lt;&gt;"",E715&lt;&gt;"!!!"),"NEW","")))</f>
        <v/>
      </c>
      <c r="G715" s="11" t="str">
        <f aca="false">IF(OR(E715="",E715="!!!"),"",IF(OR(J715=0,AND(J715=1,K715=1),AND(J715=1,I715="SBJ"),AND(J715=1,I715=0)),"?IN_FOCUS",IF(J715&lt;=2,"?ACTIVATED",IF(J715&lt;&gt;"","?FAMILIAR",IF(F715="NEW",IF(ISNA(VLOOKUP(E715,#REF!,1,FALSE())),"?TYPE_IDENTIFIABLE","?REFERENTIAL"),"_")))))</f>
        <v/>
      </c>
      <c r="H715" s="12" t="str">
        <f aca="false">IF(J715&lt;&gt;1,"",IF(I715="SBJ","CB","?"))</f>
        <v/>
      </c>
      <c r="I715" s="13" t="str">
        <f aca="false">IF(OR(E715="",E715="!!!",F715="NEW"),"",INDEX(B$2:B714,-1+SUMPRODUCT(MAX(ROW(E$2:E714)*(E715=E$2:E714)))))</f>
        <v/>
      </c>
      <c r="J715" s="14" t="str">
        <f aca="true">IF(OR(E715="",E715="!!!",F715="NEW"),"",COUNTBLANK(OFFSET(A$1,,,SUMPRODUCT(MAX(ROW(E$2:E715)*(E715=E$2:E715)))))-COUNTBLANK(OFFSET(A$1,,,SUMPRODUCT(MAX(ROW(E$1:E714)*(E715=E$1:E714))))))</f>
        <v/>
      </c>
      <c r="K715" s="14" t="str">
        <f aca="false">IF(OR(E715="",E715="!!!",F715="NEW"),"",INDEX(J$1:J714,SUMPRODUCT(MAX(ROW(E$1:E714)*(E715=E$1:E714)))))</f>
        <v/>
      </c>
      <c r="L715" s="15"/>
    </row>
    <row r="716" customFormat="false" ht="12.75" hidden="false" customHeight="false" outlineLevel="0" collapsed="false">
      <c r="A716" s="0" t="s">
        <v>130</v>
      </c>
      <c r="E716" s="9" t="str">
        <f aca="false">IF(D716="?OLD","!!!","")</f>
        <v/>
      </c>
      <c r="F716" s="10" t="str">
        <f aca="false">IF(OR(E716="",E716="!!!"),"",IF(NOT(ISNA(VLOOKUP(E716,E$1:E715,1,FALSE()))),"OLD",IF(AND(E716&lt;&gt;"",E716&lt;&gt;"!!!"),"NEW","")))</f>
        <v/>
      </c>
      <c r="G716" s="11" t="str">
        <f aca="false">IF(OR(E716="",E716="!!!"),"",IF(OR(J716=0,AND(J716=1,K716=1),AND(J716=1,I716="SBJ"),AND(J716=1,I716=0)),"?IN_FOCUS",IF(J716&lt;=2,"?ACTIVATED",IF(J716&lt;&gt;"","?FAMILIAR",IF(F716="NEW",IF(ISNA(VLOOKUP(E716,#REF!,1,FALSE())),"?TYPE_IDENTIFIABLE","?REFERENTIAL"),"_")))))</f>
        <v/>
      </c>
      <c r="H716" s="12" t="str">
        <f aca="false">IF(J716&lt;&gt;1,"",IF(I716="SBJ","CB","?"))</f>
        <v/>
      </c>
      <c r="I716" s="13" t="str">
        <f aca="false">IF(OR(E716="",E716="!!!",F716="NEW"),"",INDEX(B$2:B715,-1+SUMPRODUCT(MAX(ROW(E$2:E715)*(E716=E$2:E715)))))</f>
        <v/>
      </c>
      <c r="J716" s="14" t="str">
        <f aca="true">IF(OR(E716="",E716="!!!",F716="NEW"),"",COUNTBLANK(OFFSET(A$1,,,SUMPRODUCT(MAX(ROW(E$2:E716)*(E716=E$2:E716)))))-COUNTBLANK(OFFSET(A$1,,,SUMPRODUCT(MAX(ROW(E$1:E715)*(E716=E$1:E715))))))</f>
        <v/>
      </c>
      <c r="K716" s="14" t="str">
        <f aca="false">IF(OR(E716="",E716="!!!",F716="NEW"),"",INDEX(J$1:J715,SUMPRODUCT(MAX(ROW(E$1:E715)*(E716=E$1:E715)))))</f>
        <v/>
      </c>
      <c r="L716" s="15"/>
    </row>
    <row r="717" customFormat="false" ht="12.75" hidden="false" customHeight="false" outlineLevel="0" collapsed="false">
      <c r="A717" s="0" t="s">
        <v>407</v>
      </c>
      <c r="E717" s="9" t="str">
        <f aca="false">IF(D717="?OLD","!!!","")</f>
        <v/>
      </c>
      <c r="F717" s="10" t="str">
        <f aca="false">IF(OR(E717="",E717="!!!"),"",IF(NOT(ISNA(VLOOKUP(E717,E$1:E716,1,FALSE()))),"OLD",IF(AND(E717&lt;&gt;"",E717&lt;&gt;"!!!"),"NEW","")))</f>
        <v/>
      </c>
      <c r="G717" s="11" t="str">
        <f aca="false">IF(OR(E717="",E717="!!!"),"",IF(OR(J717=0,AND(J717=1,K717=1),AND(J717=1,I717="SBJ"),AND(J717=1,I717=0)),"?IN_FOCUS",IF(J717&lt;=2,"?ACTIVATED",IF(J717&lt;&gt;"","?FAMILIAR",IF(F717="NEW",IF(ISNA(VLOOKUP(E717,#REF!,1,FALSE())),"?TYPE_IDENTIFIABLE","?REFERENTIAL"),"_")))))</f>
        <v/>
      </c>
      <c r="H717" s="12" t="str">
        <f aca="false">IF(J717&lt;&gt;1,"",IF(I717="SBJ","CB","?"))</f>
        <v/>
      </c>
      <c r="I717" s="13" t="str">
        <f aca="false">IF(OR(E717="",E717="!!!",F717="NEW"),"",INDEX(B$2:B716,-1+SUMPRODUCT(MAX(ROW(E$2:E716)*(E717=E$2:E716)))))</f>
        <v/>
      </c>
      <c r="J717" s="14" t="str">
        <f aca="true">IF(OR(E717="",E717="!!!",F717="NEW"),"",COUNTBLANK(OFFSET(A$1,,,SUMPRODUCT(MAX(ROW(E$2:E717)*(E717=E$2:E717)))))-COUNTBLANK(OFFSET(A$1,,,SUMPRODUCT(MAX(ROW(E$1:E716)*(E717=E$1:E716))))))</f>
        <v/>
      </c>
      <c r="K717" s="14" t="str">
        <f aca="false">IF(OR(E717="",E717="!!!",F717="NEW"),"",INDEX(J$1:J716,SUMPRODUCT(MAX(ROW(E$1:E716)*(E717=E$1:E716)))))</f>
        <v/>
      </c>
      <c r="L717" s="15"/>
    </row>
    <row r="718" customFormat="false" ht="12.75" hidden="false" customHeight="false" outlineLevel="0" collapsed="false">
      <c r="A718" s="0" t="s">
        <v>269</v>
      </c>
      <c r="E718" s="9" t="str">
        <f aca="false">IF(D718="?OLD","!!!","")</f>
        <v/>
      </c>
      <c r="F718" s="10" t="str">
        <f aca="false">IF(OR(E718="",E718="!!!"),"",IF(NOT(ISNA(VLOOKUP(E718,E$1:E717,1,FALSE()))),"OLD",IF(AND(E718&lt;&gt;"",E718&lt;&gt;"!!!"),"NEW","")))</f>
        <v/>
      </c>
      <c r="G718" s="11" t="str">
        <f aca="false">IF(OR(E718="",E718="!!!"),"",IF(OR(J718=0,AND(J718=1,K718=1),AND(J718=1,I718="SBJ"),AND(J718=1,I718=0)),"?IN_FOCUS",IF(J718&lt;=2,"?ACTIVATED",IF(J718&lt;&gt;"","?FAMILIAR",IF(F718="NEW",IF(ISNA(VLOOKUP(E718,#REF!,1,FALSE())),"?TYPE_IDENTIFIABLE","?REFERENTIAL"),"_")))))</f>
        <v/>
      </c>
      <c r="H718" s="12" t="str">
        <f aca="false">IF(J718&lt;&gt;1,"",IF(I718="SBJ","CB","?"))</f>
        <v/>
      </c>
      <c r="I718" s="13" t="str">
        <f aca="false">IF(OR(E718="",E718="!!!",F718="NEW"),"",INDEX(B$2:B717,-1+SUMPRODUCT(MAX(ROW(E$2:E717)*(E718=E$2:E717)))))</f>
        <v/>
      </c>
      <c r="J718" s="14" t="str">
        <f aca="true">IF(OR(E718="",E718="!!!",F718="NEW"),"",COUNTBLANK(OFFSET(A$1,,,SUMPRODUCT(MAX(ROW(E$2:E718)*(E718=E$2:E718)))))-COUNTBLANK(OFFSET(A$1,,,SUMPRODUCT(MAX(ROW(E$1:E717)*(E718=E$1:E717))))))</f>
        <v/>
      </c>
      <c r="K718" s="14" t="str">
        <f aca="false">IF(OR(E718="",E718="!!!",F718="NEW"),"",INDEX(J$1:J717,SUMPRODUCT(MAX(ROW(E$1:E717)*(E718=E$1:E717)))))</f>
        <v/>
      </c>
      <c r="L718" s="15"/>
    </row>
    <row r="719" customFormat="false" ht="12.75" hidden="false" customHeight="false" outlineLevel="0" collapsed="false">
      <c r="A719" s="0" t="s">
        <v>262</v>
      </c>
      <c r="E719" s="9" t="str">
        <f aca="false">IF(D719="?OLD","!!!","")</f>
        <v/>
      </c>
      <c r="F719" s="10" t="str">
        <f aca="false">IF(OR(E719="",E719="!!!"),"",IF(NOT(ISNA(VLOOKUP(E719,E$1:E718,1,FALSE()))),"OLD",IF(AND(E719&lt;&gt;"",E719&lt;&gt;"!!!"),"NEW","")))</f>
        <v/>
      </c>
      <c r="G719" s="11" t="str">
        <f aca="false">IF(OR(E719="",E719="!!!"),"",IF(OR(J719=0,AND(J719=1,K719=1),AND(J719=1,I719="SBJ"),AND(J719=1,I719=0)),"?IN_FOCUS",IF(J719&lt;=2,"?ACTIVATED",IF(J719&lt;&gt;"","?FAMILIAR",IF(F719="NEW",IF(ISNA(VLOOKUP(E719,#REF!,1,FALSE())),"?TYPE_IDENTIFIABLE","?REFERENTIAL"),"_")))))</f>
        <v/>
      </c>
      <c r="H719" s="12" t="str">
        <f aca="false">IF(J719&lt;&gt;1,"",IF(I719="SBJ","CB","?"))</f>
        <v/>
      </c>
      <c r="I719" s="13" t="str">
        <f aca="false">IF(OR(E719="",E719="!!!",F719="NEW"),"",INDEX(B$2:B718,-1+SUMPRODUCT(MAX(ROW(E$2:E718)*(E719=E$2:E718)))))</f>
        <v/>
      </c>
      <c r="J719" s="14" t="str">
        <f aca="true">IF(OR(E719="",E719="!!!",F719="NEW"),"",COUNTBLANK(OFFSET(A$1,,,SUMPRODUCT(MAX(ROW(E$2:E719)*(E719=E$2:E719)))))-COUNTBLANK(OFFSET(A$1,,,SUMPRODUCT(MAX(ROW(E$1:E718)*(E719=E$1:E718))))))</f>
        <v/>
      </c>
      <c r="K719" s="14" t="str">
        <f aca="false">IF(OR(E719="",E719="!!!",F719="NEW"),"",INDEX(J$1:J718,SUMPRODUCT(MAX(ROW(E$1:E718)*(E719=E$1:E718)))))</f>
        <v/>
      </c>
      <c r="L719" s="15"/>
    </row>
    <row r="720" customFormat="false" ht="12.75" hidden="false" customHeight="false" outlineLevel="0" collapsed="false">
      <c r="E720" s="9" t="str">
        <f aca="false">IF(D720="?OLD","!!!","")</f>
        <v/>
      </c>
      <c r="F720" s="10" t="str">
        <f aca="false">IF(OR(E720="",E720="!!!"),"",IF(NOT(ISNA(VLOOKUP(E720,E$1:E719,1,FALSE()))),"OLD",IF(AND(E720&lt;&gt;"",E720&lt;&gt;"!!!"),"NEW","")))</f>
        <v/>
      </c>
      <c r="G720" s="11" t="str">
        <f aca="false">IF(OR(E720="",E720="!!!"),"",IF(OR(J720=0,AND(J720=1,K720=1),AND(J720=1,I720="SBJ"),AND(J720=1,I720=0)),"?IN_FOCUS",IF(J720&lt;=2,"?ACTIVATED",IF(J720&lt;&gt;"","?FAMILIAR",IF(F720="NEW",IF(ISNA(VLOOKUP(E720,#REF!,1,FALSE())),"?TYPE_IDENTIFIABLE","?REFERENTIAL"),"_")))))</f>
        <v/>
      </c>
      <c r="H720" s="12" t="str">
        <f aca="false">IF(J720&lt;&gt;1,"",IF(I720="SBJ","CB","?"))</f>
        <v/>
      </c>
      <c r="I720" s="13" t="str">
        <f aca="false">IF(OR(E720="",E720="!!!",F720="NEW"),"",INDEX(B$2:B719,-1+SUMPRODUCT(MAX(ROW(E$2:E719)*(E720=E$2:E719)))))</f>
        <v/>
      </c>
      <c r="J720" s="14" t="str">
        <f aca="true">IF(OR(E720="",E720="!!!",F720="NEW"),"",COUNTBLANK(OFFSET(A$1,,,SUMPRODUCT(MAX(ROW(E$2:E720)*(E720=E$2:E720)))))-COUNTBLANK(OFFSET(A$1,,,SUMPRODUCT(MAX(ROW(E$1:E719)*(E720=E$1:E719))))))</f>
        <v/>
      </c>
      <c r="K720" s="14" t="str">
        <f aca="false">IF(OR(E720="",E720="!!!",F720="NEW"),"",INDEX(J$1:J719,SUMPRODUCT(MAX(ROW(E$1:E719)*(E720=E$1:E719)))))</f>
        <v/>
      </c>
      <c r="L720" s="15"/>
    </row>
    <row r="721" customFormat="false" ht="12.75" hidden="false" customHeight="false" outlineLevel="0" collapsed="false">
      <c r="A721" s="0" t="s">
        <v>260</v>
      </c>
      <c r="E721" s="9" t="str">
        <f aca="false">IF(D721="?OLD","!!!","")</f>
        <v/>
      </c>
      <c r="F721" s="10" t="str">
        <f aca="false">IF(OR(E721="",E721="!!!"),"",IF(NOT(ISNA(VLOOKUP(E721,E$1:E720,1,FALSE()))),"OLD",IF(AND(E721&lt;&gt;"",E721&lt;&gt;"!!!"),"NEW","")))</f>
        <v/>
      </c>
      <c r="G721" s="11" t="str">
        <f aca="false">IF(OR(E721="",E721="!!!"),"",IF(OR(J721=0,AND(J721=1,K721=1),AND(J721=1,I721="SBJ"),AND(J721=1,I721=0)),"?IN_FOCUS",IF(J721&lt;=2,"?ACTIVATED",IF(J721&lt;&gt;"","?FAMILIAR",IF(F721="NEW",IF(ISNA(VLOOKUP(E721,#REF!,1,FALSE())),"?TYPE_IDENTIFIABLE","?REFERENTIAL"),"_")))))</f>
        <v/>
      </c>
      <c r="H721" s="12" t="str">
        <f aca="false">IF(J721&lt;&gt;1,"",IF(I721="SBJ","CB","?"))</f>
        <v/>
      </c>
      <c r="I721" s="13" t="str">
        <f aca="false">IF(OR(E721="",E721="!!!",F721="NEW"),"",INDEX(B$2:B720,-1+SUMPRODUCT(MAX(ROW(E$2:E720)*(E721=E$2:E720)))))</f>
        <v/>
      </c>
      <c r="J721" s="14" t="str">
        <f aca="true">IF(OR(E721="",E721="!!!",F721="NEW"),"",COUNTBLANK(OFFSET(A$1,,,SUMPRODUCT(MAX(ROW(E$2:E721)*(E721=E$2:E721)))))-COUNTBLANK(OFFSET(A$1,,,SUMPRODUCT(MAX(ROW(E$1:E720)*(E721=E$1:E720))))))</f>
        <v/>
      </c>
      <c r="K721" s="14" t="str">
        <f aca="false">IF(OR(E721="",E721="!!!",F721="NEW"),"",INDEX(J$1:J720,SUMPRODUCT(MAX(ROW(E$1:E720)*(E721=E$1:E720)))))</f>
        <v/>
      </c>
      <c r="L721" s="15"/>
    </row>
    <row r="722" customFormat="false" ht="12.75" hidden="false" customHeight="false" outlineLevel="0" collapsed="false">
      <c r="A722" s="0" t="s">
        <v>408</v>
      </c>
      <c r="E722" s="9" t="str">
        <f aca="false">IF(D722="?OLD","!!!","")</f>
        <v/>
      </c>
      <c r="F722" s="10" t="str">
        <f aca="false">IF(OR(E722="",E722="!!!"),"",IF(NOT(ISNA(VLOOKUP(E722,E$1:E721,1,FALSE()))),"OLD",IF(AND(E722&lt;&gt;"",E722&lt;&gt;"!!!"),"NEW","")))</f>
        <v/>
      </c>
      <c r="G722" s="11" t="str">
        <f aca="false">IF(OR(E722="",E722="!!!"),"",IF(OR(J722=0,AND(J722=1,K722=1),AND(J722=1,I722="SBJ"),AND(J722=1,I722=0)),"?IN_FOCUS",IF(J722&lt;=2,"?ACTIVATED",IF(J722&lt;&gt;"","?FAMILIAR",IF(F722="NEW",IF(ISNA(VLOOKUP(E722,#REF!,1,FALSE())),"?TYPE_IDENTIFIABLE","?REFERENTIAL"),"_")))))</f>
        <v/>
      </c>
      <c r="H722" s="12" t="str">
        <f aca="false">IF(J722&lt;&gt;1,"",IF(I722="SBJ","CB","?"))</f>
        <v/>
      </c>
      <c r="I722" s="13" t="str">
        <f aca="false">IF(OR(E722="",E722="!!!",F722="NEW"),"",INDEX(B$2:B721,-1+SUMPRODUCT(MAX(ROW(E$2:E721)*(E722=E$2:E721)))))</f>
        <v/>
      </c>
      <c r="J722" s="14" t="str">
        <f aca="true">IF(OR(E722="",E722="!!!",F722="NEW"),"",COUNTBLANK(OFFSET(A$1,,,SUMPRODUCT(MAX(ROW(E$2:E722)*(E722=E$2:E722)))))-COUNTBLANK(OFFSET(A$1,,,SUMPRODUCT(MAX(ROW(E$1:E721)*(E722=E$1:E721))))))</f>
        <v/>
      </c>
      <c r="K722" s="14" t="str">
        <f aca="false">IF(OR(E722="",E722="!!!",F722="NEW"),"",INDEX(J$1:J721,SUMPRODUCT(MAX(ROW(E$1:E721)*(E722=E$1:E721)))))</f>
        <v/>
      </c>
      <c r="L722" s="15"/>
    </row>
    <row r="723" customFormat="false" ht="12.75" hidden="false" customHeight="false" outlineLevel="0" collapsed="false">
      <c r="A723" s="0" t="s">
        <v>262</v>
      </c>
      <c r="E723" s="9" t="str">
        <f aca="false">IF(D723="?OLD","!!!","")</f>
        <v/>
      </c>
      <c r="F723" s="10" t="str">
        <f aca="false">IF(OR(E723="",E723="!!!"),"",IF(NOT(ISNA(VLOOKUP(E723,E$1:E722,1,FALSE()))),"OLD",IF(AND(E723&lt;&gt;"",E723&lt;&gt;"!!!"),"NEW","")))</f>
        <v/>
      </c>
      <c r="G723" s="11" t="str">
        <f aca="false">IF(OR(E723="",E723="!!!"),"",IF(OR(J723=0,AND(J723=1,K723=1),AND(J723=1,I723="SBJ"),AND(J723=1,I723=0)),"?IN_FOCUS",IF(J723&lt;=2,"?ACTIVATED",IF(J723&lt;&gt;"","?FAMILIAR",IF(F723="NEW",IF(ISNA(VLOOKUP(E723,#REF!,1,FALSE())),"?TYPE_IDENTIFIABLE","?REFERENTIAL"),"_")))))</f>
        <v/>
      </c>
      <c r="H723" s="12" t="str">
        <f aca="false">IF(J723&lt;&gt;1,"",IF(I723="SBJ","CB","?"))</f>
        <v/>
      </c>
      <c r="I723" s="13" t="str">
        <f aca="false">IF(OR(E723="",E723="!!!",F723="NEW"),"",INDEX(B$2:B722,-1+SUMPRODUCT(MAX(ROW(E$2:E722)*(E723=E$2:E722)))))</f>
        <v/>
      </c>
      <c r="J723" s="14" t="str">
        <f aca="true">IF(OR(E723="",E723="!!!",F723="NEW"),"",COUNTBLANK(OFFSET(A$1,,,SUMPRODUCT(MAX(ROW(E$2:E723)*(E723=E$2:E723)))))-COUNTBLANK(OFFSET(A$1,,,SUMPRODUCT(MAX(ROW(E$1:E722)*(E723=E$1:E722))))))</f>
        <v/>
      </c>
      <c r="K723" s="14" t="str">
        <f aca="false">IF(OR(E723="",E723="!!!",F723="NEW"),"",INDEX(J$1:J722,SUMPRODUCT(MAX(ROW(E$1:E722)*(E723=E$1:E722)))))</f>
        <v/>
      </c>
      <c r="L723" s="15"/>
    </row>
    <row r="724" customFormat="false" ht="12.75" hidden="false" customHeight="false" outlineLevel="0" collapsed="false">
      <c r="A724" s="0" t="s">
        <v>342</v>
      </c>
      <c r="B724" s="0" t="s">
        <v>14</v>
      </c>
      <c r="C724" s="0" t="s">
        <v>92</v>
      </c>
      <c r="D724" s="0" t="s">
        <v>29</v>
      </c>
      <c r="E724" s="9" t="str">
        <f aca="false">IF(D724="?OLD","!!!","")</f>
        <v>!!!</v>
      </c>
      <c r="F724" s="10" t="str">
        <f aca="false">IF(OR(E724="",E724="!!!"),"",IF(NOT(ISNA(VLOOKUP(E724,E$1:E723,1,FALSE()))),"OLD",IF(AND(E724&lt;&gt;"",E724&lt;&gt;"!!!"),"NEW","")))</f>
        <v/>
      </c>
      <c r="G724" s="11" t="str">
        <f aca="false">IF(OR(E724="",E724="!!!"),"",IF(OR(J724=0,AND(J724=1,K724=1),AND(J724=1,I724="SBJ"),AND(J724=1,I724=0)),"?IN_FOCUS",IF(J724&lt;=2,"?ACTIVATED",IF(J724&lt;&gt;"","?FAMILIAR",IF(F724="NEW",IF(ISNA(VLOOKUP(E724,#REF!,1,FALSE())),"?TYPE_IDENTIFIABLE","?REFERENTIAL"),"_")))))</f>
        <v/>
      </c>
      <c r="H724" s="12" t="str">
        <f aca="false">IF(J724&lt;&gt;1,"",IF(I724="SBJ","CB","?"))</f>
        <v/>
      </c>
      <c r="I724" s="13" t="str">
        <f aca="false">IF(OR(E724="",E724="!!!",F724="NEW"),"",INDEX(B$2:B723,-1+SUMPRODUCT(MAX(ROW(E$2:E723)*(E724=E$2:E723)))))</f>
        <v/>
      </c>
      <c r="J724" s="14" t="str">
        <f aca="true">IF(OR(E724="",E724="!!!",F724="NEW"),"",COUNTBLANK(OFFSET(A$1,,,SUMPRODUCT(MAX(ROW(E$2:E724)*(E724=E$2:E724)))))-COUNTBLANK(OFFSET(A$1,,,SUMPRODUCT(MAX(ROW(E$1:E723)*(E724=E$1:E723))))))</f>
        <v/>
      </c>
      <c r="K724" s="14" t="str">
        <f aca="false">IF(OR(E724="",E724="!!!",F724="NEW"),"",INDEX(J$1:J723,SUMPRODUCT(MAX(ROW(E$1:E723)*(E724=E$1:E723)))))</f>
        <v/>
      </c>
      <c r="L724" s="15"/>
    </row>
    <row r="725" customFormat="false" ht="12.75" hidden="false" customHeight="false" outlineLevel="0" collapsed="false">
      <c r="A725" s="0" t="s">
        <v>343</v>
      </c>
      <c r="E725" s="9" t="str">
        <f aca="false">IF(D725="?OLD","!!!","")</f>
        <v/>
      </c>
      <c r="F725" s="10" t="str">
        <f aca="false">IF(OR(E725="",E725="!!!"),"",IF(NOT(ISNA(VLOOKUP(E725,E$1:E724,1,FALSE()))),"OLD",IF(AND(E725&lt;&gt;"",E725&lt;&gt;"!!!"),"NEW","")))</f>
        <v/>
      </c>
      <c r="G725" s="11" t="str">
        <f aca="false">IF(OR(E725="",E725="!!!"),"",IF(OR(J725=0,AND(J725=1,K725=1),AND(J725=1,I725="SBJ"),AND(J725=1,I725=0)),"?IN_FOCUS",IF(J725&lt;=2,"?ACTIVATED",IF(J725&lt;&gt;"","?FAMILIAR",IF(F725="NEW",IF(ISNA(VLOOKUP(E725,#REF!,1,FALSE())),"?TYPE_IDENTIFIABLE","?REFERENTIAL"),"_")))))</f>
        <v/>
      </c>
      <c r="H725" s="12" t="str">
        <f aca="false">IF(J725&lt;&gt;1,"",IF(I725="SBJ","CB","?"))</f>
        <v/>
      </c>
      <c r="I725" s="13" t="str">
        <f aca="false">IF(OR(E725="",E725="!!!",F725="NEW"),"",INDEX(B$2:B724,-1+SUMPRODUCT(MAX(ROW(E$2:E724)*(E725=E$2:E724)))))</f>
        <v/>
      </c>
      <c r="J725" s="14" t="str">
        <f aca="true">IF(OR(E725="",E725="!!!",F725="NEW"),"",COUNTBLANK(OFFSET(A$1,,,SUMPRODUCT(MAX(ROW(E$2:E725)*(E725=E$2:E725)))))-COUNTBLANK(OFFSET(A$1,,,SUMPRODUCT(MAX(ROW(E$1:E724)*(E725=E$1:E724))))))</f>
        <v/>
      </c>
      <c r="K725" s="14" t="str">
        <f aca="false">IF(OR(E725="",E725="!!!",F725="NEW"),"",INDEX(J$1:J724,SUMPRODUCT(MAX(ROW(E$1:E724)*(E725=E$1:E724)))))</f>
        <v/>
      </c>
      <c r="L725" s="15"/>
    </row>
    <row r="726" customFormat="false" ht="12.75" hidden="false" customHeight="false" outlineLevel="0" collapsed="false">
      <c r="A726" s="0" t="s">
        <v>409</v>
      </c>
      <c r="E726" s="9" t="str">
        <f aca="false">IF(D726="?OLD","!!!","")</f>
        <v/>
      </c>
      <c r="F726" s="10" t="str">
        <f aca="false">IF(OR(E726="",E726="!!!"),"",IF(NOT(ISNA(VLOOKUP(E726,E$1:E725,1,FALSE()))),"OLD",IF(AND(E726&lt;&gt;"",E726&lt;&gt;"!!!"),"NEW","")))</f>
        <v/>
      </c>
      <c r="G726" s="11" t="str">
        <f aca="false">IF(OR(E726="",E726="!!!"),"",IF(OR(J726=0,AND(J726=1,K726=1),AND(J726=1,I726="SBJ"),AND(J726=1,I726=0)),"?IN_FOCUS",IF(J726&lt;=2,"?ACTIVATED",IF(J726&lt;&gt;"","?FAMILIAR",IF(F726="NEW",IF(ISNA(VLOOKUP(E726,#REF!,1,FALSE())),"?TYPE_IDENTIFIABLE","?REFERENTIAL"),"_")))))</f>
        <v/>
      </c>
      <c r="H726" s="12" t="str">
        <f aca="false">IF(J726&lt;&gt;1,"",IF(I726="SBJ","CB","?"))</f>
        <v/>
      </c>
      <c r="I726" s="13" t="str">
        <f aca="false">IF(OR(E726="",E726="!!!",F726="NEW"),"",INDEX(B$2:B725,-1+SUMPRODUCT(MAX(ROW(E$2:E725)*(E726=E$2:E725)))))</f>
        <v/>
      </c>
      <c r="J726" s="14" t="str">
        <f aca="true">IF(OR(E726="",E726="!!!",F726="NEW"),"",COUNTBLANK(OFFSET(A$1,,,SUMPRODUCT(MAX(ROW(E$2:E726)*(E726=E$2:E726)))))-COUNTBLANK(OFFSET(A$1,,,SUMPRODUCT(MAX(ROW(E$1:E725)*(E726=E$1:E725))))))</f>
        <v/>
      </c>
      <c r="K726" s="14" t="str">
        <f aca="false">IF(OR(E726="",E726="!!!",F726="NEW"),"",INDEX(J$1:J725,SUMPRODUCT(MAX(ROW(E$1:E725)*(E726=E$1:E725)))))</f>
        <v/>
      </c>
      <c r="L726" s="15"/>
    </row>
    <row r="727" customFormat="false" ht="12.75" hidden="false" customHeight="false" outlineLevel="0" collapsed="false">
      <c r="A727" s="0" t="s">
        <v>66</v>
      </c>
      <c r="E727" s="9" t="str">
        <f aca="false">IF(D727="?OLD","!!!","")</f>
        <v/>
      </c>
      <c r="F727" s="10" t="str">
        <f aca="false">IF(OR(E727="",E727="!!!"),"",IF(NOT(ISNA(VLOOKUP(E727,E$1:E726,1,FALSE()))),"OLD",IF(AND(E727&lt;&gt;"",E727&lt;&gt;"!!!"),"NEW","")))</f>
        <v/>
      </c>
      <c r="G727" s="11" t="str">
        <f aca="false">IF(OR(E727="",E727="!!!"),"",IF(OR(J727=0,AND(J727=1,K727=1),AND(J727=1,I727="SBJ"),AND(J727=1,I727=0)),"?IN_FOCUS",IF(J727&lt;=2,"?ACTIVATED",IF(J727&lt;&gt;"","?FAMILIAR",IF(F727="NEW",IF(ISNA(VLOOKUP(E727,#REF!,1,FALSE())),"?TYPE_IDENTIFIABLE","?REFERENTIAL"),"_")))))</f>
        <v/>
      </c>
      <c r="H727" s="12" t="str">
        <f aca="false">IF(J727&lt;&gt;1,"",IF(I727="SBJ","CB","?"))</f>
        <v/>
      </c>
      <c r="I727" s="13" t="str">
        <f aca="false">IF(OR(E727="",E727="!!!",F727="NEW"),"",INDEX(B$2:B726,-1+SUMPRODUCT(MAX(ROW(E$2:E726)*(E727=E$2:E726)))))</f>
        <v/>
      </c>
      <c r="J727" s="14" t="str">
        <f aca="true">IF(OR(E727="",E727="!!!",F727="NEW"),"",COUNTBLANK(OFFSET(A$1,,,SUMPRODUCT(MAX(ROW(E$2:E727)*(E727=E$2:E727)))))-COUNTBLANK(OFFSET(A$1,,,SUMPRODUCT(MAX(ROW(E$1:E726)*(E727=E$1:E726))))))</f>
        <v/>
      </c>
      <c r="K727" s="14" t="str">
        <f aca="false">IF(OR(E727="",E727="!!!",F727="NEW"),"",INDEX(J$1:J726,SUMPRODUCT(MAX(ROW(E$1:E726)*(E727=E$1:E726)))))</f>
        <v/>
      </c>
      <c r="L727" s="15"/>
    </row>
    <row r="728" customFormat="false" ht="12.75" hidden="false" customHeight="false" outlineLevel="0" collapsed="false">
      <c r="A728" s="0" t="s">
        <v>410</v>
      </c>
      <c r="E728" s="9" t="str">
        <f aca="false">IF(D728="?OLD","!!!","")</f>
        <v/>
      </c>
      <c r="F728" s="10" t="str">
        <f aca="false">IF(OR(E728="",E728="!!!"),"",IF(NOT(ISNA(VLOOKUP(E728,E$1:E727,1,FALSE()))),"OLD",IF(AND(E728&lt;&gt;"",E728&lt;&gt;"!!!"),"NEW","")))</f>
        <v/>
      </c>
      <c r="G728" s="11" t="str">
        <f aca="false">IF(OR(E728="",E728="!!!"),"",IF(OR(J728=0,AND(J728=1,K728=1),AND(J728=1,I728="SBJ"),AND(J728=1,I728=0)),"?IN_FOCUS",IF(J728&lt;=2,"?ACTIVATED",IF(J728&lt;&gt;"","?FAMILIAR",IF(F728="NEW",IF(ISNA(VLOOKUP(E728,#REF!,1,FALSE())),"?TYPE_IDENTIFIABLE","?REFERENTIAL"),"_")))))</f>
        <v/>
      </c>
      <c r="H728" s="12" t="str">
        <f aca="false">IF(J728&lt;&gt;1,"",IF(I728="SBJ","CB","?"))</f>
        <v/>
      </c>
      <c r="I728" s="13" t="str">
        <f aca="false">IF(OR(E728="",E728="!!!",F728="NEW"),"",INDEX(B$2:B727,-1+SUMPRODUCT(MAX(ROW(E$2:E727)*(E728=E$2:E727)))))</f>
        <v/>
      </c>
      <c r="J728" s="14" t="str">
        <f aca="true">IF(OR(E728="",E728="!!!",F728="NEW"),"",COUNTBLANK(OFFSET(A$1,,,SUMPRODUCT(MAX(ROW(E$2:E728)*(E728=E$2:E728)))))-COUNTBLANK(OFFSET(A$1,,,SUMPRODUCT(MAX(ROW(E$1:E727)*(E728=E$1:E727))))))</f>
        <v/>
      </c>
      <c r="K728" s="14" t="str">
        <f aca="false">IF(OR(E728="",E728="!!!",F728="NEW"),"",INDEX(J$1:J727,SUMPRODUCT(MAX(ROW(E$1:E727)*(E728=E$1:E727)))))</f>
        <v/>
      </c>
      <c r="L728" s="15"/>
    </row>
    <row r="729" customFormat="false" ht="12.75" hidden="false" customHeight="false" outlineLevel="0" collapsed="false">
      <c r="A729" s="0" t="s">
        <v>68</v>
      </c>
      <c r="E729" s="9" t="str">
        <f aca="false">IF(D729="?OLD","!!!","")</f>
        <v/>
      </c>
      <c r="F729" s="10" t="str">
        <f aca="false">IF(OR(E729="",E729="!!!"),"",IF(NOT(ISNA(VLOOKUP(E729,E$1:E728,1,FALSE()))),"OLD",IF(AND(E729&lt;&gt;"",E729&lt;&gt;"!!!"),"NEW","")))</f>
        <v/>
      </c>
      <c r="G729" s="11" t="str">
        <f aca="false">IF(OR(E729="",E729="!!!"),"",IF(OR(J729=0,AND(J729=1,K729=1),AND(J729=1,I729="SBJ"),AND(J729=1,I729=0)),"?IN_FOCUS",IF(J729&lt;=2,"?ACTIVATED",IF(J729&lt;&gt;"","?FAMILIAR",IF(F729="NEW",IF(ISNA(VLOOKUP(E729,#REF!,1,FALSE())),"?TYPE_IDENTIFIABLE","?REFERENTIAL"),"_")))))</f>
        <v/>
      </c>
      <c r="H729" s="12" t="str">
        <f aca="false">IF(J729&lt;&gt;1,"",IF(I729="SBJ","CB","?"))</f>
        <v/>
      </c>
      <c r="I729" s="13" t="str">
        <f aca="false">IF(OR(E729="",E729="!!!",F729="NEW"),"",INDEX(B$2:B728,-1+SUMPRODUCT(MAX(ROW(E$2:E728)*(E729=E$2:E728)))))</f>
        <v/>
      </c>
      <c r="J729" s="14" t="str">
        <f aca="true">IF(OR(E729="",E729="!!!",F729="NEW"),"",COUNTBLANK(OFFSET(A$1,,,SUMPRODUCT(MAX(ROW(E$2:E729)*(E729=E$2:E729)))))-COUNTBLANK(OFFSET(A$1,,,SUMPRODUCT(MAX(ROW(E$1:E728)*(E729=E$1:E728))))))</f>
        <v/>
      </c>
      <c r="K729" s="14" t="str">
        <f aca="false">IF(OR(E729="",E729="!!!",F729="NEW"),"",INDEX(J$1:J728,SUMPRODUCT(MAX(ROW(E$1:E728)*(E729=E$1:E728)))))</f>
        <v/>
      </c>
      <c r="L729" s="15"/>
    </row>
    <row r="730" customFormat="false" ht="12.75" hidden="false" customHeight="false" outlineLevel="0" collapsed="false">
      <c r="A730" s="0" t="s">
        <v>411</v>
      </c>
      <c r="B730" s="0" t="s">
        <v>62</v>
      </c>
      <c r="C730" s="0" t="s">
        <v>111</v>
      </c>
      <c r="D730" s="0" t="s">
        <v>29</v>
      </c>
      <c r="E730" s="9" t="str">
        <f aca="false">IF(D730="?OLD","!!!","")</f>
        <v>!!!</v>
      </c>
      <c r="F730" s="10" t="str">
        <f aca="false">IF(OR(E730="",E730="!!!"),"",IF(NOT(ISNA(VLOOKUP(E730,E$1:E729,1,FALSE()))),"OLD",IF(AND(E730&lt;&gt;"",E730&lt;&gt;"!!!"),"NEW","")))</f>
        <v/>
      </c>
      <c r="G730" s="11" t="str">
        <f aca="false">IF(OR(E730="",E730="!!!"),"",IF(OR(J730=0,AND(J730=1,K730=1),AND(J730=1,I730="SBJ"),AND(J730=1,I730=0)),"?IN_FOCUS",IF(J730&lt;=2,"?ACTIVATED",IF(J730&lt;&gt;"","?FAMILIAR",IF(F730="NEW",IF(ISNA(VLOOKUP(E730,#REF!,1,FALSE())),"?TYPE_IDENTIFIABLE","?REFERENTIAL"),"_")))))</f>
        <v/>
      </c>
      <c r="H730" s="12" t="str">
        <f aca="false">IF(J730&lt;&gt;1,"",IF(I730="SBJ","CB","?"))</f>
        <v/>
      </c>
      <c r="I730" s="13" t="str">
        <f aca="false">IF(OR(E730="",E730="!!!",F730="NEW"),"",INDEX(B$2:B729,-1+SUMPRODUCT(MAX(ROW(E$2:E729)*(E730=E$2:E729)))))</f>
        <v/>
      </c>
      <c r="J730" s="14" t="str">
        <f aca="true">IF(OR(E730="",E730="!!!",F730="NEW"),"",COUNTBLANK(OFFSET(A$1,,,SUMPRODUCT(MAX(ROW(E$2:E730)*(E730=E$2:E730)))))-COUNTBLANK(OFFSET(A$1,,,SUMPRODUCT(MAX(ROW(E$1:E729)*(E730=E$1:E729))))))</f>
        <v/>
      </c>
      <c r="K730" s="14" t="str">
        <f aca="false">IF(OR(E730="",E730="!!!",F730="NEW"),"",INDEX(J$1:J729,SUMPRODUCT(MAX(ROW(E$1:E729)*(E730=E$1:E729)))))</f>
        <v/>
      </c>
      <c r="L730" s="15"/>
    </row>
    <row r="731" customFormat="false" ht="12.75" hidden="false" customHeight="false" outlineLevel="0" collapsed="false">
      <c r="A731" s="0" t="s">
        <v>73</v>
      </c>
      <c r="E731" s="9" t="str">
        <f aca="false">IF(D731="?OLD","!!!","")</f>
        <v/>
      </c>
      <c r="F731" s="10" t="str">
        <f aca="false">IF(OR(E731="",E731="!!!"),"",IF(NOT(ISNA(VLOOKUP(E731,E$1:E730,1,FALSE()))),"OLD",IF(AND(E731&lt;&gt;"",E731&lt;&gt;"!!!"),"NEW","")))</f>
        <v/>
      </c>
      <c r="G731" s="11" t="str">
        <f aca="false">IF(OR(E731="",E731="!!!"),"",IF(OR(J731=0,AND(J731=1,K731=1),AND(J731=1,I731="SBJ"),AND(J731=1,I731=0)),"?IN_FOCUS",IF(J731&lt;=2,"?ACTIVATED",IF(J731&lt;&gt;"","?FAMILIAR",IF(F731="NEW",IF(ISNA(VLOOKUP(E731,#REF!,1,FALSE())),"?TYPE_IDENTIFIABLE","?REFERENTIAL"),"_")))))</f>
        <v/>
      </c>
      <c r="H731" s="12" t="str">
        <f aca="false">IF(J731&lt;&gt;1,"",IF(I731="SBJ","CB","?"))</f>
        <v/>
      </c>
      <c r="I731" s="13" t="str">
        <f aca="false">IF(OR(E731="",E731="!!!",F731="NEW"),"",INDEX(B$2:B730,-1+SUMPRODUCT(MAX(ROW(E$2:E730)*(E731=E$2:E730)))))</f>
        <v/>
      </c>
      <c r="J731" s="14" t="str">
        <f aca="true">IF(OR(E731="",E731="!!!",F731="NEW"),"",COUNTBLANK(OFFSET(A$1,,,SUMPRODUCT(MAX(ROW(E$2:E731)*(E731=E$2:E731)))))-COUNTBLANK(OFFSET(A$1,,,SUMPRODUCT(MAX(ROW(E$1:E730)*(E731=E$1:E730))))))</f>
        <v/>
      </c>
      <c r="K731" s="14" t="str">
        <f aca="false">IF(OR(E731="",E731="!!!",F731="NEW"),"",INDEX(J$1:J730,SUMPRODUCT(MAX(ROW(E$1:E730)*(E731=E$1:E730)))))</f>
        <v/>
      </c>
      <c r="L731" s="15"/>
    </row>
    <row r="732" customFormat="false" ht="12.75" hidden="false" customHeight="false" outlineLevel="0" collapsed="false">
      <c r="A732" s="0" t="s">
        <v>262</v>
      </c>
      <c r="E732" s="9" t="str">
        <f aca="false">IF(D732="?OLD","!!!","")</f>
        <v/>
      </c>
      <c r="F732" s="10" t="str">
        <f aca="false">IF(OR(E732="",E732="!!!"),"",IF(NOT(ISNA(VLOOKUP(E732,E$1:E731,1,FALSE()))),"OLD",IF(AND(E732&lt;&gt;"",E732&lt;&gt;"!!!"),"NEW","")))</f>
        <v/>
      </c>
      <c r="G732" s="11" t="str">
        <f aca="false">IF(OR(E732="",E732="!!!"),"",IF(OR(J732=0,AND(J732=1,K732=1),AND(J732=1,I732="SBJ"),AND(J732=1,I732=0)),"?IN_FOCUS",IF(J732&lt;=2,"?ACTIVATED",IF(J732&lt;&gt;"","?FAMILIAR",IF(F732="NEW",IF(ISNA(VLOOKUP(E732,#REF!,1,FALSE())),"?TYPE_IDENTIFIABLE","?REFERENTIAL"),"_")))))</f>
        <v/>
      </c>
      <c r="H732" s="12" t="str">
        <f aca="false">IF(J732&lt;&gt;1,"",IF(I732="SBJ","CB","?"))</f>
        <v/>
      </c>
      <c r="I732" s="13" t="str">
        <f aca="false">IF(OR(E732="",E732="!!!",F732="NEW"),"",INDEX(B$2:B731,-1+SUMPRODUCT(MAX(ROW(E$2:E731)*(E732=E$2:E731)))))</f>
        <v/>
      </c>
      <c r="J732" s="14" t="str">
        <f aca="true">IF(OR(E732="",E732="!!!",F732="NEW"),"",COUNTBLANK(OFFSET(A$1,,,SUMPRODUCT(MAX(ROW(E$2:E732)*(E732=E$2:E732)))))-COUNTBLANK(OFFSET(A$1,,,SUMPRODUCT(MAX(ROW(E$1:E731)*(E732=E$1:E731))))))</f>
        <v/>
      </c>
      <c r="K732" s="14" t="str">
        <f aca="false">IF(OR(E732="",E732="!!!",F732="NEW"),"",INDEX(J$1:J731,SUMPRODUCT(MAX(ROW(E$1:E731)*(E732=E$1:E731)))))</f>
        <v/>
      </c>
      <c r="L732" s="15"/>
    </row>
    <row r="733" customFormat="false" ht="12.75" hidden="false" customHeight="false" outlineLevel="0" collapsed="false">
      <c r="E733" s="9" t="str">
        <f aca="false">IF(D733="?OLD","!!!","")</f>
        <v/>
      </c>
      <c r="F733" s="10" t="str">
        <f aca="false">IF(OR(E733="",E733="!!!"),"",IF(NOT(ISNA(VLOOKUP(E733,E$1:E732,1,FALSE()))),"OLD",IF(AND(E733&lt;&gt;"",E733&lt;&gt;"!!!"),"NEW","")))</f>
        <v/>
      </c>
      <c r="G733" s="11" t="str">
        <f aca="false">IF(OR(E733="",E733="!!!"),"",IF(OR(J733=0,AND(J733=1,K733=1),AND(J733=1,I733="SBJ"),AND(J733=1,I733=0)),"?IN_FOCUS",IF(J733&lt;=2,"?ACTIVATED",IF(J733&lt;&gt;"","?FAMILIAR",IF(F733="NEW",IF(ISNA(VLOOKUP(E733,#REF!,1,FALSE())),"?TYPE_IDENTIFIABLE","?REFERENTIAL"),"_")))))</f>
        <v/>
      </c>
      <c r="H733" s="12" t="str">
        <f aca="false">IF(J733&lt;&gt;1,"",IF(I733="SBJ","CB","?"))</f>
        <v/>
      </c>
      <c r="I733" s="13" t="str">
        <f aca="false">IF(OR(E733="",E733="!!!",F733="NEW"),"",INDEX(B$2:B732,-1+SUMPRODUCT(MAX(ROW(E$2:E732)*(E733=E$2:E732)))))</f>
        <v/>
      </c>
      <c r="J733" s="14" t="str">
        <f aca="true">IF(OR(E733="",E733="!!!",F733="NEW"),"",COUNTBLANK(OFFSET(A$1,,,SUMPRODUCT(MAX(ROW(E$2:E733)*(E733=E$2:E733)))))-COUNTBLANK(OFFSET(A$1,,,SUMPRODUCT(MAX(ROW(E$1:E732)*(E733=E$1:E732))))))</f>
        <v/>
      </c>
      <c r="K733" s="14" t="str">
        <f aca="false">IF(OR(E733="",E733="!!!",F733="NEW"),"",INDEX(J$1:J732,SUMPRODUCT(MAX(ROW(E$1:E732)*(E733=E$1:E732)))))</f>
        <v/>
      </c>
      <c r="L733" s="15"/>
    </row>
    <row r="734" customFormat="false" ht="12.75" hidden="false" customHeight="false" outlineLevel="0" collapsed="false">
      <c r="A734" s="0" t="s">
        <v>260</v>
      </c>
      <c r="E734" s="9" t="str">
        <f aca="false">IF(D734="?OLD","!!!","")</f>
        <v/>
      </c>
      <c r="F734" s="10" t="str">
        <f aca="false">IF(OR(E734="",E734="!!!"),"",IF(NOT(ISNA(VLOOKUP(E734,E$1:E733,1,FALSE()))),"OLD",IF(AND(E734&lt;&gt;"",E734&lt;&gt;"!!!"),"NEW","")))</f>
        <v/>
      </c>
      <c r="G734" s="11" t="str">
        <f aca="false">IF(OR(E734="",E734="!!!"),"",IF(OR(J734=0,AND(J734=1,K734=1),AND(J734=1,I734="SBJ"),AND(J734=1,I734=0)),"?IN_FOCUS",IF(J734&lt;=2,"?ACTIVATED",IF(J734&lt;&gt;"","?FAMILIAR",IF(F734="NEW",IF(ISNA(VLOOKUP(E734,#REF!,1,FALSE())),"?TYPE_IDENTIFIABLE","?REFERENTIAL"),"_")))))</f>
        <v/>
      </c>
      <c r="H734" s="12" t="str">
        <f aca="false">IF(J734&lt;&gt;1,"",IF(I734="SBJ","CB","?"))</f>
        <v/>
      </c>
      <c r="I734" s="13" t="str">
        <f aca="false">IF(OR(E734="",E734="!!!",F734="NEW"),"",INDEX(B$2:B733,-1+SUMPRODUCT(MAX(ROW(E$2:E733)*(E734=E$2:E733)))))</f>
        <v/>
      </c>
      <c r="J734" s="14" t="str">
        <f aca="true">IF(OR(E734="",E734="!!!",F734="NEW"),"",COUNTBLANK(OFFSET(A$1,,,SUMPRODUCT(MAX(ROW(E$2:E734)*(E734=E$2:E734)))))-COUNTBLANK(OFFSET(A$1,,,SUMPRODUCT(MAX(ROW(E$1:E733)*(E734=E$1:E733))))))</f>
        <v/>
      </c>
      <c r="K734" s="14" t="str">
        <f aca="false">IF(OR(E734="",E734="!!!",F734="NEW"),"",INDEX(J$1:J733,SUMPRODUCT(MAX(ROW(E$1:E733)*(E734=E$1:E733)))))</f>
        <v/>
      </c>
      <c r="L734" s="15"/>
    </row>
    <row r="735" customFormat="false" ht="12.75" hidden="false" customHeight="false" outlineLevel="0" collapsed="false">
      <c r="A735" s="0" t="s">
        <v>412</v>
      </c>
      <c r="E735" s="9" t="str">
        <f aca="false">IF(D735="?OLD","!!!","")</f>
        <v/>
      </c>
      <c r="F735" s="10" t="str">
        <f aca="false">IF(OR(E735="",E735="!!!"),"",IF(NOT(ISNA(VLOOKUP(E735,E$1:E734,1,FALSE()))),"OLD",IF(AND(E735&lt;&gt;"",E735&lt;&gt;"!!!"),"NEW","")))</f>
        <v/>
      </c>
      <c r="G735" s="11" t="str">
        <f aca="false">IF(OR(E735="",E735="!!!"),"",IF(OR(J735=0,AND(J735=1,K735=1),AND(J735=1,I735="SBJ"),AND(J735=1,I735=0)),"?IN_FOCUS",IF(J735&lt;=2,"?ACTIVATED",IF(J735&lt;&gt;"","?FAMILIAR",IF(F735="NEW",IF(ISNA(VLOOKUP(E735,#REF!,1,FALSE())),"?TYPE_IDENTIFIABLE","?REFERENTIAL"),"_")))))</f>
        <v/>
      </c>
      <c r="H735" s="12" t="str">
        <f aca="false">IF(J735&lt;&gt;1,"",IF(I735="SBJ","CB","?"))</f>
        <v/>
      </c>
      <c r="I735" s="13" t="str">
        <f aca="false">IF(OR(E735="",E735="!!!",F735="NEW"),"",INDEX(B$2:B734,-1+SUMPRODUCT(MAX(ROW(E$2:E734)*(E735=E$2:E734)))))</f>
        <v/>
      </c>
      <c r="J735" s="14" t="str">
        <f aca="true">IF(OR(E735="",E735="!!!",F735="NEW"),"",COUNTBLANK(OFFSET(A$1,,,SUMPRODUCT(MAX(ROW(E$2:E735)*(E735=E$2:E735)))))-COUNTBLANK(OFFSET(A$1,,,SUMPRODUCT(MAX(ROW(E$1:E734)*(E735=E$1:E734))))))</f>
        <v/>
      </c>
      <c r="K735" s="14" t="str">
        <f aca="false">IF(OR(E735="",E735="!!!",F735="NEW"),"",INDEX(J$1:J734,SUMPRODUCT(MAX(ROW(E$1:E734)*(E735=E$1:E734)))))</f>
        <v/>
      </c>
      <c r="L735" s="15"/>
    </row>
    <row r="736" customFormat="false" ht="12.75" hidden="false" customHeight="false" outlineLevel="0" collapsed="false">
      <c r="A736" s="0" t="s">
        <v>262</v>
      </c>
      <c r="E736" s="9" t="str">
        <f aca="false">IF(D736="?OLD","!!!","")</f>
        <v/>
      </c>
      <c r="F736" s="10" t="str">
        <f aca="false">IF(OR(E736="",E736="!!!"),"",IF(NOT(ISNA(VLOOKUP(E736,E$1:E735,1,FALSE()))),"OLD",IF(AND(E736&lt;&gt;"",E736&lt;&gt;"!!!"),"NEW","")))</f>
        <v/>
      </c>
      <c r="G736" s="11" t="str">
        <f aca="false">IF(OR(E736="",E736="!!!"),"",IF(OR(J736=0,AND(J736=1,K736=1),AND(J736=1,I736="SBJ"),AND(J736=1,I736=0)),"?IN_FOCUS",IF(J736&lt;=2,"?ACTIVATED",IF(J736&lt;&gt;"","?FAMILIAR",IF(F736="NEW",IF(ISNA(VLOOKUP(E736,#REF!,1,FALSE())),"?TYPE_IDENTIFIABLE","?REFERENTIAL"),"_")))))</f>
        <v/>
      </c>
      <c r="H736" s="12" t="str">
        <f aca="false">IF(J736&lt;&gt;1,"",IF(I736="SBJ","CB","?"))</f>
        <v/>
      </c>
      <c r="I736" s="13" t="str">
        <f aca="false">IF(OR(E736="",E736="!!!",F736="NEW"),"",INDEX(B$2:B735,-1+SUMPRODUCT(MAX(ROW(E$2:E735)*(E736=E$2:E735)))))</f>
        <v/>
      </c>
      <c r="J736" s="14" t="str">
        <f aca="true">IF(OR(E736="",E736="!!!",F736="NEW"),"",COUNTBLANK(OFFSET(A$1,,,SUMPRODUCT(MAX(ROW(E$2:E736)*(E736=E$2:E736)))))-COUNTBLANK(OFFSET(A$1,,,SUMPRODUCT(MAX(ROW(E$1:E735)*(E736=E$1:E735))))))</f>
        <v/>
      </c>
      <c r="K736" s="14" t="str">
        <f aca="false">IF(OR(E736="",E736="!!!",F736="NEW"),"",INDEX(J$1:J735,SUMPRODUCT(MAX(ROW(E$1:E735)*(E736=E$1:E735)))))</f>
        <v/>
      </c>
      <c r="L736" s="15"/>
    </row>
    <row r="737" customFormat="false" ht="12.75" hidden="false" customHeight="false" outlineLevel="0" collapsed="false">
      <c r="A737" s="0" t="s">
        <v>109</v>
      </c>
      <c r="E737" s="9" t="str">
        <f aca="false">IF(D737="?OLD","!!!","")</f>
        <v/>
      </c>
      <c r="F737" s="10" t="str">
        <f aca="false">IF(OR(E737="",E737="!!!"),"",IF(NOT(ISNA(VLOOKUP(E737,E$1:E736,1,FALSE()))),"OLD",IF(AND(E737&lt;&gt;"",E737&lt;&gt;"!!!"),"NEW","")))</f>
        <v/>
      </c>
      <c r="G737" s="11" t="str">
        <f aca="false">IF(OR(E737="",E737="!!!"),"",IF(OR(J737=0,AND(J737=1,K737=1),AND(J737=1,I737="SBJ"),AND(J737=1,I737=0)),"?IN_FOCUS",IF(J737&lt;=2,"?ACTIVATED",IF(J737&lt;&gt;"","?FAMILIAR",IF(F737="NEW",IF(ISNA(VLOOKUP(E737,#REF!,1,FALSE())),"?TYPE_IDENTIFIABLE","?REFERENTIAL"),"_")))))</f>
        <v/>
      </c>
      <c r="H737" s="12" t="str">
        <f aca="false">IF(J737&lt;&gt;1,"",IF(I737="SBJ","CB","?"))</f>
        <v/>
      </c>
      <c r="I737" s="13" t="str">
        <f aca="false">IF(OR(E737="",E737="!!!",F737="NEW"),"",INDEX(B$2:B736,-1+SUMPRODUCT(MAX(ROW(E$2:E736)*(E737=E$2:E736)))))</f>
        <v/>
      </c>
      <c r="J737" s="14" t="str">
        <f aca="true">IF(OR(E737="",E737="!!!",F737="NEW"),"",COUNTBLANK(OFFSET(A$1,,,SUMPRODUCT(MAX(ROW(E$2:E737)*(E737=E$2:E737)))))-COUNTBLANK(OFFSET(A$1,,,SUMPRODUCT(MAX(ROW(E$1:E736)*(E737=E$1:E736))))))</f>
        <v/>
      </c>
      <c r="K737" s="14" t="str">
        <f aca="false">IF(OR(E737="",E737="!!!",F737="NEW"),"",INDEX(J$1:J736,SUMPRODUCT(MAX(ROW(E$1:E736)*(E737=E$1:E736)))))</f>
        <v/>
      </c>
      <c r="L737" s="15"/>
    </row>
    <row r="738" customFormat="false" ht="12.75" hidden="false" customHeight="false" outlineLevel="0" collapsed="false">
      <c r="A738" s="0" t="s">
        <v>413</v>
      </c>
      <c r="B738" s="0" t="s">
        <v>14</v>
      </c>
      <c r="C738" s="0" t="s">
        <v>111</v>
      </c>
      <c r="D738" s="0" t="s">
        <v>29</v>
      </c>
      <c r="E738" s="9" t="str">
        <f aca="false">IF(D738="?OLD","!!!","")</f>
        <v>!!!</v>
      </c>
      <c r="F738" s="10" t="str">
        <f aca="false">IF(OR(E738="",E738="!!!"),"",IF(NOT(ISNA(VLOOKUP(E738,E$1:E737,1,FALSE()))),"OLD",IF(AND(E738&lt;&gt;"",E738&lt;&gt;"!!!"),"NEW","")))</f>
        <v/>
      </c>
      <c r="G738" s="11" t="str">
        <f aca="false">IF(OR(E738="",E738="!!!"),"",IF(OR(J738=0,AND(J738=1,K738=1),AND(J738=1,I738="SBJ"),AND(J738=1,I738=0)),"?IN_FOCUS",IF(J738&lt;=2,"?ACTIVATED",IF(J738&lt;&gt;"","?FAMILIAR",IF(F738="NEW",IF(ISNA(VLOOKUP(E738,#REF!,1,FALSE())),"?TYPE_IDENTIFIABLE","?REFERENTIAL"),"_")))))</f>
        <v/>
      </c>
      <c r="H738" s="12" t="str">
        <f aca="false">IF(J738&lt;&gt;1,"",IF(I738="SBJ","CB","?"))</f>
        <v/>
      </c>
      <c r="I738" s="13" t="str">
        <f aca="false">IF(OR(E738="",E738="!!!",F738="NEW"),"",INDEX(B$2:B737,-1+SUMPRODUCT(MAX(ROW(E$2:E737)*(E738=E$2:E737)))))</f>
        <v/>
      </c>
      <c r="J738" s="14" t="str">
        <f aca="true">IF(OR(E738="",E738="!!!",F738="NEW"),"",COUNTBLANK(OFFSET(A$1,,,SUMPRODUCT(MAX(ROW(E$2:E738)*(E738=E$2:E738)))))-COUNTBLANK(OFFSET(A$1,,,SUMPRODUCT(MAX(ROW(E$1:E737)*(E738=E$1:E737))))))</f>
        <v/>
      </c>
      <c r="K738" s="14" t="str">
        <f aca="false">IF(OR(E738="",E738="!!!",F738="NEW"),"",INDEX(J$1:J737,SUMPRODUCT(MAX(ROW(E$1:E737)*(E738=E$1:E737)))))</f>
        <v/>
      </c>
      <c r="L738" s="15"/>
    </row>
    <row r="739" customFormat="false" ht="12.75" hidden="false" customHeight="false" outlineLevel="0" collapsed="false">
      <c r="A739" s="0" t="s">
        <v>294</v>
      </c>
      <c r="E739" s="9" t="str">
        <f aca="false">IF(D739="?OLD","!!!","")</f>
        <v/>
      </c>
      <c r="F739" s="10" t="str">
        <f aca="false">IF(OR(E739="",E739="!!!"),"",IF(NOT(ISNA(VLOOKUP(E739,E$1:E738,1,FALSE()))),"OLD",IF(AND(E739&lt;&gt;"",E739&lt;&gt;"!!!"),"NEW","")))</f>
        <v/>
      </c>
      <c r="G739" s="11" t="str">
        <f aca="false">IF(OR(E739="",E739="!!!"),"",IF(OR(J739=0,AND(J739=1,K739=1),AND(J739=1,I739="SBJ"),AND(J739=1,I739=0)),"?IN_FOCUS",IF(J739&lt;=2,"?ACTIVATED",IF(J739&lt;&gt;"","?FAMILIAR",IF(F739="NEW",IF(ISNA(VLOOKUP(E739,#REF!,1,FALSE())),"?TYPE_IDENTIFIABLE","?REFERENTIAL"),"_")))))</f>
        <v/>
      </c>
      <c r="H739" s="12" t="str">
        <f aca="false">IF(J739&lt;&gt;1,"",IF(I739="SBJ","CB","?"))</f>
        <v/>
      </c>
      <c r="I739" s="13" t="str">
        <f aca="false">IF(OR(E739="",E739="!!!",F739="NEW"),"",INDEX(B$2:B738,-1+SUMPRODUCT(MAX(ROW(E$2:E738)*(E739=E$2:E738)))))</f>
        <v/>
      </c>
      <c r="J739" s="14" t="str">
        <f aca="true">IF(OR(E739="",E739="!!!",F739="NEW"),"",COUNTBLANK(OFFSET(A$1,,,SUMPRODUCT(MAX(ROW(E$2:E739)*(E739=E$2:E739)))))-COUNTBLANK(OFFSET(A$1,,,SUMPRODUCT(MAX(ROW(E$1:E738)*(E739=E$1:E738))))))</f>
        <v/>
      </c>
      <c r="K739" s="14" t="str">
        <f aca="false">IF(OR(E739="",E739="!!!",F739="NEW"),"",INDEX(J$1:J738,SUMPRODUCT(MAX(ROW(E$1:E738)*(E739=E$1:E738)))))</f>
        <v/>
      </c>
      <c r="L739" s="15"/>
    </row>
    <row r="740" customFormat="false" ht="12.75" hidden="false" customHeight="false" outlineLevel="0" collapsed="false">
      <c r="A740" s="0" t="s">
        <v>241</v>
      </c>
      <c r="E740" s="9" t="str">
        <f aca="false">IF(D740="?OLD","!!!","")</f>
        <v/>
      </c>
      <c r="F740" s="10" t="str">
        <f aca="false">IF(OR(E740="",E740="!!!"),"",IF(NOT(ISNA(VLOOKUP(E740,E$1:E739,1,FALSE()))),"OLD",IF(AND(E740&lt;&gt;"",E740&lt;&gt;"!!!"),"NEW","")))</f>
        <v/>
      </c>
      <c r="G740" s="11" t="str">
        <f aca="false">IF(OR(E740="",E740="!!!"),"",IF(OR(J740=0,AND(J740=1,K740=1),AND(J740=1,I740="SBJ"),AND(J740=1,I740=0)),"?IN_FOCUS",IF(J740&lt;=2,"?ACTIVATED",IF(J740&lt;&gt;"","?FAMILIAR",IF(F740="NEW",IF(ISNA(VLOOKUP(E740,#REF!,1,FALSE())),"?TYPE_IDENTIFIABLE","?REFERENTIAL"),"_")))))</f>
        <v/>
      </c>
      <c r="H740" s="12" t="str">
        <f aca="false">IF(J740&lt;&gt;1,"",IF(I740="SBJ","CB","?"))</f>
        <v/>
      </c>
      <c r="I740" s="13" t="str">
        <f aca="false">IF(OR(E740="",E740="!!!",F740="NEW"),"",INDEX(B$2:B739,-1+SUMPRODUCT(MAX(ROW(E$2:E739)*(E740=E$2:E739)))))</f>
        <v/>
      </c>
      <c r="J740" s="14" t="str">
        <f aca="true">IF(OR(E740="",E740="!!!",F740="NEW"),"",COUNTBLANK(OFFSET(A$1,,,SUMPRODUCT(MAX(ROW(E$2:E740)*(E740=E$2:E740)))))-COUNTBLANK(OFFSET(A$1,,,SUMPRODUCT(MAX(ROW(E$1:E739)*(E740=E$1:E739))))))</f>
        <v/>
      </c>
      <c r="K740" s="14" t="str">
        <f aca="false">IF(OR(E740="",E740="!!!",F740="NEW"),"",INDEX(J$1:J739,SUMPRODUCT(MAX(ROW(E$1:E739)*(E740=E$1:E739)))))</f>
        <v/>
      </c>
      <c r="L740" s="15"/>
    </row>
    <row r="741" customFormat="false" ht="12.75" hidden="false" customHeight="false" outlineLevel="0" collapsed="false">
      <c r="A741" s="0" t="s">
        <v>73</v>
      </c>
      <c r="E741" s="9" t="str">
        <f aca="false">IF(D741="?OLD","!!!","")</f>
        <v/>
      </c>
      <c r="F741" s="10" t="str">
        <f aca="false">IF(OR(E741="",E741="!!!"),"",IF(NOT(ISNA(VLOOKUP(E741,E$1:E740,1,FALSE()))),"OLD",IF(AND(E741&lt;&gt;"",E741&lt;&gt;"!!!"),"NEW","")))</f>
        <v/>
      </c>
      <c r="G741" s="11" t="str">
        <f aca="false">IF(OR(E741="",E741="!!!"),"",IF(OR(J741=0,AND(J741=1,K741=1),AND(J741=1,I741="SBJ"),AND(J741=1,I741=0)),"?IN_FOCUS",IF(J741&lt;=2,"?ACTIVATED",IF(J741&lt;&gt;"","?FAMILIAR",IF(F741="NEW",IF(ISNA(VLOOKUP(E741,#REF!,1,FALSE())),"?TYPE_IDENTIFIABLE","?REFERENTIAL"),"_")))))</f>
        <v/>
      </c>
      <c r="H741" s="12" t="str">
        <f aca="false">IF(J741&lt;&gt;1,"",IF(I741="SBJ","CB","?"))</f>
        <v/>
      </c>
      <c r="I741" s="13" t="str">
        <f aca="false">IF(OR(E741="",E741="!!!",F741="NEW"),"",INDEX(B$2:B740,-1+SUMPRODUCT(MAX(ROW(E$2:E740)*(E741=E$2:E740)))))</f>
        <v/>
      </c>
      <c r="J741" s="14" t="str">
        <f aca="true">IF(OR(E741="",E741="!!!",F741="NEW"),"",COUNTBLANK(OFFSET(A$1,,,SUMPRODUCT(MAX(ROW(E$2:E741)*(E741=E$2:E741)))))-COUNTBLANK(OFFSET(A$1,,,SUMPRODUCT(MAX(ROW(E$1:E740)*(E741=E$1:E740))))))</f>
        <v/>
      </c>
      <c r="K741" s="14" t="str">
        <f aca="false">IF(OR(E741="",E741="!!!",F741="NEW"),"",INDEX(J$1:J740,SUMPRODUCT(MAX(ROW(E$1:E740)*(E741=E$1:E740)))))</f>
        <v/>
      </c>
      <c r="L741" s="15"/>
    </row>
    <row r="742" customFormat="false" ht="12.75" hidden="false" customHeight="false" outlineLevel="0" collapsed="false">
      <c r="E742" s="9" t="str">
        <f aca="false">IF(D742="?OLD","!!!","")</f>
        <v/>
      </c>
      <c r="F742" s="10" t="str">
        <f aca="false">IF(OR(E742="",E742="!!!"),"",IF(NOT(ISNA(VLOOKUP(E742,E$1:E741,1,FALSE()))),"OLD",IF(AND(E742&lt;&gt;"",E742&lt;&gt;"!!!"),"NEW","")))</f>
        <v/>
      </c>
      <c r="G742" s="11" t="str">
        <f aca="false">IF(OR(E742="",E742="!!!"),"",IF(OR(J742=0,AND(J742=1,K742=1),AND(J742=1,I742="SBJ"),AND(J742=1,I742=0)),"?IN_FOCUS",IF(J742&lt;=2,"?ACTIVATED",IF(J742&lt;&gt;"","?FAMILIAR",IF(F742="NEW",IF(ISNA(VLOOKUP(E742,#REF!,1,FALSE())),"?TYPE_IDENTIFIABLE","?REFERENTIAL"),"_")))))</f>
        <v/>
      </c>
      <c r="H742" s="12" t="str">
        <f aca="false">IF(J742&lt;&gt;1,"",IF(I742="SBJ","CB","?"))</f>
        <v/>
      </c>
      <c r="I742" s="13" t="str">
        <f aca="false">IF(OR(E742="",E742="!!!",F742="NEW"),"",INDEX(B$2:B741,-1+SUMPRODUCT(MAX(ROW(E$2:E741)*(E742=E$2:E741)))))</f>
        <v/>
      </c>
      <c r="J742" s="14" t="str">
        <f aca="true">IF(OR(E742="",E742="!!!",F742="NEW"),"",COUNTBLANK(OFFSET(A$1,,,SUMPRODUCT(MAX(ROW(E$2:E742)*(E742=E$2:E742)))))-COUNTBLANK(OFFSET(A$1,,,SUMPRODUCT(MAX(ROW(E$1:E741)*(E742=E$1:E741))))))</f>
        <v/>
      </c>
      <c r="K742" s="14" t="str">
        <f aca="false">IF(OR(E742="",E742="!!!",F742="NEW"),"",INDEX(J$1:J741,SUMPRODUCT(MAX(ROW(E$1:E741)*(E742=E$1:E741)))))</f>
        <v/>
      </c>
      <c r="L742" s="15"/>
    </row>
    <row r="743" customFormat="false" ht="12.75" hidden="false" customHeight="false" outlineLevel="0" collapsed="false">
      <c r="A743" s="0" t="s">
        <v>414</v>
      </c>
      <c r="E743" s="9" t="str">
        <f aca="false">IF(D743="?OLD","!!!","")</f>
        <v/>
      </c>
      <c r="F743" s="10" t="str">
        <f aca="false">IF(OR(E743="",E743="!!!"),"",IF(NOT(ISNA(VLOOKUP(E743,E$1:E742,1,FALSE()))),"OLD",IF(AND(E743&lt;&gt;"",E743&lt;&gt;"!!!"),"NEW","")))</f>
        <v/>
      </c>
      <c r="G743" s="11" t="str">
        <f aca="false">IF(OR(E743="",E743="!!!"),"",IF(OR(J743=0,AND(J743=1,K743=1),AND(J743=1,I743="SBJ"),AND(J743=1,I743=0)),"?IN_FOCUS",IF(J743&lt;=2,"?ACTIVATED",IF(J743&lt;&gt;"","?FAMILIAR",IF(F743="NEW",IF(ISNA(VLOOKUP(E743,#REF!,1,FALSE())),"?TYPE_IDENTIFIABLE","?REFERENTIAL"),"_")))))</f>
        <v/>
      </c>
      <c r="H743" s="12" t="str">
        <f aca="false">IF(J743&lt;&gt;1,"",IF(I743="SBJ","CB","?"))</f>
        <v/>
      </c>
      <c r="I743" s="13" t="str">
        <f aca="false">IF(OR(E743="",E743="!!!",F743="NEW"),"",INDEX(B$2:B742,-1+SUMPRODUCT(MAX(ROW(E$2:E742)*(E743=E$2:E742)))))</f>
        <v/>
      </c>
      <c r="J743" s="14" t="str">
        <f aca="true">IF(OR(E743="",E743="!!!",F743="NEW"),"",COUNTBLANK(OFFSET(A$1,,,SUMPRODUCT(MAX(ROW(E$2:E743)*(E743=E$2:E743)))))-COUNTBLANK(OFFSET(A$1,,,SUMPRODUCT(MAX(ROW(E$1:E742)*(E743=E$1:E742))))))</f>
        <v/>
      </c>
      <c r="K743" s="14" t="str">
        <f aca="false">IF(OR(E743="",E743="!!!",F743="NEW"),"",INDEX(J$1:J742,SUMPRODUCT(MAX(ROW(E$1:E742)*(E743=E$1:E742)))))</f>
        <v/>
      </c>
      <c r="L743" s="15"/>
    </row>
    <row r="744" customFormat="false" ht="12.75" hidden="false" customHeight="false" outlineLevel="0" collapsed="false">
      <c r="A744" s="0" t="s">
        <v>298</v>
      </c>
      <c r="B744" s="0" t="s">
        <v>14</v>
      </c>
      <c r="C744" s="0" t="s">
        <v>38</v>
      </c>
      <c r="D744" s="0" t="s">
        <v>29</v>
      </c>
      <c r="E744" s="9" t="str">
        <f aca="false">IF(D744="?OLD","!!!","")</f>
        <v>!!!</v>
      </c>
      <c r="F744" s="10" t="str">
        <f aca="false">IF(OR(E744="",E744="!!!"),"",IF(NOT(ISNA(VLOOKUP(E744,E$1:E743,1,FALSE()))),"OLD",IF(AND(E744&lt;&gt;"",E744&lt;&gt;"!!!"),"NEW","")))</f>
        <v/>
      </c>
      <c r="G744" s="11" t="str">
        <f aca="false">IF(OR(E744="",E744="!!!"),"",IF(OR(J744=0,AND(J744=1,K744=1),AND(J744=1,I744="SBJ"),AND(J744=1,I744=0)),"?IN_FOCUS",IF(J744&lt;=2,"?ACTIVATED",IF(J744&lt;&gt;"","?FAMILIAR",IF(F744="NEW",IF(ISNA(VLOOKUP(E744,#REF!,1,FALSE())),"?TYPE_IDENTIFIABLE","?REFERENTIAL"),"_")))))</f>
        <v/>
      </c>
      <c r="H744" s="12" t="str">
        <f aca="false">IF(J744&lt;&gt;1,"",IF(I744="SBJ","CB","?"))</f>
        <v/>
      </c>
      <c r="I744" s="13" t="str">
        <f aca="false">IF(OR(E744="",E744="!!!",F744="NEW"),"",INDEX(B$2:B743,-1+SUMPRODUCT(MAX(ROW(E$2:E743)*(E744=E$2:E743)))))</f>
        <v/>
      </c>
      <c r="J744" s="14" t="str">
        <f aca="true">IF(OR(E744="",E744="!!!",F744="NEW"),"",COUNTBLANK(OFFSET(A$1,,,SUMPRODUCT(MAX(ROW(E$2:E744)*(E744=E$2:E744)))))-COUNTBLANK(OFFSET(A$1,,,SUMPRODUCT(MAX(ROW(E$1:E743)*(E744=E$1:E743))))))</f>
        <v/>
      </c>
      <c r="K744" s="14" t="str">
        <f aca="false">IF(OR(E744="",E744="!!!",F744="NEW"),"",INDEX(J$1:J743,SUMPRODUCT(MAX(ROW(E$1:E743)*(E744=E$1:E743)))))</f>
        <v/>
      </c>
      <c r="L744" s="15"/>
    </row>
    <row r="745" customFormat="false" ht="12.75" hidden="false" customHeight="false" outlineLevel="0" collapsed="false">
      <c r="A745" s="0" t="s">
        <v>415</v>
      </c>
      <c r="E745" s="9" t="str">
        <f aca="false">IF(D745="?OLD","!!!","")</f>
        <v/>
      </c>
      <c r="F745" s="10" t="str">
        <f aca="false">IF(OR(E745="",E745="!!!"),"",IF(NOT(ISNA(VLOOKUP(E745,E$1:E744,1,FALSE()))),"OLD",IF(AND(E745&lt;&gt;"",E745&lt;&gt;"!!!"),"NEW","")))</f>
        <v/>
      </c>
      <c r="G745" s="11" t="str">
        <f aca="false">IF(OR(E745="",E745="!!!"),"",IF(OR(J745=0,AND(J745=1,K745=1),AND(J745=1,I745="SBJ"),AND(J745=1,I745=0)),"?IN_FOCUS",IF(J745&lt;=2,"?ACTIVATED",IF(J745&lt;&gt;"","?FAMILIAR",IF(F745="NEW",IF(ISNA(VLOOKUP(E745,#REF!,1,FALSE())),"?TYPE_IDENTIFIABLE","?REFERENTIAL"),"_")))))</f>
        <v/>
      </c>
      <c r="H745" s="12" t="str">
        <f aca="false">IF(J745&lt;&gt;1,"",IF(I745="SBJ","CB","?"))</f>
        <v/>
      </c>
      <c r="I745" s="13" t="str">
        <f aca="false">IF(OR(E745="",E745="!!!",F745="NEW"),"",INDEX(B$2:B744,-1+SUMPRODUCT(MAX(ROW(E$2:E744)*(E745=E$2:E744)))))</f>
        <v/>
      </c>
      <c r="J745" s="14" t="str">
        <f aca="true">IF(OR(E745="",E745="!!!",F745="NEW"),"",COUNTBLANK(OFFSET(A$1,,,SUMPRODUCT(MAX(ROW(E$2:E745)*(E745=E$2:E745)))))-COUNTBLANK(OFFSET(A$1,,,SUMPRODUCT(MAX(ROW(E$1:E744)*(E745=E$1:E744))))))</f>
        <v/>
      </c>
      <c r="K745" s="14" t="str">
        <f aca="false">IF(OR(E745="",E745="!!!",F745="NEW"),"",INDEX(J$1:J744,SUMPRODUCT(MAX(ROW(E$1:E744)*(E745=E$1:E744)))))</f>
        <v/>
      </c>
      <c r="L745" s="15"/>
    </row>
    <row r="746" customFormat="false" ht="12.75" hidden="false" customHeight="false" outlineLevel="0" collapsed="false">
      <c r="A746" s="0" t="s">
        <v>66</v>
      </c>
      <c r="E746" s="9" t="str">
        <f aca="false">IF(D746="?OLD","!!!","")</f>
        <v/>
      </c>
      <c r="F746" s="10" t="str">
        <f aca="false">IF(OR(E746="",E746="!!!"),"",IF(NOT(ISNA(VLOOKUP(E746,E$1:E745,1,FALSE()))),"OLD",IF(AND(E746&lt;&gt;"",E746&lt;&gt;"!!!"),"NEW","")))</f>
        <v/>
      </c>
      <c r="G746" s="11" t="str">
        <f aca="false">IF(OR(E746="",E746="!!!"),"",IF(OR(J746=0,AND(J746=1,K746=1),AND(J746=1,I746="SBJ"),AND(J746=1,I746=0)),"?IN_FOCUS",IF(J746&lt;=2,"?ACTIVATED",IF(J746&lt;&gt;"","?FAMILIAR",IF(F746="NEW",IF(ISNA(VLOOKUP(E746,#REF!,1,FALSE())),"?TYPE_IDENTIFIABLE","?REFERENTIAL"),"_")))))</f>
        <v/>
      </c>
      <c r="H746" s="12" t="str">
        <f aca="false">IF(J746&lt;&gt;1,"",IF(I746="SBJ","CB","?"))</f>
        <v/>
      </c>
      <c r="I746" s="13" t="str">
        <f aca="false">IF(OR(E746="",E746="!!!",F746="NEW"),"",INDEX(B$2:B745,-1+SUMPRODUCT(MAX(ROW(E$2:E745)*(E746=E$2:E745)))))</f>
        <v/>
      </c>
      <c r="J746" s="14" t="str">
        <f aca="true">IF(OR(E746="",E746="!!!",F746="NEW"),"",COUNTBLANK(OFFSET(A$1,,,SUMPRODUCT(MAX(ROW(E$2:E746)*(E746=E$2:E746)))))-COUNTBLANK(OFFSET(A$1,,,SUMPRODUCT(MAX(ROW(E$1:E745)*(E746=E$1:E745))))))</f>
        <v/>
      </c>
      <c r="K746" s="14" t="str">
        <f aca="false">IF(OR(E746="",E746="!!!",F746="NEW"),"",INDEX(J$1:J745,SUMPRODUCT(MAX(ROW(E$1:E745)*(E746=E$1:E745)))))</f>
        <v/>
      </c>
      <c r="L746" s="15"/>
    </row>
    <row r="747" customFormat="false" ht="12.75" hidden="false" customHeight="false" outlineLevel="0" collapsed="false">
      <c r="A747" s="0" t="s">
        <v>416</v>
      </c>
      <c r="B747" s="0" t="s">
        <v>37</v>
      </c>
      <c r="C747" s="0" t="s">
        <v>111</v>
      </c>
      <c r="D747" s="0" t="s">
        <v>29</v>
      </c>
      <c r="E747" s="9" t="str">
        <f aca="false">IF(D747="?OLD","!!!","")</f>
        <v>!!!</v>
      </c>
      <c r="F747" s="10" t="str">
        <f aca="false">IF(OR(E747="",E747="!!!"),"",IF(NOT(ISNA(VLOOKUP(E747,E$1:E746,1,FALSE()))),"OLD",IF(AND(E747&lt;&gt;"",E747&lt;&gt;"!!!"),"NEW","")))</f>
        <v/>
      </c>
      <c r="G747" s="11" t="str">
        <f aca="false">IF(OR(E747="",E747="!!!"),"",IF(OR(J747=0,AND(J747=1,K747=1),AND(J747=1,I747="SBJ"),AND(J747=1,I747=0)),"?IN_FOCUS",IF(J747&lt;=2,"?ACTIVATED",IF(J747&lt;&gt;"","?FAMILIAR",IF(F747="NEW",IF(ISNA(VLOOKUP(E747,#REF!,1,FALSE())),"?TYPE_IDENTIFIABLE","?REFERENTIAL"),"_")))))</f>
        <v/>
      </c>
      <c r="H747" s="12" t="str">
        <f aca="false">IF(J747&lt;&gt;1,"",IF(I747="SBJ","CB","?"))</f>
        <v/>
      </c>
      <c r="I747" s="13" t="str">
        <f aca="false">IF(OR(E747="",E747="!!!",F747="NEW"),"",INDEX(B$2:B746,-1+SUMPRODUCT(MAX(ROW(E$2:E746)*(E747=E$2:E746)))))</f>
        <v/>
      </c>
      <c r="J747" s="14" t="str">
        <f aca="true">IF(OR(E747="",E747="!!!",F747="NEW"),"",COUNTBLANK(OFFSET(A$1,,,SUMPRODUCT(MAX(ROW(E$2:E747)*(E747=E$2:E747)))))-COUNTBLANK(OFFSET(A$1,,,SUMPRODUCT(MAX(ROW(E$1:E746)*(E747=E$1:E746))))))</f>
        <v/>
      </c>
      <c r="K747" s="14" t="str">
        <f aca="false">IF(OR(E747="",E747="!!!",F747="NEW"),"",INDEX(J$1:J746,SUMPRODUCT(MAX(ROW(E$1:E746)*(E747=E$1:E746)))))</f>
        <v/>
      </c>
      <c r="L747" s="15"/>
    </row>
    <row r="748" customFormat="false" ht="12.75" hidden="false" customHeight="false" outlineLevel="0" collapsed="false">
      <c r="A748" s="0" t="s">
        <v>19</v>
      </c>
      <c r="E748" s="9" t="str">
        <f aca="false">IF(D748="?OLD","!!!","")</f>
        <v/>
      </c>
      <c r="F748" s="10" t="str">
        <f aca="false">IF(OR(E748="",E748="!!!"),"",IF(NOT(ISNA(VLOOKUP(E748,E$1:E747,1,FALSE()))),"OLD",IF(AND(E748&lt;&gt;"",E748&lt;&gt;"!!!"),"NEW","")))</f>
        <v/>
      </c>
      <c r="G748" s="11" t="str">
        <f aca="false">IF(OR(E748="",E748="!!!"),"",IF(OR(J748=0,AND(J748=1,K748=1),AND(J748=1,I748="SBJ"),AND(J748=1,I748=0)),"?IN_FOCUS",IF(J748&lt;=2,"?ACTIVATED",IF(J748&lt;&gt;"","?FAMILIAR",IF(F748="NEW",IF(ISNA(VLOOKUP(E748,#REF!,1,FALSE())),"?TYPE_IDENTIFIABLE","?REFERENTIAL"),"_")))))</f>
        <v/>
      </c>
      <c r="H748" s="12" t="str">
        <f aca="false">IF(J748&lt;&gt;1,"",IF(I748="SBJ","CB","?"))</f>
        <v/>
      </c>
      <c r="I748" s="13" t="str">
        <f aca="false">IF(OR(E748="",E748="!!!",F748="NEW"),"",INDEX(B$2:B747,-1+SUMPRODUCT(MAX(ROW(E$2:E747)*(E748=E$2:E747)))))</f>
        <v/>
      </c>
      <c r="J748" s="14" t="str">
        <f aca="true">IF(OR(E748="",E748="!!!",F748="NEW"),"",COUNTBLANK(OFFSET(A$1,,,SUMPRODUCT(MAX(ROW(E$2:E748)*(E748=E$2:E748)))))-COUNTBLANK(OFFSET(A$1,,,SUMPRODUCT(MAX(ROW(E$1:E747)*(E748=E$1:E747))))))</f>
        <v/>
      </c>
      <c r="K748" s="14" t="str">
        <f aca="false">IF(OR(E748="",E748="!!!",F748="NEW"),"",INDEX(J$1:J747,SUMPRODUCT(MAX(ROW(E$1:E747)*(E748=E$1:E747)))))</f>
        <v/>
      </c>
      <c r="L748" s="15"/>
    </row>
    <row r="749" customFormat="false" ht="12.75" hidden="false" customHeight="false" outlineLevel="0" collapsed="false">
      <c r="A749" s="0" t="s">
        <v>66</v>
      </c>
      <c r="E749" s="9" t="str">
        <f aca="false">IF(D749="?OLD","!!!","")</f>
        <v/>
      </c>
      <c r="F749" s="10" t="str">
        <f aca="false">IF(OR(E749="",E749="!!!"),"",IF(NOT(ISNA(VLOOKUP(E749,E$1:E748,1,FALSE()))),"OLD",IF(AND(E749&lt;&gt;"",E749&lt;&gt;"!!!"),"NEW","")))</f>
        <v/>
      </c>
      <c r="G749" s="11" t="str">
        <f aca="false">IF(OR(E749="",E749="!!!"),"",IF(OR(J749=0,AND(J749=1,K749=1),AND(J749=1,I749="SBJ"),AND(J749=1,I749=0)),"?IN_FOCUS",IF(J749&lt;=2,"?ACTIVATED",IF(J749&lt;&gt;"","?FAMILIAR",IF(F749="NEW",IF(ISNA(VLOOKUP(E749,#REF!,1,FALSE())),"?TYPE_IDENTIFIABLE","?REFERENTIAL"),"_")))))</f>
        <v/>
      </c>
      <c r="H749" s="12" t="str">
        <f aca="false">IF(J749&lt;&gt;1,"",IF(I749="SBJ","CB","?"))</f>
        <v/>
      </c>
      <c r="I749" s="13" t="str">
        <f aca="false">IF(OR(E749="",E749="!!!",F749="NEW"),"",INDEX(B$2:B748,-1+SUMPRODUCT(MAX(ROW(E$2:E748)*(E749=E$2:E748)))))</f>
        <v/>
      </c>
      <c r="J749" s="14" t="str">
        <f aca="true">IF(OR(E749="",E749="!!!",F749="NEW"),"",COUNTBLANK(OFFSET(A$1,,,SUMPRODUCT(MAX(ROW(E$2:E749)*(E749=E$2:E749)))))-COUNTBLANK(OFFSET(A$1,,,SUMPRODUCT(MAX(ROW(E$1:E748)*(E749=E$1:E748))))))</f>
        <v/>
      </c>
      <c r="K749" s="14" t="str">
        <f aca="false">IF(OR(E749="",E749="!!!",F749="NEW"),"",INDEX(J$1:J748,SUMPRODUCT(MAX(ROW(E$1:E748)*(E749=E$1:E748)))))</f>
        <v/>
      </c>
      <c r="L749" s="15"/>
    </row>
    <row r="750" customFormat="false" ht="12.75" hidden="false" customHeight="false" outlineLevel="0" collapsed="false">
      <c r="A750" s="0" t="s">
        <v>417</v>
      </c>
      <c r="E750" s="9" t="str">
        <f aca="false">IF(D750="?OLD","!!!","")</f>
        <v/>
      </c>
      <c r="F750" s="10" t="str">
        <f aca="false">IF(OR(E750="",E750="!!!"),"",IF(NOT(ISNA(VLOOKUP(E750,E$1:E749,1,FALSE()))),"OLD",IF(AND(E750&lt;&gt;"",E750&lt;&gt;"!!!"),"NEW","")))</f>
        <v/>
      </c>
      <c r="G750" s="11" t="str">
        <f aca="false">IF(OR(E750="",E750="!!!"),"",IF(OR(J750=0,AND(J750=1,K750=1),AND(J750=1,I750="SBJ"),AND(J750=1,I750=0)),"?IN_FOCUS",IF(J750&lt;=2,"?ACTIVATED",IF(J750&lt;&gt;"","?FAMILIAR",IF(F750="NEW",IF(ISNA(VLOOKUP(E750,#REF!,1,FALSE())),"?TYPE_IDENTIFIABLE","?REFERENTIAL"),"_")))))</f>
        <v/>
      </c>
      <c r="H750" s="12" t="str">
        <f aca="false">IF(J750&lt;&gt;1,"",IF(I750="SBJ","CB","?"))</f>
        <v/>
      </c>
      <c r="I750" s="13" t="str">
        <f aca="false">IF(OR(E750="",E750="!!!",F750="NEW"),"",INDEX(B$2:B749,-1+SUMPRODUCT(MAX(ROW(E$2:E749)*(E750=E$2:E749)))))</f>
        <v/>
      </c>
      <c r="J750" s="14" t="str">
        <f aca="true">IF(OR(E750="",E750="!!!",F750="NEW"),"",COUNTBLANK(OFFSET(A$1,,,SUMPRODUCT(MAX(ROW(E$2:E750)*(E750=E$2:E750)))))-COUNTBLANK(OFFSET(A$1,,,SUMPRODUCT(MAX(ROW(E$1:E749)*(E750=E$1:E749))))))</f>
        <v/>
      </c>
      <c r="K750" s="14" t="str">
        <f aca="false">IF(OR(E750="",E750="!!!",F750="NEW"),"",INDEX(J$1:J749,SUMPRODUCT(MAX(ROW(E$1:E749)*(E750=E$1:E749)))))</f>
        <v/>
      </c>
      <c r="L750" s="15"/>
    </row>
    <row r="751" customFormat="false" ht="12.75" hidden="false" customHeight="false" outlineLevel="0" collapsed="false">
      <c r="A751" s="0" t="s">
        <v>418</v>
      </c>
      <c r="E751" s="9" t="str">
        <f aca="false">IF(D751="?OLD","!!!","")</f>
        <v/>
      </c>
      <c r="F751" s="10" t="str">
        <f aca="false">IF(OR(E751="",E751="!!!"),"",IF(NOT(ISNA(VLOOKUP(E751,E$1:E750,1,FALSE()))),"OLD",IF(AND(E751&lt;&gt;"",E751&lt;&gt;"!!!"),"NEW","")))</f>
        <v/>
      </c>
      <c r="G751" s="11" t="str">
        <f aca="false">IF(OR(E751="",E751="!!!"),"",IF(OR(J751=0,AND(J751=1,K751=1),AND(J751=1,I751="SBJ"),AND(J751=1,I751=0)),"?IN_FOCUS",IF(J751&lt;=2,"?ACTIVATED",IF(J751&lt;&gt;"","?FAMILIAR",IF(F751="NEW",IF(ISNA(VLOOKUP(E751,#REF!,1,FALSE())),"?TYPE_IDENTIFIABLE","?REFERENTIAL"),"_")))))</f>
        <v/>
      </c>
      <c r="H751" s="12" t="str">
        <f aca="false">IF(J751&lt;&gt;1,"",IF(I751="SBJ","CB","?"))</f>
        <v/>
      </c>
      <c r="I751" s="13" t="str">
        <f aca="false">IF(OR(E751="",E751="!!!",F751="NEW"),"",INDEX(B$2:B750,-1+SUMPRODUCT(MAX(ROW(E$2:E750)*(E751=E$2:E750)))))</f>
        <v/>
      </c>
      <c r="J751" s="14" t="str">
        <f aca="true">IF(OR(E751="",E751="!!!",F751="NEW"),"",COUNTBLANK(OFFSET(A$1,,,SUMPRODUCT(MAX(ROW(E$2:E751)*(E751=E$2:E751)))))-COUNTBLANK(OFFSET(A$1,,,SUMPRODUCT(MAX(ROW(E$1:E750)*(E751=E$1:E750))))))</f>
        <v/>
      </c>
      <c r="K751" s="14" t="str">
        <f aca="false">IF(OR(E751="",E751="!!!",F751="NEW"),"",INDEX(J$1:J750,SUMPRODUCT(MAX(ROW(E$1:E750)*(E751=E$1:E750)))))</f>
        <v/>
      </c>
      <c r="L751" s="15"/>
    </row>
    <row r="752" customFormat="false" ht="12.75" hidden="false" customHeight="false" outlineLevel="0" collapsed="false">
      <c r="A752" s="0" t="s">
        <v>73</v>
      </c>
      <c r="E752" s="9" t="str">
        <f aca="false">IF(D752="?OLD","!!!","")</f>
        <v/>
      </c>
      <c r="F752" s="10" t="str">
        <f aca="false">IF(OR(E752="",E752="!!!"),"",IF(NOT(ISNA(VLOOKUP(E752,E$1:E751,1,FALSE()))),"OLD",IF(AND(E752&lt;&gt;"",E752&lt;&gt;"!!!"),"NEW","")))</f>
        <v/>
      </c>
      <c r="G752" s="11" t="str">
        <f aca="false">IF(OR(E752="",E752="!!!"),"",IF(OR(J752=0,AND(J752=1,K752=1),AND(J752=1,I752="SBJ"),AND(J752=1,I752=0)),"?IN_FOCUS",IF(J752&lt;=2,"?ACTIVATED",IF(J752&lt;&gt;"","?FAMILIAR",IF(F752="NEW",IF(ISNA(VLOOKUP(E752,#REF!,1,FALSE())),"?TYPE_IDENTIFIABLE","?REFERENTIAL"),"_")))))</f>
        <v/>
      </c>
      <c r="H752" s="12" t="str">
        <f aca="false">IF(J752&lt;&gt;1,"",IF(I752="SBJ","CB","?"))</f>
        <v/>
      </c>
      <c r="I752" s="13" t="str">
        <f aca="false">IF(OR(E752="",E752="!!!",F752="NEW"),"",INDEX(B$2:B751,-1+SUMPRODUCT(MAX(ROW(E$2:E751)*(E752=E$2:E751)))))</f>
        <v/>
      </c>
      <c r="J752" s="14" t="str">
        <f aca="true">IF(OR(E752="",E752="!!!",F752="NEW"),"",COUNTBLANK(OFFSET(A$1,,,SUMPRODUCT(MAX(ROW(E$2:E752)*(E752=E$2:E752)))))-COUNTBLANK(OFFSET(A$1,,,SUMPRODUCT(MAX(ROW(E$1:E751)*(E752=E$1:E751))))))</f>
        <v/>
      </c>
      <c r="K752" s="14" t="str">
        <f aca="false">IF(OR(E752="",E752="!!!",F752="NEW"),"",INDEX(J$1:J751,SUMPRODUCT(MAX(ROW(E$1:E751)*(E752=E$1:E751)))))</f>
        <v/>
      </c>
      <c r="L752" s="15"/>
    </row>
    <row r="753" customFormat="false" ht="12.75" hidden="false" customHeight="false" outlineLevel="0" collapsed="false">
      <c r="E753" s="9" t="str">
        <f aca="false">IF(D753="?OLD","!!!","")</f>
        <v/>
      </c>
      <c r="F753" s="10" t="str">
        <f aca="false">IF(OR(E753="",E753="!!!"),"",IF(NOT(ISNA(VLOOKUP(E753,E$1:E752,1,FALSE()))),"OLD",IF(AND(E753&lt;&gt;"",E753&lt;&gt;"!!!"),"NEW","")))</f>
        <v/>
      </c>
      <c r="G753" s="11" t="str">
        <f aca="false">IF(OR(E753="",E753="!!!"),"",IF(OR(J753=0,AND(J753=1,K753=1),AND(J753=1,I753="SBJ"),AND(J753=1,I753=0)),"?IN_FOCUS",IF(J753&lt;=2,"?ACTIVATED",IF(J753&lt;&gt;"","?FAMILIAR",IF(F753="NEW",IF(ISNA(VLOOKUP(E753,#REF!,1,FALSE())),"?TYPE_IDENTIFIABLE","?REFERENTIAL"),"_")))))</f>
        <v/>
      </c>
      <c r="H753" s="12" t="str">
        <f aca="false">IF(J753&lt;&gt;1,"",IF(I753="SBJ","CB","?"))</f>
        <v/>
      </c>
      <c r="I753" s="13" t="str">
        <f aca="false">IF(OR(E753="",E753="!!!",F753="NEW"),"",INDEX(B$2:B752,-1+SUMPRODUCT(MAX(ROW(E$2:E752)*(E753=E$2:E752)))))</f>
        <v/>
      </c>
      <c r="J753" s="14" t="str">
        <f aca="true">IF(OR(E753="",E753="!!!",F753="NEW"),"",COUNTBLANK(OFFSET(A$1,,,SUMPRODUCT(MAX(ROW(E$2:E753)*(E753=E$2:E753)))))-COUNTBLANK(OFFSET(A$1,,,SUMPRODUCT(MAX(ROW(E$1:E752)*(E753=E$1:E752))))))</f>
        <v/>
      </c>
      <c r="K753" s="14" t="str">
        <f aca="false">IF(OR(E753="",E753="!!!",F753="NEW"),"",INDEX(J$1:J752,SUMPRODUCT(MAX(ROW(E$1:E752)*(E753=E$1:E752)))))</f>
        <v/>
      </c>
      <c r="L753" s="15"/>
    </row>
    <row r="754" customFormat="false" ht="12.75" hidden="false" customHeight="false" outlineLevel="0" collapsed="false">
      <c r="A754" s="0" t="s">
        <v>260</v>
      </c>
      <c r="E754" s="9" t="str">
        <f aca="false">IF(D754="?OLD","!!!","")</f>
        <v/>
      </c>
      <c r="F754" s="10" t="str">
        <f aca="false">IF(OR(E754="",E754="!!!"),"",IF(NOT(ISNA(VLOOKUP(E754,E$1:E753,1,FALSE()))),"OLD",IF(AND(E754&lt;&gt;"",E754&lt;&gt;"!!!"),"NEW","")))</f>
        <v/>
      </c>
      <c r="G754" s="11" t="str">
        <f aca="false">IF(OR(E754="",E754="!!!"),"",IF(OR(J754=0,AND(J754=1,K754=1),AND(J754=1,I754="SBJ"),AND(J754=1,I754=0)),"?IN_FOCUS",IF(J754&lt;=2,"?ACTIVATED",IF(J754&lt;&gt;"","?FAMILIAR",IF(F754="NEW",IF(ISNA(VLOOKUP(E754,#REF!,1,FALSE())),"?TYPE_IDENTIFIABLE","?REFERENTIAL"),"_")))))</f>
        <v/>
      </c>
      <c r="H754" s="12" t="str">
        <f aca="false">IF(J754&lt;&gt;1,"",IF(I754="SBJ","CB","?"))</f>
        <v/>
      </c>
      <c r="I754" s="13" t="str">
        <f aca="false">IF(OR(E754="",E754="!!!",F754="NEW"),"",INDEX(B$2:B753,-1+SUMPRODUCT(MAX(ROW(E$2:E753)*(E754=E$2:E753)))))</f>
        <v/>
      </c>
      <c r="J754" s="14" t="str">
        <f aca="true">IF(OR(E754="",E754="!!!",F754="NEW"),"",COUNTBLANK(OFFSET(A$1,,,SUMPRODUCT(MAX(ROW(E$2:E754)*(E754=E$2:E754)))))-COUNTBLANK(OFFSET(A$1,,,SUMPRODUCT(MAX(ROW(E$1:E753)*(E754=E$1:E753))))))</f>
        <v/>
      </c>
      <c r="K754" s="14" t="str">
        <f aca="false">IF(OR(E754="",E754="!!!",F754="NEW"),"",INDEX(J$1:J753,SUMPRODUCT(MAX(ROW(E$1:E753)*(E754=E$1:E753)))))</f>
        <v/>
      </c>
      <c r="L754" s="15"/>
    </row>
    <row r="755" customFormat="false" ht="12.75" hidden="false" customHeight="false" outlineLevel="0" collapsed="false">
      <c r="A755" s="0" t="s">
        <v>419</v>
      </c>
      <c r="E755" s="9" t="str">
        <f aca="false">IF(D755="?OLD","!!!","")</f>
        <v/>
      </c>
      <c r="F755" s="10" t="str">
        <f aca="false">IF(OR(E755="",E755="!!!"),"",IF(NOT(ISNA(VLOOKUP(E755,E$1:E754,1,FALSE()))),"OLD",IF(AND(E755&lt;&gt;"",E755&lt;&gt;"!!!"),"NEW","")))</f>
        <v/>
      </c>
      <c r="G755" s="11" t="str">
        <f aca="false">IF(OR(E755="",E755="!!!"),"",IF(OR(J755=0,AND(J755=1,K755=1),AND(J755=1,I755="SBJ"),AND(J755=1,I755=0)),"?IN_FOCUS",IF(J755&lt;=2,"?ACTIVATED",IF(J755&lt;&gt;"","?FAMILIAR",IF(F755="NEW",IF(ISNA(VLOOKUP(E755,#REF!,1,FALSE())),"?TYPE_IDENTIFIABLE","?REFERENTIAL"),"_")))))</f>
        <v/>
      </c>
      <c r="H755" s="12" t="str">
        <f aca="false">IF(J755&lt;&gt;1,"",IF(I755="SBJ","CB","?"))</f>
        <v/>
      </c>
      <c r="I755" s="13" t="str">
        <f aca="false">IF(OR(E755="",E755="!!!",F755="NEW"),"",INDEX(B$2:B754,-1+SUMPRODUCT(MAX(ROW(E$2:E754)*(E755=E$2:E754)))))</f>
        <v/>
      </c>
      <c r="J755" s="14" t="str">
        <f aca="true">IF(OR(E755="",E755="!!!",F755="NEW"),"",COUNTBLANK(OFFSET(A$1,,,SUMPRODUCT(MAX(ROW(E$2:E755)*(E755=E$2:E755)))))-COUNTBLANK(OFFSET(A$1,,,SUMPRODUCT(MAX(ROW(E$1:E754)*(E755=E$1:E754))))))</f>
        <v/>
      </c>
      <c r="K755" s="14" t="str">
        <f aca="false">IF(OR(E755="",E755="!!!",F755="NEW"),"",INDEX(J$1:J754,SUMPRODUCT(MAX(ROW(E$1:E754)*(E755=E$1:E754)))))</f>
        <v/>
      </c>
      <c r="L755" s="15"/>
    </row>
    <row r="756" customFormat="false" ht="12.75" hidden="false" customHeight="false" outlineLevel="0" collapsed="false">
      <c r="A756" s="0" t="s">
        <v>420</v>
      </c>
      <c r="E756" s="9" t="str">
        <f aca="false">IF(D756="?OLD","!!!","")</f>
        <v/>
      </c>
      <c r="F756" s="10" t="str">
        <f aca="false">IF(OR(E756="",E756="!!!"),"",IF(NOT(ISNA(VLOOKUP(E756,E$1:E755,1,FALSE()))),"OLD",IF(AND(E756&lt;&gt;"",E756&lt;&gt;"!!!"),"NEW","")))</f>
        <v/>
      </c>
      <c r="G756" s="11" t="str">
        <f aca="false">IF(OR(E756="",E756="!!!"),"",IF(OR(J756=0,AND(J756=1,K756=1),AND(J756=1,I756="SBJ"),AND(J756=1,I756=0)),"?IN_FOCUS",IF(J756&lt;=2,"?ACTIVATED",IF(J756&lt;&gt;"","?FAMILIAR",IF(F756="NEW",IF(ISNA(VLOOKUP(E756,#REF!,1,FALSE())),"?TYPE_IDENTIFIABLE","?REFERENTIAL"),"_")))))</f>
        <v/>
      </c>
      <c r="H756" s="12" t="str">
        <f aca="false">IF(J756&lt;&gt;1,"",IF(I756="SBJ","CB","?"))</f>
        <v/>
      </c>
      <c r="I756" s="13" t="str">
        <f aca="false">IF(OR(E756="",E756="!!!",F756="NEW"),"",INDEX(B$2:B755,-1+SUMPRODUCT(MAX(ROW(E$2:E755)*(E756=E$2:E755)))))</f>
        <v/>
      </c>
      <c r="J756" s="14" t="str">
        <f aca="true">IF(OR(E756="",E756="!!!",F756="NEW"),"",COUNTBLANK(OFFSET(A$1,,,SUMPRODUCT(MAX(ROW(E$2:E756)*(E756=E$2:E756)))))-COUNTBLANK(OFFSET(A$1,,,SUMPRODUCT(MAX(ROW(E$1:E755)*(E756=E$1:E755))))))</f>
        <v/>
      </c>
      <c r="K756" s="14" t="str">
        <f aca="false">IF(OR(E756="",E756="!!!",F756="NEW"),"",INDEX(J$1:J755,SUMPRODUCT(MAX(ROW(E$1:E755)*(E756=E$1:E755)))))</f>
        <v/>
      </c>
      <c r="L756" s="15"/>
    </row>
    <row r="757" customFormat="false" ht="12.75" hidden="false" customHeight="false" outlineLevel="0" collapsed="false">
      <c r="A757" s="0" t="s">
        <v>421</v>
      </c>
      <c r="E757" s="9" t="str">
        <f aca="false">IF(D757="?OLD","!!!","")</f>
        <v/>
      </c>
      <c r="F757" s="10" t="str">
        <f aca="false">IF(OR(E757="",E757="!!!"),"",IF(NOT(ISNA(VLOOKUP(E757,E$1:E756,1,FALSE()))),"OLD",IF(AND(E757&lt;&gt;"",E757&lt;&gt;"!!!"),"NEW","")))</f>
        <v/>
      </c>
      <c r="G757" s="11" t="str">
        <f aca="false">IF(OR(E757="",E757="!!!"),"",IF(OR(J757=0,AND(J757=1,K757=1),AND(J757=1,I757="SBJ"),AND(J757=1,I757=0)),"?IN_FOCUS",IF(J757&lt;=2,"?ACTIVATED",IF(J757&lt;&gt;"","?FAMILIAR",IF(F757="NEW",IF(ISNA(VLOOKUP(E757,#REF!,1,FALSE())),"?TYPE_IDENTIFIABLE","?REFERENTIAL"),"_")))))</f>
        <v/>
      </c>
      <c r="H757" s="12" t="str">
        <f aca="false">IF(J757&lt;&gt;1,"",IF(I757="SBJ","CB","?"))</f>
        <v/>
      </c>
      <c r="I757" s="13" t="str">
        <f aca="false">IF(OR(E757="",E757="!!!",F757="NEW"),"",INDEX(B$2:B756,-1+SUMPRODUCT(MAX(ROW(E$2:E756)*(E757=E$2:E756)))))</f>
        <v/>
      </c>
      <c r="J757" s="14" t="str">
        <f aca="true">IF(OR(E757="",E757="!!!",F757="NEW"),"",COUNTBLANK(OFFSET(A$1,,,SUMPRODUCT(MAX(ROW(E$2:E757)*(E757=E$2:E757)))))-COUNTBLANK(OFFSET(A$1,,,SUMPRODUCT(MAX(ROW(E$1:E756)*(E757=E$1:E756))))))</f>
        <v/>
      </c>
      <c r="K757" s="14" t="str">
        <f aca="false">IF(OR(E757="",E757="!!!",F757="NEW"),"",INDEX(J$1:J756,SUMPRODUCT(MAX(ROW(E$1:E756)*(E757=E$1:E756)))))</f>
        <v/>
      </c>
      <c r="L757" s="15"/>
    </row>
    <row r="758" customFormat="false" ht="12.75" hidden="false" customHeight="false" outlineLevel="0" collapsed="false">
      <c r="A758" s="0" t="s">
        <v>422</v>
      </c>
      <c r="E758" s="9" t="str">
        <f aca="false">IF(D758="?OLD","!!!","")</f>
        <v/>
      </c>
      <c r="F758" s="10" t="str">
        <f aca="false">IF(OR(E758="",E758="!!!"),"",IF(NOT(ISNA(VLOOKUP(E758,E$1:E757,1,FALSE()))),"OLD",IF(AND(E758&lt;&gt;"",E758&lt;&gt;"!!!"),"NEW","")))</f>
        <v/>
      </c>
      <c r="G758" s="11" t="str">
        <f aca="false">IF(OR(E758="",E758="!!!"),"",IF(OR(J758=0,AND(J758=1,K758=1),AND(J758=1,I758="SBJ"),AND(J758=1,I758=0)),"?IN_FOCUS",IF(J758&lt;=2,"?ACTIVATED",IF(J758&lt;&gt;"","?FAMILIAR",IF(F758="NEW",IF(ISNA(VLOOKUP(E758,#REF!,1,FALSE())),"?TYPE_IDENTIFIABLE","?REFERENTIAL"),"_")))))</f>
        <v/>
      </c>
      <c r="H758" s="12" t="str">
        <f aca="false">IF(J758&lt;&gt;1,"",IF(I758="SBJ","CB","?"))</f>
        <v/>
      </c>
      <c r="I758" s="13" t="str">
        <f aca="false">IF(OR(E758="",E758="!!!",F758="NEW"),"",INDEX(B$2:B757,-1+SUMPRODUCT(MAX(ROW(E$2:E757)*(E758=E$2:E757)))))</f>
        <v/>
      </c>
      <c r="J758" s="14" t="str">
        <f aca="true">IF(OR(E758="",E758="!!!",F758="NEW"),"",COUNTBLANK(OFFSET(A$1,,,SUMPRODUCT(MAX(ROW(E$2:E758)*(E758=E$2:E758)))))-COUNTBLANK(OFFSET(A$1,,,SUMPRODUCT(MAX(ROW(E$1:E757)*(E758=E$1:E757))))))</f>
        <v/>
      </c>
      <c r="K758" s="14" t="str">
        <f aca="false">IF(OR(E758="",E758="!!!",F758="NEW"),"",INDEX(J$1:J757,SUMPRODUCT(MAX(ROW(E$1:E757)*(E758=E$1:E757)))))</f>
        <v/>
      </c>
      <c r="L758" s="15"/>
    </row>
    <row r="759" customFormat="false" ht="12.75" hidden="false" customHeight="false" outlineLevel="0" collapsed="false">
      <c r="A759" s="0" t="s">
        <v>88</v>
      </c>
      <c r="E759" s="9" t="str">
        <f aca="false">IF(D759="?OLD","!!!","")</f>
        <v/>
      </c>
      <c r="F759" s="10" t="str">
        <f aca="false">IF(OR(E759="",E759="!!!"),"",IF(NOT(ISNA(VLOOKUP(E759,E$1:E758,1,FALSE()))),"OLD",IF(AND(E759&lt;&gt;"",E759&lt;&gt;"!!!"),"NEW","")))</f>
        <v/>
      </c>
      <c r="G759" s="11" t="str">
        <f aca="false">IF(OR(E759="",E759="!!!"),"",IF(OR(J759=0,AND(J759=1,K759=1),AND(J759=1,I759="SBJ"),AND(J759=1,I759=0)),"?IN_FOCUS",IF(J759&lt;=2,"?ACTIVATED",IF(J759&lt;&gt;"","?FAMILIAR",IF(F759="NEW",IF(ISNA(VLOOKUP(E759,#REF!,1,FALSE())),"?TYPE_IDENTIFIABLE","?REFERENTIAL"),"_")))))</f>
        <v/>
      </c>
      <c r="H759" s="12" t="str">
        <f aca="false">IF(J759&lt;&gt;1,"",IF(I759="SBJ","CB","?"))</f>
        <v/>
      </c>
      <c r="I759" s="13" t="str">
        <f aca="false">IF(OR(E759="",E759="!!!",F759="NEW"),"",INDEX(B$2:B758,-1+SUMPRODUCT(MAX(ROW(E$2:E758)*(E759=E$2:E758)))))</f>
        <v/>
      </c>
      <c r="J759" s="14" t="str">
        <f aca="true">IF(OR(E759="",E759="!!!",F759="NEW"),"",COUNTBLANK(OFFSET(A$1,,,SUMPRODUCT(MAX(ROW(E$2:E759)*(E759=E$2:E759)))))-COUNTBLANK(OFFSET(A$1,,,SUMPRODUCT(MAX(ROW(E$1:E758)*(E759=E$1:E758))))))</f>
        <v/>
      </c>
      <c r="K759" s="14" t="str">
        <f aca="false">IF(OR(E759="",E759="!!!",F759="NEW"),"",INDEX(J$1:J758,SUMPRODUCT(MAX(ROW(E$1:E758)*(E759=E$1:E758)))))</f>
        <v/>
      </c>
      <c r="L759" s="15"/>
    </row>
    <row r="760" customFormat="false" ht="12.75" hidden="false" customHeight="false" outlineLevel="0" collapsed="false">
      <c r="A760" s="0" t="s">
        <v>336</v>
      </c>
      <c r="E760" s="9" t="str">
        <f aca="false">IF(D760="?OLD","!!!","")</f>
        <v/>
      </c>
      <c r="F760" s="10" t="str">
        <f aca="false">IF(OR(E760="",E760="!!!"),"",IF(NOT(ISNA(VLOOKUP(E760,E$1:E759,1,FALSE()))),"OLD",IF(AND(E760&lt;&gt;"",E760&lt;&gt;"!!!"),"NEW","")))</f>
        <v/>
      </c>
      <c r="G760" s="11" t="str">
        <f aca="false">IF(OR(E760="",E760="!!!"),"",IF(OR(J760=0,AND(J760=1,K760=1),AND(J760=1,I760="SBJ"),AND(J760=1,I760=0)),"?IN_FOCUS",IF(J760&lt;=2,"?ACTIVATED",IF(J760&lt;&gt;"","?FAMILIAR",IF(F760="NEW",IF(ISNA(VLOOKUP(E760,#REF!,1,FALSE())),"?TYPE_IDENTIFIABLE","?REFERENTIAL"),"_")))))</f>
        <v/>
      </c>
      <c r="H760" s="12" t="str">
        <f aca="false">IF(J760&lt;&gt;1,"",IF(I760="SBJ","CB","?"))</f>
        <v/>
      </c>
      <c r="I760" s="13" t="str">
        <f aca="false">IF(OR(E760="",E760="!!!",F760="NEW"),"",INDEX(B$2:B759,-1+SUMPRODUCT(MAX(ROW(E$2:E759)*(E760=E$2:E759)))))</f>
        <v/>
      </c>
      <c r="J760" s="14" t="str">
        <f aca="true">IF(OR(E760="",E760="!!!",F760="NEW"),"",COUNTBLANK(OFFSET(A$1,,,SUMPRODUCT(MAX(ROW(E$2:E760)*(E760=E$2:E760)))))-COUNTBLANK(OFFSET(A$1,,,SUMPRODUCT(MAX(ROW(E$1:E759)*(E760=E$1:E759))))))</f>
        <v/>
      </c>
      <c r="K760" s="14" t="str">
        <f aca="false">IF(OR(E760="",E760="!!!",F760="NEW"),"",INDEX(J$1:J759,SUMPRODUCT(MAX(ROW(E$1:E759)*(E760=E$1:E759)))))</f>
        <v/>
      </c>
      <c r="L760" s="15"/>
    </row>
    <row r="761" customFormat="false" ht="12.75" hidden="false" customHeight="false" outlineLevel="0" collapsed="false">
      <c r="A761" s="0" t="s">
        <v>161</v>
      </c>
      <c r="B761" s="0" t="s">
        <v>107</v>
      </c>
      <c r="C761" s="0" t="s">
        <v>162</v>
      </c>
      <c r="E761" s="9" t="str">
        <f aca="false">IF(D761="?OLD","!!!","")</f>
        <v/>
      </c>
      <c r="F761" s="10" t="str">
        <f aca="false">IF(OR(E761="",E761="!!!"),"",IF(NOT(ISNA(VLOOKUP(E761,E$1:E760,1,FALSE()))),"OLD",IF(AND(E761&lt;&gt;"",E761&lt;&gt;"!!!"),"NEW","")))</f>
        <v/>
      </c>
      <c r="G761" s="11" t="str">
        <f aca="false">IF(OR(E761="",E761="!!!"),"",IF(OR(J761=0,AND(J761=1,K761=1),AND(J761=1,I761="SBJ"),AND(J761=1,I761=0)),"?IN_FOCUS",IF(J761&lt;=2,"?ACTIVATED",IF(J761&lt;&gt;"","?FAMILIAR",IF(F761="NEW",IF(ISNA(VLOOKUP(E761,#REF!,1,FALSE())),"?TYPE_IDENTIFIABLE","?REFERENTIAL"),"_")))))</f>
        <v/>
      </c>
      <c r="H761" s="12" t="str">
        <f aca="false">IF(J761&lt;&gt;1,"",IF(I761="SBJ","CB","?"))</f>
        <v/>
      </c>
      <c r="I761" s="13" t="str">
        <f aca="false">IF(OR(E761="",E761="!!!",F761="NEW"),"",INDEX(B$2:B760,-1+SUMPRODUCT(MAX(ROW(E$2:E760)*(E761=E$2:E760)))))</f>
        <v/>
      </c>
      <c r="J761" s="14" t="str">
        <f aca="true">IF(OR(E761="",E761="!!!",F761="NEW"),"",COUNTBLANK(OFFSET(A$1,,,SUMPRODUCT(MAX(ROW(E$2:E761)*(E761=E$2:E761)))))-COUNTBLANK(OFFSET(A$1,,,SUMPRODUCT(MAX(ROW(E$1:E760)*(E761=E$1:E760))))))</f>
        <v/>
      </c>
      <c r="K761" s="14" t="str">
        <f aca="false">IF(OR(E761="",E761="!!!",F761="NEW"),"",INDEX(J$1:J760,SUMPRODUCT(MAX(ROW(E$1:E760)*(E761=E$1:E760)))))</f>
        <v/>
      </c>
      <c r="L761" s="15"/>
    </row>
    <row r="762" customFormat="false" ht="12.75" hidden="false" customHeight="false" outlineLevel="0" collapsed="false">
      <c r="A762" s="0" t="s">
        <v>400</v>
      </c>
      <c r="B762" s="0" t="s">
        <v>47</v>
      </c>
      <c r="C762" s="0" t="s">
        <v>38</v>
      </c>
      <c r="D762" s="0" t="s">
        <v>29</v>
      </c>
      <c r="E762" s="9" t="str">
        <f aca="false">IF(D762="?OLD","!!!","")</f>
        <v>!!!</v>
      </c>
      <c r="F762" s="10" t="str">
        <f aca="false">IF(OR(E762="",E762="!!!"),"",IF(NOT(ISNA(VLOOKUP(E762,E$1:E761,1,FALSE()))),"OLD",IF(AND(E762&lt;&gt;"",E762&lt;&gt;"!!!"),"NEW","")))</f>
        <v/>
      </c>
      <c r="G762" s="11" t="str">
        <f aca="false">IF(OR(E762="",E762="!!!"),"",IF(OR(J762=0,AND(J762=1,K762=1),AND(J762=1,I762="SBJ"),AND(J762=1,I762=0)),"?IN_FOCUS",IF(J762&lt;=2,"?ACTIVATED",IF(J762&lt;&gt;"","?FAMILIAR",IF(F762="NEW",IF(ISNA(VLOOKUP(E762,#REF!,1,FALSE())),"?TYPE_IDENTIFIABLE","?REFERENTIAL"),"_")))))</f>
        <v/>
      </c>
      <c r="H762" s="12" t="str">
        <f aca="false">IF(J762&lt;&gt;1,"",IF(I762="SBJ","CB","?"))</f>
        <v/>
      </c>
      <c r="I762" s="13" t="str">
        <f aca="false">IF(OR(E762="",E762="!!!",F762="NEW"),"",INDEX(B$2:B761,-1+SUMPRODUCT(MAX(ROW(E$2:E761)*(E762=E$2:E761)))))</f>
        <v/>
      </c>
      <c r="J762" s="14" t="str">
        <f aca="true">IF(OR(E762="",E762="!!!",F762="NEW"),"",COUNTBLANK(OFFSET(A$1,,,SUMPRODUCT(MAX(ROW(E$2:E762)*(E762=E$2:E762)))))-COUNTBLANK(OFFSET(A$1,,,SUMPRODUCT(MAX(ROW(E$1:E761)*(E762=E$1:E761))))))</f>
        <v/>
      </c>
      <c r="K762" s="14" t="str">
        <f aca="false">IF(OR(E762="",E762="!!!",F762="NEW"),"",INDEX(J$1:J761,SUMPRODUCT(MAX(ROW(E$1:E761)*(E762=E$1:E761)))))</f>
        <v/>
      </c>
      <c r="L762" s="15"/>
    </row>
    <row r="763" customFormat="false" ht="12.75" hidden="false" customHeight="false" outlineLevel="0" collapsed="false">
      <c r="A763" s="0" t="s">
        <v>294</v>
      </c>
      <c r="E763" s="9" t="str">
        <f aca="false">IF(D763="?OLD","!!!","")</f>
        <v/>
      </c>
      <c r="F763" s="10" t="str">
        <f aca="false">IF(OR(E763="",E763="!!!"),"",IF(NOT(ISNA(VLOOKUP(E763,E$1:E762,1,FALSE()))),"OLD",IF(AND(E763&lt;&gt;"",E763&lt;&gt;"!!!"),"NEW","")))</f>
        <v/>
      </c>
      <c r="G763" s="11" t="str">
        <f aca="false">IF(OR(E763="",E763="!!!"),"",IF(OR(J763=0,AND(J763=1,K763=1),AND(J763=1,I763="SBJ"),AND(J763=1,I763=0)),"?IN_FOCUS",IF(J763&lt;=2,"?ACTIVATED",IF(J763&lt;&gt;"","?FAMILIAR",IF(F763="NEW",IF(ISNA(VLOOKUP(E763,#REF!,1,FALSE())),"?TYPE_IDENTIFIABLE","?REFERENTIAL"),"_")))))</f>
        <v/>
      </c>
      <c r="H763" s="12" t="str">
        <f aca="false">IF(J763&lt;&gt;1,"",IF(I763="SBJ","CB","?"))</f>
        <v/>
      </c>
      <c r="I763" s="13" t="str">
        <f aca="false">IF(OR(E763="",E763="!!!",F763="NEW"),"",INDEX(B$2:B762,-1+SUMPRODUCT(MAX(ROW(E$2:E762)*(E763=E$2:E762)))))</f>
        <v/>
      </c>
      <c r="J763" s="14" t="str">
        <f aca="true">IF(OR(E763="",E763="!!!",F763="NEW"),"",COUNTBLANK(OFFSET(A$1,,,SUMPRODUCT(MAX(ROW(E$2:E763)*(E763=E$2:E763)))))-COUNTBLANK(OFFSET(A$1,,,SUMPRODUCT(MAX(ROW(E$1:E762)*(E763=E$1:E762))))))</f>
        <v/>
      </c>
      <c r="K763" s="14" t="str">
        <f aca="false">IF(OR(E763="",E763="!!!",F763="NEW"),"",INDEX(J$1:J762,SUMPRODUCT(MAX(ROW(E$1:E762)*(E763=E$1:E762)))))</f>
        <v/>
      </c>
      <c r="L763" s="15"/>
    </row>
    <row r="764" customFormat="false" ht="12.75" hidden="false" customHeight="false" outlineLevel="0" collapsed="false">
      <c r="A764" s="0" t="s">
        <v>423</v>
      </c>
      <c r="E764" s="9" t="str">
        <f aca="false">IF(D764="?OLD","!!!","")</f>
        <v/>
      </c>
      <c r="F764" s="10" t="str">
        <f aca="false">IF(OR(E764="",E764="!!!"),"",IF(NOT(ISNA(VLOOKUP(E764,E$1:E763,1,FALSE()))),"OLD",IF(AND(E764&lt;&gt;"",E764&lt;&gt;"!!!"),"NEW","")))</f>
        <v/>
      </c>
      <c r="G764" s="11" t="str">
        <f aca="false">IF(OR(E764="",E764="!!!"),"",IF(OR(J764=0,AND(J764=1,K764=1),AND(J764=1,I764="SBJ"),AND(J764=1,I764=0)),"?IN_FOCUS",IF(J764&lt;=2,"?ACTIVATED",IF(J764&lt;&gt;"","?FAMILIAR",IF(F764="NEW",IF(ISNA(VLOOKUP(E764,#REF!,1,FALSE())),"?TYPE_IDENTIFIABLE","?REFERENTIAL"),"_")))))</f>
        <v/>
      </c>
      <c r="H764" s="12" t="str">
        <f aca="false">IF(J764&lt;&gt;1,"",IF(I764="SBJ","CB","?"))</f>
        <v/>
      </c>
      <c r="I764" s="13" t="str">
        <f aca="false">IF(OR(E764="",E764="!!!",F764="NEW"),"",INDEX(B$2:B763,-1+SUMPRODUCT(MAX(ROW(E$2:E763)*(E764=E$2:E763)))))</f>
        <v/>
      </c>
      <c r="J764" s="14" t="str">
        <f aca="true">IF(OR(E764="",E764="!!!",F764="NEW"),"",COUNTBLANK(OFFSET(A$1,,,SUMPRODUCT(MAX(ROW(E$2:E764)*(E764=E$2:E764)))))-COUNTBLANK(OFFSET(A$1,,,SUMPRODUCT(MAX(ROW(E$1:E763)*(E764=E$1:E763))))))</f>
        <v/>
      </c>
      <c r="K764" s="14" t="str">
        <f aca="false">IF(OR(E764="",E764="!!!",F764="NEW"),"",INDEX(J$1:J763,SUMPRODUCT(MAX(ROW(E$1:E763)*(E764=E$1:E763)))))</f>
        <v/>
      </c>
      <c r="L764" s="15"/>
    </row>
    <row r="765" customFormat="false" ht="12.75" hidden="false" customHeight="false" outlineLevel="0" collapsed="false">
      <c r="A765" s="0" t="s">
        <v>424</v>
      </c>
      <c r="E765" s="9" t="str">
        <f aca="false">IF(D765="?OLD","!!!","")</f>
        <v/>
      </c>
      <c r="F765" s="10" t="str">
        <f aca="false">IF(OR(E765="",E765="!!!"),"",IF(NOT(ISNA(VLOOKUP(E765,E$1:E764,1,FALSE()))),"OLD",IF(AND(E765&lt;&gt;"",E765&lt;&gt;"!!!"),"NEW","")))</f>
        <v/>
      </c>
      <c r="G765" s="11" t="str">
        <f aca="false">IF(OR(E765="",E765="!!!"),"",IF(OR(J765=0,AND(J765=1,K765=1),AND(J765=1,I765="SBJ"),AND(J765=1,I765=0)),"?IN_FOCUS",IF(J765&lt;=2,"?ACTIVATED",IF(J765&lt;&gt;"","?FAMILIAR",IF(F765="NEW",IF(ISNA(VLOOKUP(E765,#REF!,1,FALSE())),"?TYPE_IDENTIFIABLE","?REFERENTIAL"),"_")))))</f>
        <v/>
      </c>
      <c r="H765" s="12" t="str">
        <f aca="false">IF(J765&lt;&gt;1,"",IF(I765="SBJ","CB","?"))</f>
        <v/>
      </c>
      <c r="I765" s="13" t="str">
        <f aca="false">IF(OR(E765="",E765="!!!",F765="NEW"),"",INDEX(B$2:B764,-1+SUMPRODUCT(MAX(ROW(E$2:E764)*(E765=E$2:E764)))))</f>
        <v/>
      </c>
      <c r="J765" s="14" t="str">
        <f aca="true">IF(OR(E765="",E765="!!!",F765="NEW"),"",COUNTBLANK(OFFSET(A$1,,,SUMPRODUCT(MAX(ROW(E$2:E765)*(E765=E$2:E765)))))-COUNTBLANK(OFFSET(A$1,,,SUMPRODUCT(MAX(ROW(E$1:E764)*(E765=E$1:E764))))))</f>
        <v/>
      </c>
      <c r="K765" s="14" t="str">
        <f aca="false">IF(OR(E765="",E765="!!!",F765="NEW"),"",INDEX(J$1:J764,SUMPRODUCT(MAX(ROW(E$1:E764)*(E765=E$1:E764)))))</f>
        <v/>
      </c>
      <c r="L765" s="15"/>
    </row>
    <row r="766" customFormat="false" ht="12.75" hidden="false" customHeight="false" outlineLevel="0" collapsed="false">
      <c r="A766" s="0" t="s">
        <v>115</v>
      </c>
      <c r="E766" s="9" t="str">
        <f aca="false">IF(D766="?OLD","!!!","")</f>
        <v/>
      </c>
      <c r="F766" s="10" t="str">
        <f aca="false">IF(OR(E766="",E766="!!!"),"",IF(NOT(ISNA(VLOOKUP(E766,E$1:E765,1,FALSE()))),"OLD",IF(AND(E766&lt;&gt;"",E766&lt;&gt;"!!!"),"NEW","")))</f>
        <v/>
      </c>
      <c r="G766" s="11" t="str">
        <f aca="false">IF(OR(E766="",E766="!!!"),"",IF(OR(J766=0,AND(J766=1,K766=1),AND(J766=1,I766="SBJ"),AND(J766=1,I766=0)),"?IN_FOCUS",IF(J766&lt;=2,"?ACTIVATED",IF(J766&lt;&gt;"","?FAMILIAR",IF(F766="NEW",IF(ISNA(VLOOKUP(E766,#REF!,1,FALSE())),"?TYPE_IDENTIFIABLE","?REFERENTIAL"),"_")))))</f>
        <v/>
      </c>
      <c r="H766" s="12" t="str">
        <f aca="false">IF(J766&lt;&gt;1,"",IF(I766="SBJ","CB","?"))</f>
        <v/>
      </c>
      <c r="I766" s="13" t="str">
        <f aca="false">IF(OR(E766="",E766="!!!",F766="NEW"),"",INDEX(B$2:B765,-1+SUMPRODUCT(MAX(ROW(E$2:E765)*(E766=E$2:E765)))))</f>
        <v/>
      </c>
      <c r="J766" s="14" t="str">
        <f aca="true">IF(OR(E766="",E766="!!!",F766="NEW"),"",COUNTBLANK(OFFSET(A$1,,,SUMPRODUCT(MAX(ROW(E$2:E766)*(E766=E$2:E766)))))-COUNTBLANK(OFFSET(A$1,,,SUMPRODUCT(MAX(ROW(E$1:E765)*(E766=E$1:E765))))))</f>
        <v/>
      </c>
      <c r="K766" s="14" t="str">
        <f aca="false">IF(OR(E766="",E766="!!!",F766="NEW"),"",INDEX(J$1:J765,SUMPRODUCT(MAX(ROW(E$1:E765)*(E766=E$1:E765)))))</f>
        <v/>
      </c>
      <c r="L766" s="15"/>
    </row>
    <row r="767" customFormat="false" ht="12.75" hidden="false" customHeight="false" outlineLevel="0" collapsed="false">
      <c r="A767" s="0" t="s">
        <v>425</v>
      </c>
      <c r="B767" s="0" t="s">
        <v>54</v>
      </c>
      <c r="C767" s="0" t="s">
        <v>120</v>
      </c>
      <c r="E767" s="9" t="str">
        <f aca="false">IF(D767="?OLD","!!!","")</f>
        <v/>
      </c>
      <c r="F767" s="10" t="str">
        <f aca="false">IF(OR(E767="",E767="!!!"),"",IF(NOT(ISNA(VLOOKUP(E767,E$1:E766,1,FALSE()))),"OLD",IF(AND(E767&lt;&gt;"",E767&lt;&gt;"!!!"),"NEW","")))</f>
        <v/>
      </c>
      <c r="G767" s="11" t="str">
        <f aca="false">IF(OR(E767="",E767="!!!"),"",IF(OR(J767=0,AND(J767=1,K767=1),AND(J767=1,I767="SBJ"),AND(J767=1,I767=0)),"?IN_FOCUS",IF(J767&lt;=2,"?ACTIVATED",IF(J767&lt;&gt;"","?FAMILIAR",IF(F767="NEW",IF(ISNA(VLOOKUP(E767,#REF!,1,FALSE())),"?TYPE_IDENTIFIABLE","?REFERENTIAL"),"_")))))</f>
        <v/>
      </c>
      <c r="H767" s="12" t="str">
        <f aca="false">IF(J767&lt;&gt;1,"",IF(I767="SBJ","CB","?"))</f>
        <v/>
      </c>
      <c r="I767" s="13" t="str">
        <f aca="false">IF(OR(E767="",E767="!!!",F767="NEW"),"",INDEX(B$2:B766,-1+SUMPRODUCT(MAX(ROW(E$2:E766)*(E767=E$2:E766)))))</f>
        <v/>
      </c>
      <c r="J767" s="14" t="str">
        <f aca="true">IF(OR(E767="",E767="!!!",F767="NEW"),"",COUNTBLANK(OFFSET(A$1,,,SUMPRODUCT(MAX(ROW(E$2:E767)*(E767=E$2:E767)))))-COUNTBLANK(OFFSET(A$1,,,SUMPRODUCT(MAX(ROW(E$1:E766)*(E767=E$1:E766))))))</f>
        <v/>
      </c>
      <c r="K767" s="14" t="str">
        <f aca="false">IF(OR(E767="",E767="!!!",F767="NEW"),"",INDEX(J$1:J766,SUMPRODUCT(MAX(ROW(E$1:E766)*(E767=E$1:E766)))))</f>
        <v/>
      </c>
      <c r="L767" s="15"/>
    </row>
    <row r="768" customFormat="false" ht="12.75" hidden="false" customHeight="false" outlineLevel="0" collapsed="false">
      <c r="A768" s="0" t="s">
        <v>26</v>
      </c>
      <c r="E768" s="9" t="str">
        <f aca="false">IF(D768="?OLD","!!!","")</f>
        <v/>
      </c>
      <c r="F768" s="10" t="str">
        <f aca="false">IF(OR(E768="",E768="!!!"),"",IF(NOT(ISNA(VLOOKUP(E768,E$1:E767,1,FALSE()))),"OLD",IF(AND(E768&lt;&gt;"",E768&lt;&gt;"!!!"),"NEW","")))</f>
        <v/>
      </c>
      <c r="G768" s="11" t="str">
        <f aca="false">IF(OR(E768="",E768="!!!"),"",IF(OR(J768=0,AND(J768=1,K768=1),AND(J768=1,I768="SBJ"),AND(J768=1,I768=0)),"?IN_FOCUS",IF(J768&lt;=2,"?ACTIVATED",IF(J768&lt;&gt;"","?FAMILIAR",IF(F768="NEW",IF(ISNA(VLOOKUP(E768,#REF!,1,FALSE())),"?TYPE_IDENTIFIABLE","?REFERENTIAL"),"_")))))</f>
        <v/>
      </c>
      <c r="H768" s="12" t="str">
        <f aca="false">IF(J768&lt;&gt;1,"",IF(I768="SBJ","CB","?"))</f>
        <v/>
      </c>
      <c r="I768" s="13" t="str">
        <f aca="false">IF(OR(E768="",E768="!!!",F768="NEW"),"",INDEX(B$2:B767,-1+SUMPRODUCT(MAX(ROW(E$2:E767)*(E768=E$2:E767)))))</f>
        <v/>
      </c>
      <c r="J768" s="14" t="str">
        <f aca="true">IF(OR(E768="",E768="!!!",F768="NEW"),"",COUNTBLANK(OFFSET(A$1,,,SUMPRODUCT(MAX(ROW(E$2:E768)*(E768=E$2:E768)))))-COUNTBLANK(OFFSET(A$1,,,SUMPRODUCT(MAX(ROW(E$1:E767)*(E768=E$1:E767))))))</f>
        <v/>
      </c>
      <c r="K768" s="14" t="str">
        <f aca="false">IF(OR(E768="",E768="!!!",F768="NEW"),"",INDEX(J$1:J767,SUMPRODUCT(MAX(ROW(E$1:E767)*(E768=E$1:E767)))))</f>
        <v/>
      </c>
      <c r="L768" s="15"/>
    </row>
    <row r="769" customFormat="false" ht="12.75" hidden="false" customHeight="false" outlineLevel="0" collapsed="false">
      <c r="A769" s="0" t="s">
        <v>426</v>
      </c>
      <c r="B769" s="0" t="s">
        <v>64</v>
      </c>
      <c r="C769" s="0" t="s">
        <v>15</v>
      </c>
      <c r="D769" s="0" t="s">
        <v>29</v>
      </c>
      <c r="E769" s="9" t="str">
        <f aca="false">IF(D769="?OLD","!!!","")</f>
        <v>!!!</v>
      </c>
      <c r="F769" s="10" t="str">
        <f aca="false">IF(OR(E769="",E769="!!!"),"",IF(NOT(ISNA(VLOOKUP(E769,E$1:E768,1,FALSE()))),"OLD",IF(AND(E769&lt;&gt;"",E769&lt;&gt;"!!!"),"NEW","")))</f>
        <v/>
      </c>
      <c r="G769" s="11" t="str">
        <f aca="false">IF(OR(E769="",E769="!!!"),"",IF(OR(J769=0,AND(J769=1,K769=1),AND(J769=1,I769="SBJ"),AND(J769=1,I769=0)),"?IN_FOCUS",IF(J769&lt;=2,"?ACTIVATED",IF(J769&lt;&gt;"","?FAMILIAR",IF(F769="NEW",IF(ISNA(VLOOKUP(E769,#REF!,1,FALSE())),"?TYPE_IDENTIFIABLE","?REFERENTIAL"),"_")))))</f>
        <v/>
      </c>
      <c r="H769" s="12" t="str">
        <f aca="false">IF(J769&lt;&gt;1,"",IF(I769="SBJ","CB","?"))</f>
        <v/>
      </c>
      <c r="I769" s="13" t="str">
        <f aca="false">IF(OR(E769="",E769="!!!",F769="NEW"),"",INDEX(B$2:B768,-1+SUMPRODUCT(MAX(ROW(E$2:E768)*(E769=E$2:E768)))))</f>
        <v/>
      </c>
      <c r="J769" s="14" t="str">
        <f aca="true">IF(OR(E769="",E769="!!!",F769="NEW"),"",COUNTBLANK(OFFSET(A$1,,,SUMPRODUCT(MAX(ROW(E$2:E769)*(E769=E$2:E769)))))-COUNTBLANK(OFFSET(A$1,,,SUMPRODUCT(MAX(ROW(E$1:E768)*(E769=E$1:E768))))))</f>
        <v/>
      </c>
      <c r="K769" s="14" t="str">
        <f aca="false">IF(OR(E769="",E769="!!!",F769="NEW"),"",INDEX(J$1:J768,SUMPRODUCT(MAX(ROW(E$1:E768)*(E769=E$1:E768)))))</f>
        <v/>
      </c>
      <c r="L769" s="15"/>
    </row>
    <row r="770" customFormat="false" ht="12.75" hidden="false" customHeight="false" outlineLevel="0" collapsed="false">
      <c r="A770" s="0" t="s">
        <v>368</v>
      </c>
      <c r="E770" s="9" t="str">
        <f aca="false">IF(D770="?OLD","!!!","")</f>
        <v/>
      </c>
      <c r="F770" s="10" t="str">
        <f aca="false">IF(OR(E770="",E770="!!!"),"",IF(NOT(ISNA(VLOOKUP(E770,E$1:E769,1,FALSE()))),"OLD",IF(AND(E770&lt;&gt;"",E770&lt;&gt;"!!!"),"NEW","")))</f>
        <v/>
      </c>
      <c r="G770" s="11" t="str">
        <f aca="false">IF(OR(E770="",E770="!!!"),"",IF(OR(J770=0,AND(J770=1,K770=1),AND(J770=1,I770="SBJ"),AND(J770=1,I770=0)),"?IN_FOCUS",IF(J770&lt;=2,"?ACTIVATED",IF(J770&lt;&gt;"","?FAMILIAR",IF(F770="NEW",IF(ISNA(VLOOKUP(E770,#REF!,1,FALSE())),"?TYPE_IDENTIFIABLE","?REFERENTIAL"),"_")))))</f>
        <v/>
      </c>
      <c r="H770" s="12" t="str">
        <f aca="false">IF(J770&lt;&gt;1,"",IF(I770="SBJ","CB","?"))</f>
        <v/>
      </c>
      <c r="I770" s="13" t="str">
        <f aca="false">IF(OR(E770="",E770="!!!",F770="NEW"),"",INDEX(B$2:B769,-1+SUMPRODUCT(MAX(ROW(E$2:E769)*(E770=E$2:E769)))))</f>
        <v/>
      </c>
      <c r="J770" s="14" t="str">
        <f aca="true">IF(OR(E770="",E770="!!!",F770="NEW"),"",COUNTBLANK(OFFSET(A$1,,,SUMPRODUCT(MAX(ROW(E$2:E770)*(E770=E$2:E770)))))-COUNTBLANK(OFFSET(A$1,,,SUMPRODUCT(MAX(ROW(E$1:E769)*(E770=E$1:E769))))))</f>
        <v/>
      </c>
      <c r="K770" s="14" t="str">
        <f aca="false">IF(OR(E770="",E770="!!!",F770="NEW"),"",INDEX(J$1:J769,SUMPRODUCT(MAX(ROW(E$1:E769)*(E770=E$1:E769)))))</f>
        <v/>
      </c>
      <c r="L770" s="15"/>
    </row>
    <row r="771" customFormat="false" ht="12.75" hidden="false" customHeight="false" outlineLevel="0" collapsed="false">
      <c r="A771" s="0" t="s">
        <v>427</v>
      </c>
      <c r="E771" s="9" t="str">
        <f aca="false">IF(D771="?OLD","!!!","")</f>
        <v/>
      </c>
      <c r="F771" s="10" t="str">
        <f aca="false">IF(OR(E771="",E771="!!!"),"",IF(NOT(ISNA(VLOOKUP(E771,E$1:E770,1,FALSE()))),"OLD",IF(AND(E771&lt;&gt;"",E771&lt;&gt;"!!!"),"NEW","")))</f>
        <v/>
      </c>
      <c r="G771" s="11" t="str">
        <f aca="false">IF(OR(E771="",E771="!!!"),"",IF(OR(J771=0,AND(J771=1,K771=1),AND(J771=1,I771="SBJ"),AND(J771=1,I771=0)),"?IN_FOCUS",IF(J771&lt;=2,"?ACTIVATED",IF(J771&lt;&gt;"","?FAMILIAR",IF(F771="NEW",IF(ISNA(VLOOKUP(E771,#REF!,1,FALSE())),"?TYPE_IDENTIFIABLE","?REFERENTIAL"),"_")))))</f>
        <v/>
      </c>
      <c r="H771" s="12" t="str">
        <f aca="false">IF(J771&lt;&gt;1,"",IF(I771="SBJ","CB","?"))</f>
        <v/>
      </c>
      <c r="I771" s="13" t="str">
        <f aca="false">IF(OR(E771="",E771="!!!",F771="NEW"),"",INDEX(B$2:B770,-1+SUMPRODUCT(MAX(ROW(E$2:E770)*(E771=E$2:E770)))))</f>
        <v/>
      </c>
      <c r="J771" s="14" t="str">
        <f aca="true">IF(OR(E771="",E771="!!!",F771="NEW"),"",COUNTBLANK(OFFSET(A$1,,,SUMPRODUCT(MAX(ROW(E$2:E771)*(E771=E$2:E771)))))-COUNTBLANK(OFFSET(A$1,,,SUMPRODUCT(MAX(ROW(E$1:E770)*(E771=E$1:E770))))))</f>
        <v/>
      </c>
      <c r="K771" s="14" t="str">
        <f aca="false">IF(OR(E771="",E771="!!!",F771="NEW"),"",INDEX(J$1:J770,SUMPRODUCT(MAX(ROW(E$1:E770)*(E771=E$1:E770)))))</f>
        <v/>
      </c>
      <c r="L771" s="15"/>
    </row>
    <row r="772" customFormat="false" ht="12.75" hidden="false" customHeight="false" outlineLevel="0" collapsed="false">
      <c r="A772" s="0" t="s">
        <v>428</v>
      </c>
      <c r="E772" s="9" t="str">
        <f aca="false">IF(D772="?OLD","!!!","")</f>
        <v/>
      </c>
      <c r="F772" s="10" t="str">
        <f aca="false">IF(OR(E772="",E772="!!!"),"",IF(NOT(ISNA(VLOOKUP(E772,E$1:E771,1,FALSE()))),"OLD",IF(AND(E772&lt;&gt;"",E772&lt;&gt;"!!!"),"NEW","")))</f>
        <v/>
      </c>
      <c r="G772" s="11" t="str">
        <f aca="false">IF(OR(E772="",E772="!!!"),"",IF(OR(J772=0,AND(J772=1,K772=1),AND(J772=1,I772="SBJ"),AND(J772=1,I772=0)),"?IN_FOCUS",IF(J772&lt;=2,"?ACTIVATED",IF(J772&lt;&gt;"","?FAMILIAR",IF(F772="NEW",IF(ISNA(VLOOKUP(E772,#REF!,1,FALSE())),"?TYPE_IDENTIFIABLE","?REFERENTIAL"),"_")))))</f>
        <v/>
      </c>
      <c r="H772" s="12" t="str">
        <f aca="false">IF(J772&lt;&gt;1,"",IF(I772="SBJ","CB","?"))</f>
        <v/>
      </c>
      <c r="I772" s="13" t="str">
        <f aca="false">IF(OR(E772="",E772="!!!",F772="NEW"),"",INDEX(B$2:B771,-1+SUMPRODUCT(MAX(ROW(E$2:E771)*(E772=E$2:E771)))))</f>
        <v/>
      </c>
      <c r="J772" s="14" t="str">
        <f aca="true">IF(OR(E772="",E772="!!!",F772="NEW"),"",COUNTBLANK(OFFSET(A$1,,,SUMPRODUCT(MAX(ROW(E$2:E772)*(E772=E$2:E772)))))-COUNTBLANK(OFFSET(A$1,,,SUMPRODUCT(MAX(ROW(E$1:E771)*(E772=E$1:E771))))))</f>
        <v/>
      </c>
      <c r="K772" s="14" t="str">
        <f aca="false">IF(OR(E772="",E772="!!!",F772="NEW"),"",INDEX(J$1:J771,SUMPRODUCT(MAX(ROW(E$1:E771)*(E772=E$1:E771)))))</f>
        <v/>
      </c>
      <c r="L772" s="15"/>
    </row>
    <row r="773" customFormat="false" ht="12.75" hidden="false" customHeight="false" outlineLevel="0" collapsed="false">
      <c r="A773" s="0" t="s">
        <v>429</v>
      </c>
      <c r="B773" s="0" t="s">
        <v>59</v>
      </c>
      <c r="C773" s="0" t="s">
        <v>38</v>
      </c>
      <c r="D773" s="0" t="s">
        <v>29</v>
      </c>
      <c r="E773" s="9" t="str">
        <f aca="false">IF(D773="?OLD","!!!","")</f>
        <v>!!!</v>
      </c>
      <c r="F773" s="10" t="str">
        <f aca="false">IF(OR(E773="",E773="!!!"),"",IF(NOT(ISNA(VLOOKUP(E773,E$1:E772,1,FALSE()))),"OLD",IF(AND(E773&lt;&gt;"",E773&lt;&gt;"!!!"),"NEW","")))</f>
        <v/>
      </c>
      <c r="G773" s="11" t="str">
        <f aca="false">IF(OR(E773="",E773="!!!"),"",IF(OR(J773=0,AND(J773=1,K773=1),AND(J773=1,I773="SBJ"),AND(J773=1,I773=0)),"?IN_FOCUS",IF(J773&lt;=2,"?ACTIVATED",IF(J773&lt;&gt;"","?FAMILIAR",IF(F773="NEW",IF(ISNA(VLOOKUP(E773,#REF!,1,FALSE())),"?TYPE_IDENTIFIABLE","?REFERENTIAL"),"_")))))</f>
        <v/>
      </c>
      <c r="H773" s="12" t="str">
        <f aca="false">IF(J773&lt;&gt;1,"",IF(I773="SBJ","CB","?"))</f>
        <v/>
      </c>
      <c r="I773" s="13" t="str">
        <f aca="false">IF(OR(E773="",E773="!!!",F773="NEW"),"",INDEX(B$2:B772,-1+SUMPRODUCT(MAX(ROW(E$2:E772)*(E773=E$2:E772)))))</f>
        <v/>
      </c>
      <c r="J773" s="14" t="str">
        <f aca="true">IF(OR(E773="",E773="!!!",F773="NEW"),"",COUNTBLANK(OFFSET(A$1,,,SUMPRODUCT(MAX(ROW(E$2:E773)*(E773=E$2:E773)))))-COUNTBLANK(OFFSET(A$1,,,SUMPRODUCT(MAX(ROW(E$1:E772)*(E773=E$1:E772))))))</f>
        <v/>
      </c>
      <c r="K773" s="14" t="str">
        <f aca="false">IF(OR(E773="",E773="!!!",F773="NEW"),"",INDEX(J$1:J772,SUMPRODUCT(MAX(ROW(E$1:E772)*(E773=E$1:E772)))))</f>
        <v/>
      </c>
      <c r="L773" s="15"/>
    </row>
    <row r="774" customFormat="false" ht="12.75" hidden="false" customHeight="false" outlineLevel="0" collapsed="false">
      <c r="A774" s="0" t="s">
        <v>415</v>
      </c>
      <c r="E774" s="9" t="str">
        <f aca="false">IF(D774="?OLD","!!!","")</f>
        <v/>
      </c>
      <c r="F774" s="10" t="str">
        <f aca="false">IF(OR(E774="",E774="!!!"),"",IF(NOT(ISNA(VLOOKUP(E774,E$1:E773,1,FALSE()))),"OLD",IF(AND(E774&lt;&gt;"",E774&lt;&gt;"!!!"),"NEW","")))</f>
        <v/>
      </c>
      <c r="G774" s="11" t="str">
        <f aca="false">IF(OR(E774="",E774="!!!"),"",IF(OR(J774=0,AND(J774=1,K774=1),AND(J774=1,I774="SBJ"),AND(J774=1,I774=0)),"?IN_FOCUS",IF(J774&lt;=2,"?ACTIVATED",IF(J774&lt;&gt;"","?FAMILIAR",IF(F774="NEW",IF(ISNA(VLOOKUP(E774,#REF!,1,FALSE())),"?TYPE_IDENTIFIABLE","?REFERENTIAL"),"_")))))</f>
        <v/>
      </c>
      <c r="H774" s="12" t="str">
        <f aca="false">IF(J774&lt;&gt;1,"",IF(I774="SBJ","CB","?"))</f>
        <v/>
      </c>
      <c r="I774" s="13" t="str">
        <f aca="false">IF(OR(E774="",E774="!!!",F774="NEW"),"",INDEX(B$2:B773,-1+SUMPRODUCT(MAX(ROW(E$2:E773)*(E774=E$2:E773)))))</f>
        <v/>
      </c>
      <c r="J774" s="14" t="str">
        <f aca="true">IF(OR(E774="",E774="!!!",F774="NEW"),"",COUNTBLANK(OFFSET(A$1,,,SUMPRODUCT(MAX(ROW(E$2:E774)*(E774=E$2:E774)))))-COUNTBLANK(OFFSET(A$1,,,SUMPRODUCT(MAX(ROW(E$1:E773)*(E774=E$1:E773))))))</f>
        <v/>
      </c>
      <c r="K774" s="14" t="str">
        <f aca="false">IF(OR(E774="",E774="!!!",F774="NEW"),"",INDEX(J$1:J773,SUMPRODUCT(MAX(ROW(E$1:E773)*(E774=E$1:E773)))))</f>
        <v/>
      </c>
      <c r="L774" s="15"/>
    </row>
    <row r="775" customFormat="false" ht="12.75" hidden="false" customHeight="false" outlineLevel="0" collapsed="false">
      <c r="A775" s="0" t="s">
        <v>45</v>
      </c>
      <c r="E775" s="9" t="str">
        <f aca="false">IF(D775="?OLD","!!!","")</f>
        <v/>
      </c>
      <c r="F775" s="10" t="str">
        <f aca="false">IF(OR(E775="",E775="!!!"),"",IF(NOT(ISNA(VLOOKUP(E775,E$1:E774,1,FALSE()))),"OLD",IF(AND(E775&lt;&gt;"",E775&lt;&gt;"!!!"),"NEW","")))</f>
        <v/>
      </c>
      <c r="G775" s="11" t="str">
        <f aca="false">IF(OR(E775="",E775="!!!"),"",IF(OR(J775=0,AND(J775=1,K775=1),AND(J775=1,I775="SBJ"),AND(J775=1,I775=0)),"?IN_FOCUS",IF(J775&lt;=2,"?ACTIVATED",IF(J775&lt;&gt;"","?FAMILIAR",IF(F775="NEW",IF(ISNA(VLOOKUP(E775,#REF!,1,FALSE())),"?TYPE_IDENTIFIABLE","?REFERENTIAL"),"_")))))</f>
        <v/>
      </c>
      <c r="H775" s="12" t="str">
        <f aca="false">IF(J775&lt;&gt;1,"",IF(I775="SBJ","CB","?"))</f>
        <v/>
      </c>
      <c r="I775" s="13" t="str">
        <f aca="false">IF(OR(E775="",E775="!!!",F775="NEW"),"",INDEX(B$2:B774,-1+SUMPRODUCT(MAX(ROW(E$2:E774)*(E775=E$2:E774)))))</f>
        <v/>
      </c>
      <c r="J775" s="14" t="str">
        <f aca="true">IF(OR(E775="",E775="!!!",F775="NEW"),"",COUNTBLANK(OFFSET(A$1,,,SUMPRODUCT(MAX(ROW(E$2:E775)*(E775=E$2:E775)))))-COUNTBLANK(OFFSET(A$1,,,SUMPRODUCT(MAX(ROW(E$1:E774)*(E775=E$1:E774))))))</f>
        <v/>
      </c>
      <c r="K775" s="14" t="str">
        <f aca="false">IF(OR(E775="",E775="!!!",F775="NEW"),"",INDEX(J$1:J774,SUMPRODUCT(MAX(ROW(E$1:E774)*(E775=E$1:E774)))))</f>
        <v/>
      </c>
      <c r="L775" s="15"/>
    </row>
    <row r="776" customFormat="false" ht="12.75" hidden="false" customHeight="false" outlineLevel="0" collapsed="false">
      <c r="A776" s="0" t="s">
        <v>400</v>
      </c>
      <c r="B776" s="0" t="s">
        <v>165</v>
      </c>
      <c r="C776" s="0" t="s">
        <v>38</v>
      </c>
      <c r="D776" s="0" t="s">
        <v>29</v>
      </c>
      <c r="E776" s="9" t="str">
        <f aca="false">IF(D776="?OLD","!!!","")</f>
        <v>!!!</v>
      </c>
      <c r="F776" s="10" t="str">
        <f aca="false">IF(OR(E776="",E776="!!!"),"",IF(NOT(ISNA(VLOOKUP(E776,E$1:E775,1,FALSE()))),"OLD",IF(AND(E776&lt;&gt;"",E776&lt;&gt;"!!!"),"NEW","")))</f>
        <v/>
      </c>
      <c r="G776" s="11" t="str">
        <f aca="false">IF(OR(E776="",E776="!!!"),"",IF(OR(J776=0,AND(J776=1,K776=1),AND(J776=1,I776="SBJ"),AND(J776=1,I776=0)),"?IN_FOCUS",IF(J776&lt;=2,"?ACTIVATED",IF(J776&lt;&gt;"","?FAMILIAR",IF(F776="NEW",IF(ISNA(VLOOKUP(E776,#REF!,1,FALSE())),"?TYPE_IDENTIFIABLE","?REFERENTIAL"),"_")))))</f>
        <v/>
      </c>
      <c r="H776" s="12" t="str">
        <f aca="false">IF(J776&lt;&gt;1,"",IF(I776="SBJ","CB","?"))</f>
        <v/>
      </c>
      <c r="I776" s="13" t="str">
        <f aca="false">IF(OR(E776="",E776="!!!",F776="NEW"),"",INDEX(B$2:B775,-1+SUMPRODUCT(MAX(ROW(E$2:E775)*(E776=E$2:E775)))))</f>
        <v/>
      </c>
      <c r="J776" s="14" t="str">
        <f aca="true">IF(OR(E776="",E776="!!!",F776="NEW"),"",COUNTBLANK(OFFSET(A$1,,,SUMPRODUCT(MAX(ROW(E$2:E776)*(E776=E$2:E776)))))-COUNTBLANK(OFFSET(A$1,,,SUMPRODUCT(MAX(ROW(E$1:E775)*(E776=E$1:E775))))))</f>
        <v/>
      </c>
      <c r="K776" s="14" t="str">
        <f aca="false">IF(OR(E776="",E776="!!!",F776="NEW"),"",INDEX(J$1:J775,SUMPRODUCT(MAX(ROW(E$1:E775)*(E776=E$1:E775)))))</f>
        <v/>
      </c>
      <c r="L776" s="15"/>
    </row>
    <row r="777" customFormat="false" ht="12.75" hidden="false" customHeight="false" outlineLevel="0" collapsed="false">
      <c r="A777" s="0" t="s">
        <v>294</v>
      </c>
      <c r="E777" s="9" t="str">
        <f aca="false">IF(D777="?OLD","!!!","")</f>
        <v/>
      </c>
      <c r="F777" s="10" t="str">
        <f aca="false">IF(OR(E777="",E777="!!!"),"",IF(NOT(ISNA(VLOOKUP(E777,E$1:E776,1,FALSE()))),"OLD",IF(AND(E777&lt;&gt;"",E777&lt;&gt;"!!!"),"NEW","")))</f>
        <v/>
      </c>
      <c r="G777" s="11" t="str">
        <f aca="false">IF(OR(E777="",E777="!!!"),"",IF(OR(J777=0,AND(J777=1,K777=1),AND(J777=1,I777="SBJ"),AND(J777=1,I777=0)),"?IN_FOCUS",IF(J777&lt;=2,"?ACTIVATED",IF(J777&lt;&gt;"","?FAMILIAR",IF(F777="NEW",IF(ISNA(VLOOKUP(E777,#REF!,1,FALSE())),"?TYPE_IDENTIFIABLE","?REFERENTIAL"),"_")))))</f>
        <v/>
      </c>
      <c r="H777" s="12" t="str">
        <f aca="false">IF(J777&lt;&gt;1,"",IF(I777="SBJ","CB","?"))</f>
        <v/>
      </c>
      <c r="I777" s="13" t="str">
        <f aca="false">IF(OR(E777="",E777="!!!",F777="NEW"),"",INDEX(B$2:B776,-1+SUMPRODUCT(MAX(ROW(E$2:E776)*(E777=E$2:E776)))))</f>
        <v/>
      </c>
      <c r="J777" s="14" t="str">
        <f aca="true">IF(OR(E777="",E777="!!!",F777="NEW"),"",COUNTBLANK(OFFSET(A$1,,,SUMPRODUCT(MAX(ROW(E$2:E777)*(E777=E$2:E777)))))-COUNTBLANK(OFFSET(A$1,,,SUMPRODUCT(MAX(ROW(E$1:E776)*(E777=E$1:E776))))))</f>
        <v/>
      </c>
      <c r="K777" s="14" t="str">
        <f aca="false">IF(OR(E777="",E777="!!!",F777="NEW"),"",INDEX(J$1:J776,SUMPRODUCT(MAX(ROW(E$1:E776)*(E777=E$1:E776)))))</f>
        <v/>
      </c>
      <c r="L777" s="15"/>
    </row>
    <row r="778" customFormat="false" ht="12.75" hidden="false" customHeight="false" outlineLevel="0" collapsed="false">
      <c r="A778" s="0" t="s">
        <v>430</v>
      </c>
      <c r="E778" s="9" t="str">
        <f aca="false">IF(D778="?OLD","!!!","")</f>
        <v/>
      </c>
      <c r="F778" s="10" t="str">
        <f aca="false">IF(OR(E778="",E778="!!!"),"",IF(NOT(ISNA(VLOOKUP(E778,E$1:E777,1,FALSE()))),"OLD",IF(AND(E778&lt;&gt;"",E778&lt;&gt;"!!!"),"NEW","")))</f>
        <v/>
      </c>
      <c r="G778" s="11" t="str">
        <f aca="false">IF(OR(E778="",E778="!!!"),"",IF(OR(J778=0,AND(J778=1,K778=1),AND(J778=1,I778="SBJ"),AND(J778=1,I778=0)),"?IN_FOCUS",IF(J778&lt;=2,"?ACTIVATED",IF(J778&lt;&gt;"","?FAMILIAR",IF(F778="NEW",IF(ISNA(VLOOKUP(E778,#REF!,1,FALSE())),"?TYPE_IDENTIFIABLE","?REFERENTIAL"),"_")))))</f>
        <v/>
      </c>
      <c r="H778" s="12" t="str">
        <f aca="false">IF(J778&lt;&gt;1,"",IF(I778="SBJ","CB","?"))</f>
        <v/>
      </c>
      <c r="I778" s="13" t="str">
        <f aca="false">IF(OR(E778="",E778="!!!",F778="NEW"),"",INDEX(B$2:B777,-1+SUMPRODUCT(MAX(ROW(E$2:E777)*(E778=E$2:E777)))))</f>
        <v/>
      </c>
      <c r="J778" s="14" t="str">
        <f aca="true">IF(OR(E778="",E778="!!!",F778="NEW"),"",COUNTBLANK(OFFSET(A$1,,,SUMPRODUCT(MAX(ROW(E$2:E778)*(E778=E$2:E778)))))-COUNTBLANK(OFFSET(A$1,,,SUMPRODUCT(MAX(ROW(E$1:E777)*(E778=E$1:E777))))))</f>
        <v/>
      </c>
      <c r="K778" s="14" t="str">
        <f aca="false">IF(OR(E778="",E778="!!!",F778="NEW"),"",INDEX(J$1:J777,SUMPRODUCT(MAX(ROW(E$1:E777)*(E778=E$1:E777)))))</f>
        <v/>
      </c>
      <c r="L778" s="15"/>
    </row>
    <row r="779" customFormat="false" ht="12.75" hidden="false" customHeight="false" outlineLevel="0" collapsed="false">
      <c r="A779" s="0" t="s">
        <v>291</v>
      </c>
      <c r="E779" s="9" t="str">
        <f aca="false">IF(D779="?OLD","!!!","")</f>
        <v/>
      </c>
      <c r="F779" s="10" t="str">
        <f aca="false">IF(OR(E779="",E779="!!!"),"",IF(NOT(ISNA(VLOOKUP(E779,E$1:E778,1,FALSE()))),"OLD",IF(AND(E779&lt;&gt;"",E779&lt;&gt;"!!!"),"NEW","")))</f>
        <v/>
      </c>
      <c r="G779" s="11" t="str">
        <f aca="false">IF(OR(E779="",E779="!!!"),"",IF(OR(J779=0,AND(J779=1,K779=1),AND(J779=1,I779="SBJ"),AND(J779=1,I779=0)),"?IN_FOCUS",IF(J779&lt;=2,"?ACTIVATED",IF(J779&lt;&gt;"","?FAMILIAR",IF(F779="NEW",IF(ISNA(VLOOKUP(E779,#REF!,1,FALSE())),"?TYPE_IDENTIFIABLE","?REFERENTIAL"),"_")))))</f>
        <v/>
      </c>
      <c r="H779" s="12" t="str">
        <f aca="false">IF(J779&lt;&gt;1,"",IF(I779="SBJ","CB","?"))</f>
        <v/>
      </c>
      <c r="I779" s="13" t="str">
        <f aca="false">IF(OR(E779="",E779="!!!",F779="NEW"),"",INDEX(B$2:B778,-1+SUMPRODUCT(MAX(ROW(E$2:E778)*(E779=E$2:E778)))))</f>
        <v/>
      </c>
      <c r="J779" s="14" t="str">
        <f aca="true">IF(OR(E779="",E779="!!!",F779="NEW"),"",COUNTBLANK(OFFSET(A$1,,,SUMPRODUCT(MAX(ROW(E$2:E779)*(E779=E$2:E779)))))-COUNTBLANK(OFFSET(A$1,,,SUMPRODUCT(MAX(ROW(E$1:E778)*(E779=E$1:E778))))))</f>
        <v/>
      </c>
      <c r="K779" s="14" t="str">
        <f aca="false">IF(OR(E779="",E779="!!!",F779="NEW"),"",INDEX(J$1:J778,SUMPRODUCT(MAX(ROW(E$1:E778)*(E779=E$1:E778)))))</f>
        <v/>
      </c>
      <c r="L779" s="15"/>
    </row>
    <row r="780" customFormat="false" ht="12.75" hidden="false" customHeight="false" outlineLevel="0" collapsed="false">
      <c r="A780" s="0" t="s">
        <v>262</v>
      </c>
      <c r="E780" s="9" t="str">
        <f aca="false">IF(D780="?OLD","!!!","")</f>
        <v/>
      </c>
      <c r="F780" s="10" t="str">
        <f aca="false">IF(OR(E780="",E780="!!!"),"",IF(NOT(ISNA(VLOOKUP(E780,E$1:E779,1,FALSE()))),"OLD",IF(AND(E780&lt;&gt;"",E780&lt;&gt;"!!!"),"NEW","")))</f>
        <v/>
      </c>
      <c r="G780" s="11" t="str">
        <f aca="false">IF(OR(E780="",E780="!!!"),"",IF(OR(J780=0,AND(J780=1,K780=1),AND(J780=1,I780="SBJ"),AND(J780=1,I780=0)),"?IN_FOCUS",IF(J780&lt;=2,"?ACTIVATED",IF(J780&lt;&gt;"","?FAMILIAR",IF(F780="NEW",IF(ISNA(VLOOKUP(E780,#REF!,1,FALSE())),"?TYPE_IDENTIFIABLE","?REFERENTIAL"),"_")))))</f>
        <v/>
      </c>
      <c r="H780" s="12" t="str">
        <f aca="false">IF(J780&lt;&gt;1,"",IF(I780="SBJ","CB","?"))</f>
        <v/>
      </c>
      <c r="I780" s="13" t="str">
        <f aca="false">IF(OR(E780="",E780="!!!",F780="NEW"),"",INDEX(B$2:B779,-1+SUMPRODUCT(MAX(ROW(E$2:E779)*(E780=E$2:E779)))))</f>
        <v/>
      </c>
      <c r="J780" s="14" t="str">
        <f aca="true">IF(OR(E780="",E780="!!!",F780="NEW"),"",COUNTBLANK(OFFSET(A$1,,,SUMPRODUCT(MAX(ROW(E$2:E780)*(E780=E$2:E780)))))-COUNTBLANK(OFFSET(A$1,,,SUMPRODUCT(MAX(ROW(E$1:E779)*(E780=E$1:E779))))))</f>
        <v/>
      </c>
      <c r="K780" s="14" t="str">
        <f aca="false">IF(OR(E780="",E780="!!!",F780="NEW"),"",INDEX(J$1:J779,SUMPRODUCT(MAX(ROW(E$1:E779)*(E780=E$1:E779)))))</f>
        <v/>
      </c>
      <c r="L780" s="15"/>
    </row>
    <row r="781" customFormat="false" ht="12.75" hidden="false" customHeight="false" outlineLevel="0" collapsed="false">
      <c r="E781" s="9" t="str">
        <f aca="false">IF(D781="?OLD","!!!","")</f>
        <v/>
      </c>
      <c r="F781" s="10" t="str">
        <f aca="false">IF(OR(E781="",E781="!!!"),"",IF(NOT(ISNA(VLOOKUP(E781,E$1:E780,1,FALSE()))),"OLD",IF(AND(E781&lt;&gt;"",E781&lt;&gt;"!!!"),"NEW","")))</f>
        <v/>
      </c>
      <c r="G781" s="11" t="str">
        <f aca="false">IF(OR(E781="",E781="!!!"),"",IF(OR(J781=0,AND(J781=1,K781=1),AND(J781=1,I781="SBJ"),AND(J781=1,I781=0)),"?IN_FOCUS",IF(J781&lt;=2,"?ACTIVATED",IF(J781&lt;&gt;"","?FAMILIAR",IF(F781="NEW",IF(ISNA(VLOOKUP(E781,#REF!,1,FALSE())),"?TYPE_IDENTIFIABLE","?REFERENTIAL"),"_")))))</f>
        <v/>
      </c>
      <c r="H781" s="12" t="str">
        <f aca="false">IF(J781&lt;&gt;1,"",IF(I781="SBJ","CB","?"))</f>
        <v/>
      </c>
      <c r="I781" s="13" t="str">
        <f aca="false">IF(OR(E781="",E781="!!!",F781="NEW"),"",INDEX(B$2:B780,-1+SUMPRODUCT(MAX(ROW(E$2:E780)*(E781=E$2:E780)))))</f>
        <v/>
      </c>
      <c r="J781" s="14" t="str">
        <f aca="true">IF(OR(E781="",E781="!!!",F781="NEW"),"",COUNTBLANK(OFFSET(A$1,,,SUMPRODUCT(MAX(ROW(E$2:E781)*(E781=E$2:E781)))))-COUNTBLANK(OFFSET(A$1,,,SUMPRODUCT(MAX(ROW(E$1:E780)*(E781=E$1:E780))))))</f>
        <v/>
      </c>
      <c r="K781" s="14" t="str">
        <f aca="false">IF(OR(E781="",E781="!!!",F781="NEW"),"",INDEX(J$1:J780,SUMPRODUCT(MAX(ROW(E$1:E780)*(E781=E$1:E780)))))</f>
        <v/>
      </c>
      <c r="L781" s="15"/>
    </row>
    <row r="782" customFormat="false" ht="12.75" hidden="false" customHeight="false" outlineLevel="0" collapsed="false">
      <c r="A782" s="0" t="s">
        <v>431</v>
      </c>
      <c r="E782" s="9" t="str">
        <f aca="false">IF(D782="?OLD","!!!","")</f>
        <v/>
      </c>
      <c r="F782" s="10" t="str">
        <f aca="false">IF(OR(E782="",E782="!!!"),"",IF(NOT(ISNA(VLOOKUP(E782,E$1:E781,1,FALSE()))),"OLD",IF(AND(E782&lt;&gt;"",E782&lt;&gt;"!!!"),"NEW","")))</f>
        <v/>
      </c>
      <c r="G782" s="11" t="str">
        <f aca="false">IF(OR(E782="",E782="!!!"),"",IF(OR(J782=0,AND(J782=1,K782=1),AND(J782=1,I782="SBJ"),AND(J782=1,I782=0)),"?IN_FOCUS",IF(J782&lt;=2,"?ACTIVATED",IF(J782&lt;&gt;"","?FAMILIAR",IF(F782="NEW",IF(ISNA(VLOOKUP(E782,#REF!,1,FALSE())),"?TYPE_IDENTIFIABLE","?REFERENTIAL"),"_")))))</f>
        <v/>
      </c>
      <c r="H782" s="12" t="str">
        <f aca="false">IF(J782&lt;&gt;1,"",IF(I782="SBJ","CB","?"))</f>
        <v/>
      </c>
      <c r="I782" s="13" t="str">
        <f aca="false">IF(OR(E782="",E782="!!!",F782="NEW"),"",INDEX(B$2:B781,-1+SUMPRODUCT(MAX(ROW(E$2:E781)*(E782=E$2:E781)))))</f>
        <v/>
      </c>
      <c r="J782" s="14" t="str">
        <f aca="true">IF(OR(E782="",E782="!!!",F782="NEW"),"",COUNTBLANK(OFFSET(A$1,,,SUMPRODUCT(MAX(ROW(E$2:E782)*(E782=E$2:E782)))))-COUNTBLANK(OFFSET(A$1,,,SUMPRODUCT(MAX(ROW(E$1:E781)*(E782=E$1:E781))))))</f>
        <v/>
      </c>
      <c r="K782" s="14" t="str">
        <f aca="false">IF(OR(E782="",E782="!!!",F782="NEW"),"",INDEX(J$1:J781,SUMPRODUCT(MAX(ROW(E$1:E781)*(E782=E$1:E781)))))</f>
        <v/>
      </c>
      <c r="L782" s="15"/>
    </row>
    <row r="783" customFormat="false" ht="12.75" hidden="false" customHeight="false" outlineLevel="0" collapsed="false">
      <c r="A783" s="0" t="s">
        <v>122</v>
      </c>
      <c r="B783" s="0" t="s">
        <v>14</v>
      </c>
      <c r="C783" s="0" t="s">
        <v>38</v>
      </c>
      <c r="D783" s="0" t="s">
        <v>29</v>
      </c>
      <c r="E783" s="9" t="str">
        <f aca="false">IF(D783="?OLD","!!!","")</f>
        <v>!!!</v>
      </c>
      <c r="F783" s="10" t="str">
        <f aca="false">IF(OR(E783="",E783="!!!"),"",IF(NOT(ISNA(VLOOKUP(E783,E$1:E782,1,FALSE()))),"OLD",IF(AND(E783&lt;&gt;"",E783&lt;&gt;"!!!"),"NEW","")))</f>
        <v/>
      </c>
      <c r="G783" s="11" t="str">
        <f aca="false">IF(OR(E783="",E783="!!!"),"",IF(OR(J783=0,AND(J783=1,K783=1),AND(J783=1,I783="SBJ"),AND(J783=1,I783=0)),"?IN_FOCUS",IF(J783&lt;=2,"?ACTIVATED",IF(J783&lt;&gt;"","?FAMILIAR",IF(F783="NEW",IF(ISNA(VLOOKUP(E783,#REF!,1,FALSE())),"?TYPE_IDENTIFIABLE","?REFERENTIAL"),"_")))))</f>
        <v/>
      </c>
      <c r="H783" s="12" t="str">
        <f aca="false">IF(J783&lt;&gt;1,"",IF(I783="SBJ","CB","?"))</f>
        <v/>
      </c>
      <c r="I783" s="13" t="str">
        <f aca="false">IF(OR(E783="",E783="!!!",F783="NEW"),"",INDEX(B$2:B782,-1+SUMPRODUCT(MAX(ROW(E$2:E782)*(E783=E$2:E782)))))</f>
        <v/>
      </c>
      <c r="J783" s="14" t="str">
        <f aca="true">IF(OR(E783="",E783="!!!",F783="NEW"),"",COUNTBLANK(OFFSET(A$1,,,SUMPRODUCT(MAX(ROW(E$2:E783)*(E783=E$2:E783)))))-COUNTBLANK(OFFSET(A$1,,,SUMPRODUCT(MAX(ROW(E$1:E782)*(E783=E$1:E782))))))</f>
        <v/>
      </c>
      <c r="K783" s="14" t="str">
        <f aca="false">IF(OR(E783="",E783="!!!",F783="NEW"),"",INDEX(J$1:J782,SUMPRODUCT(MAX(ROW(E$1:E782)*(E783=E$1:E782)))))</f>
        <v/>
      </c>
      <c r="L783" s="15"/>
    </row>
    <row r="784" customFormat="false" ht="12.75" hidden="false" customHeight="false" outlineLevel="0" collapsed="false">
      <c r="A784" s="0" t="s">
        <v>432</v>
      </c>
      <c r="E784" s="9" t="str">
        <f aca="false">IF(D784="?OLD","!!!","")</f>
        <v/>
      </c>
      <c r="F784" s="10" t="str">
        <f aca="false">IF(OR(E784="",E784="!!!"),"",IF(NOT(ISNA(VLOOKUP(E784,E$1:E783,1,FALSE()))),"OLD",IF(AND(E784&lt;&gt;"",E784&lt;&gt;"!!!"),"NEW","")))</f>
        <v/>
      </c>
      <c r="G784" s="11" t="str">
        <f aca="false">IF(OR(E784="",E784="!!!"),"",IF(OR(J784=0,AND(J784=1,K784=1),AND(J784=1,I784="SBJ"),AND(J784=1,I784=0)),"?IN_FOCUS",IF(J784&lt;=2,"?ACTIVATED",IF(J784&lt;&gt;"","?FAMILIAR",IF(F784="NEW",IF(ISNA(VLOOKUP(E784,#REF!,1,FALSE())),"?TYPE_IDENTIFIABLE","?REFERENTIAL"),"_")))))</f>
        <v/>
      </c>
      <c r="H784" s="12" t="str">
        <f aca="false">IF(J784&lt;&gt;1,"",IF(I784="SBJ","CB","?"))</f>
        <v/>
      </c>
      <c r="I784" s="13" t="str">
        <f aca="false">IF(OR(E784="",E784="!!!",F784="NEW"),"",INDEX(B$2:B783,-1+SUMPRODUCT(MAX(ROW(E$2:E783)*(E784=E$2:E783)))))</f>
        <v/>
      </c>
      <c r="J784" s="14" t="str">
        <f aca="true">IF(OR(E784="",E784="!!!",F784="NEW"),"",COUNTBLANK(OFFSET(A$1,,,SUMPRODUCT(MAX(ROW(E$2:E784)*(E784=E$2:E784)))))-COUNTBLANK(OFFSET(A$1,,,SUMPRODUCT(MAX(ROW(E$1:E783)*(E784=E$1:E783))))))</f>
        <v/>
      </c>
      <c r="K784" s="14" t="str">
        <f aca="false">IF(OR(E784="",E784="!!!",F784="NEW"),"",INDEX(J$1:J783,SUMPRODUCT(MAX(ROW(E$1:E783)*(E784=E$1:E783)))))</f>
        <v/>
      </c>
      <c r="L784" s="15"/>
    </row>
    <row r="785" customFormat="false" ht="12.75" hidden="false" customHeight="false" outlineLevel="0" collapsed="false">
      <c r="A785" s="0" t="s">
        <v>244</v>
      </c>
      <c r="E785" s="9" t="str">
        <f aca="false">IF(D785="?OLD","!!!","")</f>
        <v/>
      </c>
      <c r="F785" s="10" t="str">
        <f aca="false">IF(OR(E785="",E785="!!!"),"",IF(NOT(ISNA(VLOOKUP(E785,E$1:E784,1,FALSE()))),"OLD",IF(AND(E785&lt;&gt;"",E785&lt;&gt;"!!!"),"NEW","")))</f>
        <v/>
      </c>
      <c r="G785" s="11" t="str">
        <f aca="false">IF(OR(E785="",E785="!!!"),"",IF(OR(J785=0,AND(J785=1,K785=1),AND(J785=1,I785="SBJ"),AND(J785=1,I785=0)),"?IN_FOCUS",IF(J785&lt;=2,"?ACTIVATED",IF(J785&lt;&gt;"","?FAMILIAR",IF(F785="NEW",IF(ISNA(VLOOKUP(E785,#REF!,1,FALSE())),"?TYPE_IDENTIFIABLE","?REFERENTIAL"),"_")))))</f>
        <v/>
      </c>
      <c r="H785" s="12" t="str">
        <f aca="false">IF(J785&lt;&gt;1,"",IF(I785="SBJ","CB","?"))</f>
        <v/>
      </c>
      <c r="I785" s="13" t="str">
        <f aca="false">IF(OR(E785="",E785="!!!",F785="NEW"),"",INDEX(B$2:B784,-1+SUMPRODUCT(MAX(ROW(E$2:E784)*(E785=E$2:E784)))))</f>
        <v/>
      </c>
      <c r="J785" s="14" t="str">
        <f aca="true">IF(OR(E785="",E785="!!!",F785="NEW"),"",COUNTBLANK(OFFSET(A$1,,,SUMPRODUCT(MAX(ROW(E$2:E785)*(E785=E$2:E785)))))-COUNTBLANK(OFFSET(A$1,,,SUMPRODUCT(MAX(ROW(E$1:E784)*(E785=E$1:E784))))))</f>
        <v/>
      </c>
      <c r="K785" s="14" t="str">
        <f aca="false">IF(OR(E785="",E785="!!!",F785="NEW"),"",INDEX(J$1:J784,SUMPRODUCT(MAX(ROW(E$1:E784)*(E785=E$1:E784)))))</f>
        <v/>
      </c>
      <c r="L785" s="15"/>
    </row>
    <row r="786" customFormat="false" ht="12.75" hidden="false" customHeight="false" outlineLevel="0" collapsed="false">
      <c r="A786" s="0" t="s">
        <v>66</v>
      </c>
      <c r="E786" s="9" t="str">
        <f aca="false">IF(D786="?OLD","!!!","")</f>
        <v/>
      </c>
      <c r="F786" s="10" t="str">
        <f aca="false">IF(OR(E786="",E786="!!!"),"",IF(NOT(ISNA(VLOOKUP(E786,E$1:E785,1,FALSE()))),"OLD",IF(AND(E786&lt;&gt;"",E786&lt;&gt;"!!!"),"NEW","")))</f>
        <v/>
      </c>
      <c r="G786" s="11" t="str">
        <f aca="false">IF(OR(E786="",E786="!!!"),"",IF(OR(J786=0,AND(J786=1,K786=1),AND(J786=1,I786="SBJ"),AND(J786=1,I786=0)),"?IN_FOCUS",IF(J786&lt;=2,"?ACTIVATED",IF(J786&lt;&gt;"","?FAMILIAR",IF(F786="NEW",IF(ISNA(VLOOKUP(E786,#REF!,1,FALSE())),"?TYPE_IDENTIFIABLE","?REFERENTIAL"),"_")))))</f>
        <v/>
      </c>
      <c r="H786" s="12" t="str">
        <f aca="false">IF(J786&lt;&gt;1,"",IF(I786="SBJ","CB","?"))</f>
        <v/>
      </c>
      <c r="I786" s="13" t="str">
        <f aca="false">IF(OR(E786="",E786="!!!",F786="NEW"),"",INDEX(B$2:B785,-1+SUMPRODUCT(MAX(ROW(E$2:E785)*(E786=E$2:E785)))))</f>
        <v/>
      </c>
      <c r="J786" s="14" t="str">
        <f aca="true">IF(OR(E786="",E786="!!!",F786="NEW"),"",COUNTBLANK(OFFSET(A$1,,,SUMPRODUCT(MAX(ROW(E$2:E786)*(E786=E$2:E786)))))-COUNTBLANK(OFFSET(A$1,,,SUMPRODUCT(MAX(ROW(E$1:E785)*(E786=E$1:E785))))))</f>
        <v/>
      </c>
      <c r="K786" s="14" t="str">
        <f aca="false">IF(OR(E786="",E786="!!!",F786="NEW"),"",INDEX(J$1:J785,SUMPRODUCT(MAX(ROW(E$1:E785)*(E786=E$1:E785)))))</f>
        <v/>
      </c>
      <c r="L786" s="15"/>
    </row>
    <row r="787" customFormat="false" ht="12.75" hidden="false" customHeight="false" outlineLevel="0" collapsed="false">
      <c r="A787" s="0" t="s">
        <v>433</v>
      </c>
      <c r="B787" s="0" t="s">
        <v>37</v>
      </c>
      <c r="C787" s="0" t="s">
        <v>111</v>
      </c>
      <c r="D787" s="0" t="s">
        <v>29</v>
      </c>
      <c r="E787" s="9" t="str">
        <f aca="false">IF(D787="?OLD","!!!","")</f>
        <v>!!!</v>
      </c>
      <c r="F787" s="10" t="str">
        <f aca="false">IF(OR(E787="",E787="!!!"),"",IF(NOT(ISNA(VLOOKUP(E787,E$1:E786,1,FALSE()))),"OLD",IF(AND(E787&lt;&gt;"",E787&lt;&gt;"!!!"),"NEW","")))</f>
        <v/>
      </c>
      <c r="G787" s="11" t="str">
        <f aca="false">IF(OR(E787="",E787="!!!"),"",IF(OR(J787=0,AND(J787=1,K787=1),AND(J787=1,I787="SBJ"),AND(J787=1,I787=0)),"?IN_FOCUS",IF(J787&lt;=2,"?ACTIVATED",IF(J787&lt;&gt;"","?FAMILIAR",IF(F787="NEW",IF(ISNA(VLOOKUP(E787,#REF!,1,FALSE())),"?TYPE_IDENTIFIABLE","?REFERENTIAL"),"_")))))</f>
        <v/>
      </c>
      <c r="H787" s="12" t="str">
        <f aca="false">IF(J787&lt;&gt;1,"",IF(I787="SBJ","CB","?"))</f>
        <v/>
      </c>
      <c r="I787" s="13" t="str">
        <f aca="false">IF(OR(E787="",E787="!!!",F787="NEW"),"",INDEX(B$2:B786,-1+SUMPRODUCT(MAX(ROW(E$2:E786)*(E787=E$2:E786)))))</f>
        <v/>
      </c>
      <c r="J787" s="14" t="str">
        <f aca="true">IF(OR(E787="",E787="!!!",F787="NEW"),"",COUNTBLANK(OFFSET(A$1,,,SUMPRODUCT(MAX(ROW(E$2:E787)*(E787=E$2:E787)))))-COUNTBLANK(OFFSET(A$1,,,SUMPRODUCT(MAX(ROW(E$1:E786)*(E787=E$1:E786))))))</f>
        <v/>
      </c>
      <c r="K787" s="14" t="str">
        <f aca="false">IF(OR(E787="",E787="!!!",F787="NEW"),"",INDEX(J$1:J786,SUMPRODUCT(MAX(ROW(E$1:E786)*(E787=E$1:E786)))))</f>
        <v/>
      </c>
      <c r="L787" s="15"/>
    </row>
    <row r="788" customFormat="false" ht="12.75" hidden="false" customHeight="false" outlineLevel="0" collapsed="false">
      <c r="A788" s="0" t="s">
        <v>88</v>
      </c>
      <c r="E788" s="9" t="str">
        <f aca="false">IF(D788="?OLD","!!!","")</f>
        <v/>
      </c>
      <c r="F788" s="10" t="str">
        <f aca="false">IF(OR(E788="",E788="!!!"),"",IF(NOT(ISNA(VLOOKUP(E788,E$1:E787,1,FALSE()))),"OLD",IF(AND(E788&lt;&gt;"",E788&lt;&gt;"!!!"),"NEW","")))</f>
        <v/>
      </c>
      <c r="G788" s="11" t="str">
        <f aca="false">IF(OR(E788="",E788="!!!"),"",IF(OR(J788=0,AND(J788=1,K788=1),AND(J788=1,I788="SBJ"),AND(J788=1,I788=0)),"?IN_FOCUS",IF(J788&lt;=2,"?ACTIVATED",IF(J788&lt;&gt;"","?FAMILIAR",IF(F788="NEW",IF(ISNA(VLOOKUP(E788,#REF!,1,FALSE())),"?TYPE_IDENTIFIABLE","?REFERENTIAL"),"_")))))</f>
        <v/>
      </c>
      <c r="H788" s="12" t="str">
        <f aca="false">IF(J788&lt;&gt;1,"",IF(I788="SBJ","CB","?"))</f>
        <v/>
      </c>
      <c r="I788" s="13" t="str">
        <f aca="false">IF(OR(E788="",E788="!!!",F788="NEW"),"",INDEX(B$2:B787,-1+SUMPRODUCT(MAX(ROW(E$2:E787)*(E788=E$2:E787)))))</f>
        <v/>
      </c>
      <c r="J788" s="14" t="str">
        <f aca="true">IF(OR(E788="",E788="!!!",F788="NEW"),"",COUNTBLANK(OFFSET(A$1,,,SUMPRODUCT(MAX(ROW(E$2:E788)*(E788=E$2:E788)))))-COUNTBLANK(OFFSET(A$1,,,SUMPRODUCT(MAX(ROW(E$1:E787)*(E788=E$1:E787))))))</f>
        <v/>
      </c>
      <c r="K788" s="14" t="str">
        <f aca="false">IF(OR(E788="",E788="!!!",F788="NEW"),"",INDEX(J$1:J787,SUMPRODUCT(MAX(ROW(E$1:E787)*(E788=E$1:E787)))))</f>
        <v/>
      </c>
      <c r="L788" s="15"/>
    </row>
    <row r="789" customFormat="false" ht="12.75" hidden="false" customHeight="false" outlineLevel="0" collapsed="false">
      <c r="A789" s="0" t="s">
        <v>434</v>
      </c>
      <c r="E789" s="9" t="str">
        <f aca="false">IF(D789="?OLD","!!!","")</f>
        <v/>
      </c>
      <c r="F789" s="10" t="str">
        <f aca="false">IF(OR(E789="",E789="!!!"),"",IF(NOT(ISNA(VLOOKUP(E789,E$1:E788,1,FALSE()))),"OLD",IF(AND(E789&lt;&gt;"",E789&lt;&gt;"!!!"),"NEW","")))</f>
        <v/>
      </c>
      <c r="G789" s="11" t="str">
        <f aca="false">IF(OR(E789="",E789="!!!"),"",IF(OR(J789=0,AND(J789=1,K789=1),AND(J789=1,I789="SBJ"),AND(J789=1,I789=0)),"?IN_FOCUS",IF(J789&lt;=2,"?ACTIVATED",IF(J789&lt;&gt;"","?FAMILIAR",IF(F789="NEW",IF(ISNA(VLOOKUP(E789,#REF!,1,FALSE())),"?TYPE_IDENTIFIABLE","?REFERENTIAL"),"_")))))</f>
        <v/>
      </c>
      <c r="H789" s="12" t="str">
        <f aca="false">IF(J789&lt;&gt;1,"",IF(I789="SBJ","CB","?"))</f>
        <v/>
      </c>
      <c r="I789" s="13" t="str">
        <f aca="false">IF(OR(E789="",E789="!!!",F789="NEW"),"",INDEX(B$2:B788,-1+SUMPRODUCT(MAX(ROW(E$2:E788)*(E789=E$2:E788)))))</f>
        <v/>
      </c>
      <c r="J789" s="14" t="str">
        <f aca="true">IF(OR(E789="",E789="!!!",F789="NEW"),"",COUNTBLANK(OFFSET(A$1,,,SUMPRODUCT(MAX(ROW(E$2:E789)*(E789=E$2:E789)))))-COUNTBLANK(OFFSET(A$1,,,SUMPRODUCT(MAX(ROW(E$1:E788)*(E789=E$1:E788))))))</f>
        <v/>
      </c>
      <c r="K789" s="14" t="str">
        <f aca="false">IF(OR(E789="",E789="!!!",F789="NEW"),"",INDEX(J$1:J788,SUMPRODUCT(MAX(ROW(E$1:E788)*(E789=E$1:E788)))))</f>
        <v/>
      </c>
      <c r="L789" s="15"/>
    </row>
    <row r="790" customFormat="false" ht="12.75" hidden="false" customHeight="false" outlineLevel="0" collapsed="false">
      <c r="A790" s="0" t="s">
        <v>435</v>
      </c>
      <c r="E790" s="9" t="str">
        <f aca="false">IF(D790="?OLD","!!!","")</f>
        <v/>
      </c>
      <c r="F790" s="10" t="str">
        <f aca="false">IF(OR(E790="",E790="!!!"),"",IF(NOT(ISNA(VLOOKUP(E790,E$1:E789,1,FALSE()))),"OLD",IF(AND(E790&lt;&gt;"",E790&lt;&gt;"!!!"),"NEW","")))</f>
        <v/>
      </c>
      <c r="G790" s="11" t="str">
        <f aca="false">IF(OR(E790="",E790="!!!"),"",IF(OR(J790=0,AND(J790=1,K790=1),AND(J790=1,I790="SBJ"),AND(J790=1,I790=0)),"?IN_FOCUS",IF(J790&lt;=2,"?ACTIVATED",IF(J790&lt;&gt;"","?FAMILIAR",IF(F790="NEW",IF(ISNA(VLOOKUP(E790,#REF!,1,FALSE())),"?TYPE_IDENTIFIABLE","?REFERENTIAL"),"_")))))</f>
        <v/>
      </c>
      <c r="H790" s="12" t="str">
        <f aca="false">IF(J790&lt;&gt;1,"",IF(I790="SBJ","CB","?"))</f>
        <v/>
      </c>
      <c r="I790" s="13" t="str">
        <f aca="false">IF(OR(E790="",E790="!!!",F790="NEW"),"",INDEX(B$2:B789,-1+SUMPRODUCT(MAX(ROW(E$2:E789)*(E790=E$2:E789)))))</f>
        <v/>
      </c>
      <c r="J790" s="14" t="str">
        <f aca="true">IF(OR(E790="",E790="!!!",F790="NEW"),"",COUNTBLANK(OFFSET(A$1,,,SUMPRODUCT(MAX(ROW(E$2:E790)*(E790=E$2:E790)))))-COUNTBLANK(OFFSET(A$1,,,SUMPRODUCT(MAX(ROW(E$1:E789)*(E790=E$1:E789))))))</f>
        <v/>
      </c>
      <c r="K790" s="14" t="str">
        <f aca="false">IF(OR(E790="",E790="!!!",F790="NEW"),"",INDEX(J$1:J789,SUMPRODUCT(MAX(ROW(E$1:E789)*(E790=E$1:E789)))))</f>
        <v/>
      </c>
      <c r="L790" s="15"/>
    </row>
    <row r="791" customFormat="false" ht="12.75" hidden="false" customHeight="false" outlineLevel="0" collapsed="false">
      <c r="A791" s="0" t="s">
        <v>66</v>
      </c>
      <c r="E791" s="9" t="str">
        <f aca="false">IF(D791="?OLD","!!!","")</f>
        <v/>
      </c>
      <c r="F791" s="10" t="str">
        <f aca="false">IF(OR(E791="",E791="!!!"),"",IF(NOT(ISNA(VLOOKUP(E791,E$1:E790,1,FALSE()))),"OLD",IF(AND(E791&lt;&gt;"",E791&lt;&gt;"!!!"),"NEW","")))</f>
        <v/>
      </c>
      <c r="G791" s="11" t="str">
        <f aca="false">IF(OR(E791="",E791="!!!"),"",IF(OR(J791=0,AND(J791=1,K791=1),AND(J791=1,I791="SBJ"),AND(J791=1,I791=0)),"?IN_FOCUS",IF(J791&lt;=2,"?ACTIVATED",IF(J791&lt;&gt;"","?FAMILIAR",IF(F791="NEW",IF(ISNA(VLOOKUP(E791,#REF!,1,FALSE())),"?TYPE_IDENTIFIABLE","?REFERENTIAL"),"_")))))</f>
        <v/>
      </c>
      <c r="H791" s="12" t="str">
        <f aca="false">IF(J791&lt;&gt;1,"",IF(I791="SBJ","CB","?"))</f>
        <v/>
      </c>
      <c r="I791" s="13" t="str">
        <f aca="false">IF(OR(E791="",E791="!!!",F791="NEW"),"",INDEX(B$2:B790,-1+SUMPRODUCT(MAX(ROW(E$2:E790)*(E791=E$2:E790)))))</f>
        <v/>
      </c>
      <c r="J791" s="14" t="str">
        <f aca="true">IF(OR(E791="",E791="!!!",F791="NEW"),"",COUNTBLANK(OFFSET(A$1,,,SUMPRODUCT(MAX(ROW(E$2:E791)*(E791=E$2:E791)))))-COUNTBLANK(OFFSET(A$1,,,SUMPRODUCT(MAX(ROW(E$1:E790)*(E791=E$1:E790))))))</f>
        <v/>
      </c>
      <c r="K791" s="14" t="str">
        <f aca="false">IF(OR(E791="",E791="!!!",F791="NEW"),"",INDEX(J$1:J790,SUMPRODUCT(MAX(ROW(E$1:E790)*(E791=E$1:E790)))))</f>
        <v/>
      </c>
      <c r="L791" s="15"/>
    </row>
    <row r="792" customFormat="false" ht="12.75" hidden="false" customHeight="false" outlineLevel="0" collapsed="false">
      <c r="A792" s="0" t="s">
        <v>436</v>
      </c>
      <c r="E792" s="9" t="str">
        <f aca="false">IF(D792="?OLD","!!!","")</f>
        <v/>
      </c>
      <c r="F792" s="10" t="str">
        <f aca="false">IF(OR(E792="",E792="!!!"),"",IF(NOT(ISNA(VLOOKUP(E792,E$1:E791,1,FALSE()))),"OLD",IF(AND(E792&lt;&gt;"",E792&lt;&gt;"!!!"),"NEW","")))</f>
        <v/>
      </c>
      <c r="G792" s="11" t="str">
        <f aca="false">IF(OR(E792="",E792="!!!"),"",IF(OR(J792=0,AND(J792=1,K792=1),AND(J792=1,I792="SBJ"),AND(J792=1,I792=0)),"?IN_FOCUS",IF(J792&lt;=2,"?ACTIVATED",IF(J792&lt;&gt;"","?FAMILIAR",IF(F792="NEW",IF(ISNA(VLOOKUP(E792,#REF!,1,FALSE())),"?TYPE_IDENTIFIABLE","?REFERENTIAL"),"_")))))</f>
        <v/>
      </c>
      <c r="H792" s="12" t="str">
        <f aca="false">IF(J792&lt;&gt;1,"",IF(I792="SBJ","CB","?"))</f>
        <v/>
      </c>
      <c r="I792" s="13" t="str">
        <f aca="false">IF(OR(E792="",E792="!!!",F792="NEW"),"",INDEX(B$2:B791,-1+SUMPRODUCT(MAX(ROW(E$2:E791)*(E792=E$2:E791)))))</f>
        <v/>
      </c>
      <c r="J792" s="14" t="str">
        <f aca="true">IF(OR(E792="",E792="!!!",F792="NEW"),"",COUNTBLANK(OFFSET(A$1,,,SUMPRODUCT(MAX(ROW(E$2:E792)*(E792=E$2:E792)))))-COUNTBLANK(OFFSET(A$1,,,SUMPRODUCT(MAX(ROW(E$1:E791)*(E792=E$1:E791))))))</f>
        <v/>
      </c>
      <c r="K792" s="14" t="str">
        <f aca="false">IF(OR(E792="",E792="!!!",F792="NEW"),"",INDEX(J$1:J791,SUMPRODUCT(MAX(ROW(E$1:E791)*(E792=E$1:E791)))))</f>
        <v/>
      </c>
      <c r="L792" s="15"/>
    </row>
    <row r="793" customFormat="false" ht="12.75" hidden="false" customHeight="false" outlineLevel="0" collapsed="false">
      <c r="A793" s="0" t="s">
        <v>437</v>
      </c>
      <c r="B793" s="0" t="s">
        <v>28</v>
      </c>
      <c r="C793" s="0" t="s">
        <v>111</v>
      </c>
      <c r="D793" s="0" t="s">
        <v>29</v>
      </c>
      <c r="E793" s="9" t="str">
        <f aca="false">IF(D793="?OLD","!!!","")</f>
        <v>!!!</v>
      </c>
      <c r="F793" s="10" t="str">
        <f aca="false">IF(OR(E793="",E793="!!!"),"",IF(NOT(ISNA(VLOOKUP(E793,E$1:E792,1,FALSE()))),"OLD",IF(AND(E793&lt;&gt;"",E793&lt;&gt;"!!!"),"NEW","")))</f>
        <v/>
      </c>
      <c r="G793" s="11" t="str">
        <f aca="false">IF(OR(E793="",E793="!!!"),"",IF(OR(J793=0,AND(J793=1,K793=1),AND(J793=1,I793="SBJ"),AND(J793=1,I793=0)),"?IN_FOCUS",IF(J793&lt;=2,"?ACTIVATED",IF(J793&lt;&gt;"","?FAMILIAR",IF(F793="NEW",IF(ISNA(VLOOKUP(E793,#REF!,1,FALSE())),"?TYPE_IDENTIFIABLE","?REFERENTIAL"),"_")))))</f>
        <v/>
      </c>
      <c r="H793" s="12" t="str">
        <f aca="false">IF(J793&lt;&gt;1,"",IF(I793="SBJ","CB","?"))</f>
        <v/>
      </c>
      <c r="I793" s="13" t="str">
        <f aca="false">IF(OR(E793="",E793="!!!",F793="NEW"),"",INDEX(B$2:B792,-1+SUMPRODUCT(MAX(ROW(E$2:E792)*(E793=E$2:E792)))))</f>
        <v/>
      </c>
      <c r="J793" s="14" t="str">
        <f aca="true">IF(OR(E793="",E793="!!!",F793="NEW"),"",COUNTBLANK(OFFSET(A$1,,,SUMPRODUCT(MAX(ROW(E$2:E793)*(E793=E$2:E793)))))-COUNTBLANK(OFFSET(A$1,,,SUMPRODUCT(MAX(ROW(E$1:E792)*(E793=E$1:E792))))))</f>
        <v/>
      </c>
      <c r="K793" s="14" t="str">
        <f aca="false">IF(OR(E793="",E793="!!!",F793="NEW"),"",INDEX(J$1:J792,SUMPRODUCT(MAX(ROW(E$1:E792)*(E793=E$1:E792)))))</f>
        <v/>
      </c>
      <c r="L793" s="15"/>
    </row>
    <row r="794" customFormat="false" ht="12.75" hidden="false" customHeight="false" outlineLevel="0" collapsed="false">
      <c r="A794" s="0" t="s">
        <v>85</v>
      </c>
      <c r="B794" s="0" t="s">
        <v>157</v>
      </c>
      <c r="E794" s="9" t="str">
        <f aca="false">IF(D794="?OLD","!!!","")</f>
        <v/>
      </c>
      <c r="F794" s="10" t="str">
        <f aca="false">IF(OR(E794="",E794="!!!"),"",IF(NOT(ISNA(VLOOKUP(E794,E$1:E793,1,FALSE()))),"OLD",IF(AND(E794&lt;&gt;"",E794&lt;&gt;"!!!"),"NEW","")))</f>
        <v/>
      </c>
      <c r="G794" s="11" t="str">
        <f aca="false">IF(OR(E794="",E794="!!!"),"",IF(OR(J794=0,AND(J794=1,K794=1),AND(J794=1,I794="SBJ"),AND(J794=1,I794=0)),"?IN_FOCUS",IF(J794&lt;=2,"?ACTIVATED",IF(J794&lt;&gt;"","?FAMILIAR",IF(F794="NEW",IF(ISNA(VLOOKUP(E794,#REF!,1,FALSE())),"?TYPE_IDENTIFIABLE","?REFERENTIAL"),"_")))))</f>
        <v/>
      </c>
      <c r="H794" s="12" t="str">
        <f aca="false">IF(J794&lt;&gt;1,"",IF(I794="SBJ","CB","?"))</f>
        <v/>
      </c>
      <c r="I794" s="13" t="str">
        <f aca="false">IF(OR(E794="",E794="!!!",F794="NEW"),"",INDEX(B$2:B793,-1+SUMPRODUCT(MAX(ROW(E$2:E793)*(E794=E$2:E793)))))</f>
        <v/>
      </c>
      <c r="J794" s="14" t="str">
        <f aca="true">IF(OR(E794="",E794="!!!",F794="NEW"),"",COUNTBLANK(OFFSET(A$1,,,SUMPRODUCT(MAX(ROW(E$2:E794)*(E794=E$2:E794)))))-COUNTBLANK(OFFSET(A$1,,,SUMPRODUCT(MAX(ROW(E$1:E793)*(E794=E$1:E793))))))</f>
        <v/>
      </c>
      <c r="K794" s="14" t="str">
        <f aca="false">IF(OR(E794="",E794="!!!",F794="NEW"),"",INDEX(J$1:J793,SUMPRODUCT(MAX(ROW(E$1:E793)*(E794=E$1:E793)))))</f>
        <v/>
      </c>
      <c r="L794" s="15"/>
    </row>
    <row r="795" customFormat="false" ht="12.75" hidden="false" customHeight="false" outlineLevel="0" collapsed="false">
      <c r="A795" s="0" t="s">
        <v>438</v>
      </c>
      <c r="E795" s="9" t="str">
        <f aca="false">IF(D795="?OLD","!!!","")</f>
        <v/>
      </c>
      <c r="F795" s="10" t="str">
        <f aca="false">IF(OR(E795="",E795="!!!"),"",IF(NOT(ISNA(VLOOKUP(E795,E$1:E794,1,FALSE()))),"OLD",IF(AND(E795&lt;&gt;"",E795&lt;&gt;"!!!"),"NEW","")))</f>
        <v/>
      </c>
      <c r="G795" s="11" t="str">
        <f aca="false">IF(OR(E795="",E795="!!!"),"",IF(OR(J795=0,AND(J795=1,K795=1),AND(J795=1,I795="SBJ"),AND(J795=1,I795=0)),"?IN_FOCUS",IF(J795&lt;=2,"?ACTIVATED",IF(J795&lt;&gt;"","?FAMILIAR",IF(F795="NEW",IF(ISNA(VLOOKUP(E795,#REF!,1,FALSE())),"?TYPE_IDENTIFIABLE","?REFERENTIAL"),"_")))))</f>
        <v/>
      </c>
      <c r="H795" s="12" t="str">
        <f aca="false">IF(J795&lt;&gt;1,"",IF(I795="SBJ","CB","?"))</f>
        <v/>
      </c>
      <c r="I795" s="13" t="str">
        <f aca="false">IF(OR(E795="",E795="!!!",F795="NEW"),"",INDEX(B$2:B794,-1+SUMPRODUCT(MAX(ROW(E$2:E794)*(E795=E$2:E794)))))</f>
        <v/>
      </c>
      <c r="J795" s="14" t="str">
        <f aca="true">IF(OR(E795="",E795="!!!",F795="NEW"),"",COUNTBLANK(OFFSET(A$1,,,SUMPRODUCT(MAX(ROW(E$2:E795)*(E795=E$2:E795)))))-COUNTBLANK(OFFSET(A$1,,,SUMPRODUCT(MAX(ROW(E$1:E794)*(E795=E$1:E794))))))</f>
        <v/>
      </c>
      <c r="K795" s="14" t="str">
        <f aca="false">IF(OR(E795="",E795="!!!",F795="NEW"),"",INDEX(J$1:J794,SUMPRODUCT(MAX(ROW(E$1:E794)*(E795=E$1:E794)))))</f>
        <v/>
      </c>
      <c r="L795" s="15"/>
    </row>
    <row r="796" customFormat="false" ht="12.75" hidden="false" customHeight="false" outlineLevel="0" collapsed="false">
      <c r="A796" s="0" t="s">
        <v>66</v>
      </c>
      <c r="E796" s="9" t="str">
        <f aca="false">IF(D796="?OLD","!!!","")</f>
        <v/>
      </c>
      <c r="F796" s="10" t="str">
        <f aca="false">IF(OR(E796="",E796="!!!"),"",IF(NOT(ISNA(VLOOKUP(E796,E$1:E795,1,FALSE()))),"OLD",IF(AND(E796&lt;&gt;"",E796&lt;&gt;"!!!"),"NEW","")))</f>
        <v/>
      </c>
      <c r="G796" s="11" t="str">
        <f aca="false">IF(OR(E796="",E796="!!!"),"",IF(OR(J796=0,AND(J796=1,K796=1),AND(J796=1,I796="SBJ"),AND(J796=1,I796=0)),"?IN_FOCUS",IF(J796&lt;=2,"?ACTIVATED",IF(J796&lt;&gt;"","?FAMILIAR",IF(F796="NEW",IF(ISNA(VLOOKUP(E796,#REF!,1,FALSE())),"?TYPE_IDENTIFIABLE","?REFERENTIAL"),"_")))))</f>
        <v/>
      </c>
      <c r="H796" s="12" t="str">
        <f aca="false">IF(J796&lt;&gt;1,"",IF(I796="SBJ","CB","?"))</f>
        <v/>
      </c>
      <c r="I796" s="13" t="str">
        <f aca="false">IF(OR(E796="",E796="!!!",F796="NEW"),"",INDEX(B$2:B795,-1+SUMPRODUCT(MAX(ROW(E$2:E795)*(E796=E$2:E795)))))</f>
        <v/>
      </c>
      <c r="J796" s="14" t="str">
        <f aca="true">IF(OR(E796="",E796="!!!",F796="NEW"),"",COUNTBLANK(OFFSET(A$1,,,SUMPRODUCT(MAX(ROW(E$2:E796)*(E796=E$2:E796)))))-COUNTBLANK(OFFSET(A$1,,,SUMPRODUCT(MAX(ROW(E$1:E795)*(E796=E$1:E795))))))</f>
        <v/>
      </c>
      <c r="K796" s="14" t="str">
        <f aca="false">IF(OR(E796="",E796="!!!",F796="NEW"),"",INDEX(J$1:J795,SUMPRODUCT(MAX(ROW(E$1:E795)*(E796=E$1:E795)))))</f>
        <v/>
      </c>
      <c r="L796" s="15"/>
    </row>
    <row r="797" customFormat="false" ht="12.75" hidden="false" customHeight="false" outlineLevel="0" collapsed="false">
      <c r="A797" s="0" t="s">
        <v>439</v>
      </c>
      <c r="E797" s="9" t="str">
        <f aca="false">IF(D797="?OLD","!!!","")</f>
        <v/>
      </c>
      <c r="F797" s="10" t="str">
        <f aca="false">IF(OR(E797="",E797="!!!"),"",IF(NOT(ISNA(VLOOKUP(E797,E$1:E796,1,FALSE()))),"OLD",IF(AND(E797&lt;&gt;"",E797&lt;&gt;"!!!"),"NEW","")))</f>
        <v/>
      </c>
      <c r="G797" s="11" t="str">
        <f aca="false">IF(OR(E797="",E797="!!!"),"",IF(OR(J797=0,AND(J797=1,K797=1),AND(J797=1,I797="SBJ"),AND(J797=1,I797=0)),"?IN_FOCUS",IF(J797&lt;=2,"?ACTIVATED",IF(J797&lt;&gt;"","?FAMILIAR",IF(F797="NEW",IF(ISNA(VLOOKUP(E797,#REF!,1,FALSE())),"?TYPE_IDENTIFIABLE","?REFERENTIAL"),"_")))))</f>
        <v/>
      </c>
      <c r="H797" s="12" t="str">
        <f aca="false">IF(J797&lt;&gt;1,"",IF(I797="SBJ","CB","?"))</f>
        <v/>
      </c>
      <c r="I797" s="13" t="str">
        <f aca="false">IF(OR(E797="",E797="!!!",F797="NEW"),"",INDEX(B$2:B796,-1+SUMPRODUCT(MAX(ROW(E$2:E796)*(E797=E$2:E796)))))</f>
        <v/>
      </c>
      <c r="J797" s="14" t="str">
        <f aca="true">IF(OR(E797="",E797="!!!",F797="NEW"),"",COUNTBLANK(OFFSET(A$1,,,SUMPRODUCT(MAX(ROW(E$2:E797)*(E797=E$2:E797)))))-COUNTBLANK(OFFSET(A$1,,,SUMPRODUCT(MAX(ROW(E$1:E796)*(E797=E$1:E796))))))</f>
        <v/>
      </c>
      <c r="K797" s="14" t="str">
        <f aca="false">IF(OR(E797="",E797="!!!",F797="NEW"),"",INDEX(J$1:J796,SUMPRODUCT(MAX(ROW(E$1:E796)*(E797=E$1:E796)))))</f>
        <v/>
      </c>
      <c r="L797" s="15"/>
    </row>
    <row r="798" customFormat="false" ht="12.75" hidden="false" customHeight="false" outlineLevel="0" collapsed="false">
      <c r="A798" s="0" t="s">
        <v>440</v>
      </c>
      <c r="B798" s="0" t="s">
        <v>59</v>
      </c>
      <c r="C798" s="0" t="s">
        <v>111</v>
      </c>
      <c r="D798" s="0" t="s">
        <v>29</v>
      </c>
      <c r="E798" s="9" t="str">
        <f aca="false">IF(D798="?OLD","!!!","")</f>
        <v>!!!</v>
      </c>
      <c r="F798" s="10" t="str">
        <f aca="false">IF(OR(E798="",E798="!!!"),"",IF(NOT(ISNA(VLOOKUP(E798,E$1:E797,1,FALSE()))),"OLD",IF(AND(E798&lt;&gt;"",E798&lt;&gt;"!!!"),"NEW","")))</f>
        <v/>
      </c>
      <c r="G798" s="11" t="str">
        <f aca="false">IF(OR(E798="",E798="!!!"),"",IF(OR(J798=0,AND(J798=1,K798=1),AND(J798=1,I798="SBJ"),AND(J798=1,I798=0)),"?IN_FOCUS",IF(J798&lt;=2,"?ACTIVATED",IF(J798&lt;&gt;"","?FAMILIAR",IF(F798="NEW",IF(ISNA(VLOOKUP(E798,#REF!,1,FALSE())),"?TYPE_IDENTIFIABLE","?REFERENTIAL"),"_")))))</f>
        <v/>
      </c>
      <c r="H798" s="12" t="str">
        <f aca="false">IF(J798&lt;&gt;1,"",IF(I798="SBJ","CB","?"))</f>
        <v/>
      </c>
      <c r="I798" s="13" t="str">
        <f aca="false">IF(OR(E798="",E798="!!!",F798="NEW"),"",INDEX(B$2:B797,-1+SUMPRODUCT(MAX(ROW(E$2:E797)*(E798=E$2:E797)))))</f>
        <v/>
      </c>
      <c r="J798" s="14" t="str">
        <f aca="true">IF(OR(E798="",E798="!!!",F798="NEW"),"",COUNTBLANK(OFFSET(A$1,,,SUMPRODUCT(MAX(ROW(E$2:E798)*(E798=E$2:E798)))))-COUNTBLANK(OFFSET(A$1,,,SUMPRODUCT(MAX(ROW(E$1:E797)*(E798=E$1:E797))))))</f>
        <v/>
      </c>
      <c r="K798" s="14" t="str">
        <f aca="false">IF(OR(E798="",E798="!!!",F798="NEW"),"",INDEX(J$1:J797,SUMPRODUCT(MAX(ROW(E$1:E797)*(E798=E$1:E797)))))</f>
        <v/>
      </c>
      <c r="L798" s="15"/>
    </row>
    <row r="799" customFormat="false" ht="12.75" hidden="false" customHeight="false" outlineLevel="0" collapsed="false">
      <c r="A799" s="0" t="s">
        <v>73</v>
      </c>
      <c r="E799" s="9" t="str">
        <f aca="false">IF(D799="?OLD","!!!","")</f>
        <v/>
      </c>
      <c r="F799" s="10" t="str">
        <f aca="false">IF(OR(E799="",E799="!!!"),"",IF(NOT(ISNA(VLOOKUP(E799,E$1:E798,1,FALSE()))),"OLD",IF(AND(E799&lt;&gt;"",E799&lt;&gt;"!!!"),"NEW","")))</f>
        <v/>
      </c>
      <c r="G799" s="11" t="str">
        <f aca="false">IF(OR(E799="",E799="!!!"),"",IF(OR(J799=0,AND(J799=1,K799=1),AND(J799=1,I799="SBJ"),AND(J799=1,I799=0)),"?IN_FOCUS",IF(J799&lt;=2,"?ACTIVATED",IF(J799&lt;&gt;"","?FAMILIAR",IF(F799="NEW",IF(ISNA(VLOOKUP(E799,#REF!,1,FALSE())),"?TYPE_IDENTIFIABLE","?REFERENTIAL"),"_")))))</f>
        <v/>
      </c>
      <c r="H799" s="12" t="str">
        <f aca="false">IF(J799&lt;&gt;1,"",IF(I799="SBJ","CB","?"))</f>
        <v/>
      </c>
      <c r="I799" s="13" t="str">
        <f aca="false">IF(OR(E799="",E799="!!!",F799="NEW"),"",INDEX(B$2:B798,-1+SUMPRODUCT(MAX(ROW(E$2:E798)*(E799=E$2:E798)))))</f>
        <v/>
      </c>
      <c r="J799" s="14" t="str">
        <f aca="true">IF(OR(E799="",E799="!!!",F799="NEW"),"",COUNTBLANK(OFFSET(A$1,,,SUMPRODUCT(MAX(ROW(E$2:E799)*(E799=E$2:E799)))))-COUNTBLANK(OFFSET(A$1,,,SUMPRODUCT(MAX(ROW(E$1:E798)*(E799=E$1:E798))))))</f>
        <v/>
      </c>
      <c r="K799" s="14" t="str">
        <f aca="false">IF(OR(E799="",E799="!!!",F799="NEW"),"",INDEX(J$1:J798,SUMPRODUCT(MAX(ROW(E$1:E798)*(E799=E$1:E798)))))</f>
        <v/>
      </c>
      <c r="L799" s="15"/>
    </row>
    <row r="800" customFormat="false" ht="12.75" hidden="false" customHeight="false" outlineLevel="0" collapsed="false">
      <c r="E800" s="9" t="str">
        <f aca="false">IF(D800="?OLD","!!!","")</f>
        <v/>
      </c>
      <c r="F800" s="10" t="str">
        <f aca="false">IF(OR(E800="",E800="!!!"),"",IF(NOT(ISNA(VLOOKUP(E800,E$1:E799,1,FALSE()))),"OLD",IF(AND(E800&lt;&gt;"",E800&lt;&gt;"!!!"),"NEW","")))</f>
        <v/>
      </c>
      <c r="G800" s="11" t="str">
        <f aca="false">IF(OR(E800="",E800="!!!"),"",IF(OR(J800=0,AND(J800=1,K800=1),AND(J800=1,I800="SBJ"),AND(J800=1,I800=0)),"?IN_FOCUS",IF(J800&lt;=2,"?ACTIVATED",IF(J800&lt;&gt;"","?FAMILIAR",IF(F800="NEW",IF(ISNA(VLOOKUP(E800,#REF!,1,FALSE())),"?TYPE_IDENTIFIABLE","?REFERENTIAL"),"_")))))</f>
        <v/>
      </c>
      <c r="H800" s="12" t="str">
        <f aca="false">IF(J800&lt;&gt;1,"",IF(I800="SBJ","CB","?"))</f>
        <v/>
      </c>
      <c r="I800" s="13" t="str">
        <f aca="false">IF(OR(E800="",E800="!!!",F800="NEW"),"",INDEX(B$2:B799,-1+SUMPRODUCT(MAX(ROW(E$2:E799)*(E800=E$2:E799)))))</f>
        <v/>
      </c>
      <c r="J800" s="14" t="str">
        <f aca="true">IF(OR(E800="",E800="!!!",F800="NEW"),"",COUNTBLANK(OFFSET(A$1,,,SUMPRODUCT(MAX(ROW(E$2:E800)*(E800=E$2:E800)))))-COUNTBLANK(OFFSET(A$1,,,SUMPRODUCT(MAX(ROW(E$1:E799)*(E800=E$1:E799))))))</f>
        <v/>
      </c>
      <c r="K800" s="14" t="str">
        <f aca="false">IF(OR(E800="",E800="!!!",F800="NEW"),"",INDEX(J$1:J799,SUMPRODUCT(MAX(ROW(E$1:E799)*(E800=E$1:E799)))))</f>
        <v/>
      </c>
      <c r="L800" s="15"/>
    </row>
    <row r="801" customFormat="false" ht="12.75" hidden="false" customHeight="false" outlineLevel="0" collapsed="false">
      <c r="A801" s="0" t="s">
        <v>441</v>
      </c>
      <c r="E801" s="9" t="str">
        <f aca="false">IF(D801="?OLD","!!!","")</f>
        <v/>
      </c>
      <c r="F801" s="10" t="str">
        <f aca="false">IF(OR(E801="",E801="!!!"),"",IF(NOT(ISNA(VLOOKUP(E801,E$1:E800,1,FALSE()))),"OLD",IF(AND(E801&lt;&gt;"",E801&lt;&gt;"!!!"),"NEW","")))</f>
        <v/>
      </c>
      <c r="G801" s="11" t="str">
        <f aca="false">IF(OR(E801="",E801="!!!"),"",IF(OR(J801=0,AND(J801=1,K801=1),AND(J801=1,I801="SBJ"),AND(J801=1,I801=0)),"?IN_FOCUS",IF(J801&lt;=2,"?ACTIVATED",IF(J801&lt;&gt;"","?FAMILIAR",IF(F801="NEW",IF(ISNA(VLOOKUP(E801,#REF!,1,FALSE())),"?TYPE_IDENTIFIABLE","?REFERENTIAL"),"_")))))</f>
        <v/>
      </c>
      <c r="H801" s="12" t="str">
        <f aca="false">IF(J801&lt;&gt;1,"",IF(I801="SBJ","CB","?"))</f>
        <v/>
      </c>
      <c r="I801" s="13" t="str">
        <f aca="false">IF(OR(E801="",E801="!!!",F801="NEW"),"",INDEX(B$2:B800,-1+SUMPRODUCT(MAX(ROW(E$2:E800)*(E801=E$2:E800)))))</f>
        <v/>
      </c>
      <c r="J801" s="14" t="str">
        <f aca="true">IF(OR(E801="",E801="!!!",F801="NEW"),"",COUNTBLANK(OFFSET(A$1,,,SUMPRODUCT(MAX(ROW(E$2:E801)*(E801=E$2:E801)))))-COUNTBLANK(OFFSET(A$1,,,SUMPRODUCT(MAX(ROW(E$1:E800)*(E801=E$1:E800))))))</f>
        <v/>
      </c>
      <c r="K801" s="14" t="str">
        <f aca="false">IF(OR(E801="",E801="!!!",F801="NEW"),"",INDEX(J$1:J800,SUMPRODUCT(MAX(ROW(E$1:E800)*(E801=E$1:E800)))))</f>
        <v/>
      </c>
      <c r="L801" s="15"/>
    </row>
    <row r="802" customFormat="false" ht="12.75" hidden="false" customHeight="false" outlineLevel="0" collapsed="false">
      <c r="A802" s="0" t="s">
        <v>442</v>
      </c>
      <c r="E802" s="9" t="str">
        <f aca="false">IF(D802="?OLD","!!!","")</f>
        <v/>
      </c>
      <c r="F802" s="10" t="str">
        <f aca="false">IF(OR(E802="",E802="!!!"),"",IF(NOT(ISNA(VLOOKUP(E802,E$1:E801,1,FALSE()))),"OLD",IF(AND(E802&lt;&gt;"",E802&lt;&gt;"!!!"),"NEW","")))</f>
        <v/>
      </c>
      <c r="G802" s="11" t="str">
        <f aca="false">IF(OR(E802="",E802="!!!"),"",IF(OR(J802=0,AND(J802=1,K802=1),AND(J802=1,I802="SBJ"),AND(J802=1,I802=0)),"?IN_FOCUS",IF(J802&lt;=2,"?ACTIVATED",IF(J802&lt;&gt;"","?FAMILIAR",IF(F802="NEW",IF(ISNA(VLOOKUP(E802,#REF!,1,FALSE())),"?TYPE_IDENTIFIABLE","?REFERENTIAL"),"_")))))</f>
        <v/>
      </c>
      <c r="H802" s="12" t="str">
        <f aca="false">IF(J802&lt;&gt;1,"",IF(I802="SBJ","CB","?"))</f>
        <v/>
      </c>
      <c r="I802" s="13" t="str">
        <f aca="false">IF(OR(E802="",E802="!!!",F802="NEW"),"",INDEX(B$2:B801,-1+SUMPRODUCT(MAX(ROW(E$2:E801)*(E802=E$2:E801)))))</f>
        <v/>
      </c>
      <c r="J802" s="14" t="str">
        <f aca="true">IF(OR(E802="",E802="!!!",F802="NEW"),"",COUNTBLANK(OFFSET(A$1,,,SUMPRODUCT(MAX(ROW(E$2:E802)*(E802=E$2:E802)))))-COUNTBLANK(OFFSET(A$1,,,SUMPRODUCT(MAX(ROW(E$1:E801)*(E802=E$1:E801))))))</f>
        <v/>
      </c>
      <c r="K802" s="14" t="str">
        <f aca="false">IF(OR(E802="",E802="!!!",F802="NEW"),"",INDEX(J$1:J801,SUMPRODUCT(MAX(ROW(E$1:E801)*(E802=E$1:E801)))))</f>
        <v/>
      </c>
      <c r="L802" s="15"/>
    </row>
    <row r="803" customFormat="false" ht="12.75" hidden="false" customHeight="false" outlineLevel="0" collapsed="false">
      <c r="A803" s="0" t="s">
        <v>136</v>
      </c>
      <c r="E803" s="9" t="str">
        <f aca="false">IF(D803="?OLD","!!!","")</f>
        <v/>
      </c>
      <c r="F803" s="10" t="str">
        <f aca="false">IF(OR(E803="",E803="!!!"),"",IF(NOT(ISNA(VLOOKUP(E803,E$1:E802,1,FALSE()))),"OLD",IF(AND(E803&lt;&gt;"",E803&lt;&gt;"!!!"),"NEW","")))</f>
        <v/>
      </c>
      <c r="G803" s="11" t="str">
        <f aca="false">IF(OR(E803="",E803="!!!"),"",IF(OR(J803=0,AND(J803=1,K803=1),AND(J803=1,I803="SBJ"),AND(J803=1,I803=0)),"?IN_FOCUS",IF(J803&lt;=2,"?ACTIVATED",IF(J803&lt;&gt;"","?FAMILIAR",IF(F803="NEW",IF(ISNA(VLOOKUP(E803,#REF!,1,FALSE())),"?TYPE_IDENTIFIABLE","?REFERENTIAL"),"_")))))</f>
        <v/>
      </c>
      <c r="H803" s="12" t="str">
        <f aca="false">IF(J803&lt;&gt;1,"",IF(I803="SBJ","CB","?"))</f>
        <v/>
      </c>
      <c r="I803" s="13" t="str">
        <f aca="false">IF(OR(E803="",E803="!!!",F803="NEW"),"",INDEX(B$2:B802,-1+SUMPRODUCT(MAX(ROW(E$2:E802)*(E803=E$2:E802)))))</f>
        <v/>
      </c>
      <c r="J803" s="14" t="str">
        <f aca="true">IF(OR(E803="",E803="!!!",F803="NEW"),"",COUNTBLANK(OFFSET(A$1,,,SUMPRODUCT(MAX(ROW(E$2:E803)*(E803=E$2:E803)))))-COUNTBLANK(OFFSET(A$1,,,SUMPRODUCT(MAX(ROW(E$1:E802)*(E803=E$1:E802))))))</f>
        <v/>
      </c>
      <c r="K803" s="14" t="str">
        <f aca="false">IF(OR(E803="",E803="!!!",F803="NEW"),"",INDEX(J$1:J802,SUMPRODUCT(MAX(ROW(E$1:E802)*(E803=E$1:E802)))))</f>
        <v/>
      </c>
      <c r="L803" s="15"/>
    </row>
    <row r="804" customFormat="false" ht="12.75" hidden="false" customHeight="false" outlineLevel="0" collapsed="false">
      <c r="A804" s="0" t="s">
        <v>36</v>
      </c>
      <c r="B804" s="0" t="s">
        <v>42</v>
      </c>
      <c r="C804" s="0" t="s">
        <v>38</v>
      </c>
      <c r="D804" s="0" t="s">
        <v>29</v>
      </c>
      <c r="E804" s="9" t="str">
        <f aca="false">IF(D804="?OLD","!!!","")</f>
        <v>!!!</v>
      </c>
      <c r="F804" s="10" t="str">
        <f aca="false">IF(OR(E804="",E804="!!!"),"",IF(NOT(ISNA(VLOOKUP(E804,E$1:E803,1,FALSE()))),"OLD",IF(AND(E804&lt;&gt;"",E804&lt;&gt;"!!!"),"NEW","")))</f>
        <v/>
      </c>
      <c r="G804" s="11" t="str">
        <f aca="false">IF(OR(E804="",E804="!!!"),"",IF(OR(J804=0,AND(J804=1,K804=1),AND(J804=1,I804="SBJ"),AND(J804=1,I804=0)),"?IN_FOCUS",IF(J804&lt;=2,"?ACTIVATED",IF(J804&lt;&gt;"","?FAMILIAR",IF(F804="NEW",IF(ISNA(VLOOKUP(E804,#REF!,1,FALSE())),"?TYPE_IDENTIFIABLE","?REFERENTIAL"),"_")))))</f>
        <v/>
      </c>
      <c r="H804" s="12" t="str">
        <f aca="false">IF(J804&lt;&gt;1,"",IF(I804="SBJ","CB","?"))</f>
        <v/>
      </c>
      <c r="I804" s="13" t="str">
        <f aca="false">IF(OR(E804="",E804="!!!",F804="NEW"),"",INDEX(B$2:B803,-1+SUMPRODUCT(MAX(ROW(E$2:E803)*(E804=E$2:E803)))))</f>
        <v/>
      </c>
      <c r="J804" s="14" t="str">
        <f aca="true">IF(OR(E804="",E804="!!!",F804="NEW"),"",COUNTBLANK(OFFSET(A$1,,,SUMPRODUCT(MAX(ROW(E$2:E804)*(E804=E$2:E804)))))-COUNTBLANK(OFFSET(A$1,,,SUMPRODUCT(MAX(ROW(E$1:E803)*(E804=E$1:E803))))))</f>
        <v/>
      </c>
      <c r="K804" s="14" t="str">
        <f aca="false">IF(OR(E804="",E804="!!!",F804="NEW"),"",INDEX(J$1:J803,SUMPRODUCT(MAX(ROW(E$1:E803)*(E804=E$1:E803)))))</f>
        <v/>
      </c>
      <c r="L804" s="15"/>
    </row>
    <row r="805" customFormat="false" ht="12.75" hidden="false" customHeight="false" outlineLevel="0" collapsed="false">
      <c r="A805" s="0" t="s">
        <v>443</v>
      </c>
      <c r="E805" s="9" t="str">
        <f aca="false">IF(D805="?OLD","!!!","")</f>
        <v/>
      </c>
      <c r="F805" s="10" t="str">
        <f aca="false">IF(OR(E805="",E805="!!!"),"",IF(NOT(ISNA(VLOOKUP(E805,E$1:E804,1,FALSE()))),"OLD",IF(AND(E805&lt;&gt;"",E805&lt;&gt;"!!!"),"NEW","")))</f>
        <v/>
      </c>
      <c r="G805" s="11" t="str">
        <f aca="false">IF(OR(E805="",E805="!!!"),"",IF(OR(J805=0,AND(J805=1,K805=1),AND(J805=1,I805="SBJ"),AND(J805=1,I805=0)),"?IN_FOCUS",IF(J805&lt;=2,"?ACTIVATED",IF(J805&lt;&gt;"","?FAMILIAR",IF(F805="NEW",IF(ISNA(VLOOKUP(E805,#REF!,1,FALSE())),"?TYPE_IDENTIFIABLE","?REFERENTIAL"),"_")))))</f>
        <v/>
      </c>
      <c r="H805" s="12" t="str">
        <f aca="false">IF(J805&lt;&gt;1,"",IF(I805="SBJ","CB","?"))</f>
        <v/>
      </c>
      <c r="I805" s="13" t="str">
        <f aca="false">IF(OR(E805="",E805="!!!",F805="NEW"),"",INDEX(B$2:B804,-1+SUMPRODUCT(MAX(ROW(E$2:E804)*(E805=E$2:E804)))))</f>
        <v/>
      </c>
      <c r="J805" s="14" t="str">
        <f aca="true">IF(OR(E805="",E805="!!!",F805="NEW"),"",COUNTBLANK(OFFSET(A$1,,,SUMPRODUCT(MAX(ROW(E$2:E805)*(E805=E$2:E805)))))-COUNTBLANK(OFFSET(A$1,,,SUMPRODUCT(MAX(ROW(E$1:E804)*(E805=E$1:E804))))))</f>
        <v/>
      </c>
      <c r="K805" s="14" t="str">
        <f aca="false">IF(OR(E805="",E805="!!!",F805="NEW"),"",INDEX(J$1:J804,SUMPRODUCT(MAX(ROW(E$1:E804)*(E805=E$1:E804)))))</f>
        <v/>
      </c>
      <c r="L805" s="15"/>
    </row>
    <row r="806" customFormat="false" ht="12.75" hidden="false" customHeight="false" outlineLevel="0" collapsed="false">
      <c r="A806" s="0" t="s">
        <v>444</v>
      </c>
      <c r="B806" s="0" t="s">
        <v>62</v>
      </c>
      <c r="C806" s="0" t="s">
        <v>120</v>
      </c>
      <c r="E806" s="9" t="str">
        <f aca="false">IF(D806="?OLD","!!!","")</f>
        <v/>
      </c>
      <c r="F806" s="10" t="str">
        <f aca="false">IF(OR(E806="",E806="!!!"),"",IF(NOT(ISNA(VLOOKUP(E806,E$1:E805,1,FALSE()))),"OLD",IF(AND(E806&lt;&gt;"",E806&lt;&gt;"!!!"),"NEW","")))</f>
        <v/>
      </c>
      <c r="G806" s="11" t="str">
        <f aca="false">IF(OR(E806="",E806="!!!"),"",IF(OR(J806=0,AND(J806=1,K806=1),AND(J806=1,I806="SBJ"),AND(J806=1,I806=0)),"?IN_FOCUS",IF(J806&lt;=2,"?ACTIVATED",IF(J806&lt;&gt;"","?FAMILIAR",IF(F806="NEW",IF(ISNA(VLOOKUP(E806,#REF!,1,FALSE())),"?TYPE_IDENTIFIABLE","?REFERENTIAL"),"_")))))</f>
        <v/>
      </c>
      <c r="H806" s="12" t="str">
        <f aca="false">IF(J806&lt;&gt;1,"",IF(I806="SBJ","CB","?"))</f>
        <v/>
      </c>
      <c r="I806" s="13" t="str">
        <f aca="false">IF(OR(E806="",E806="!!!",F806="NEW"),"",INDEX(B$2:B805,-1+SUMPRODUCT(MAX(ROW(E$2:E805)*(E806=E$2:E805)))))</f>
        <v/>
      </c>
      <c r="J806" s="14" t="str">
        <f aca="true">IF(OR(E806="",E806="!!!",F806="NEW"),"",COUNTBLANK(OFFSET(A$1,,,SUMPRODUCT(MAX(ROW(E$2:E806)*(E806=E$2:E806)))))-COUNTBLANK(OFFSET(A$1,,,SUMPRODUCT(MAX(ROW(E$1:E805)*(E806=E$1:E805))))))</f>
        <v/>
      </c>
      <c r="K806" s="14" t="str">
        <f aca="false">IF(OR(E806="",E806="!!!",F806="NEW"),"",INDEX(J$1:J805,SUMPRODUCT(MAX(ROW(E$1:E805)*(E806=E$1:E805)))))</f>
        <v/>
      </c>
      <c r="L806" s="15"/>
    </row>
    <row r="807" customFormat="false" ht="12.75" hidden="false" customHeight="false" outlineLevel="0" collapsed="false">
      <c r="A807" s="0" t="s">
        <v>122</v>
      </c>
      <c r="B807" s="0" t="s">
        <v>47</v>
      </c>
      <c r="C807" s="0" t="s">
        <v>38</v>
      </c>
      <c r="D807" s="0" t="s">
        <v>29</v>
      </c>
      <c r="E807" s="9" t="str">
        <f aca="false">IF(D807="?OLD","!!!","")</f>
        <v>!!!</v>
      </c>
      <c r="F807" s="10" t="str">
        <f aca="false">IF(OR(E807="",E807="!!!"),"",IF(NOT(ISNA(VLOOKUP(E807,E$1:E806,1,FALSE()))),"OLD",IF(AND(E807&lt;&gt;"",E807&lt;&gt;"!!!"),"NEW","")))</f>
        <v/>
      </c>
      <c r="G807" s="11" t="str">
        <f aca="false">IF(OR(E807="",E807="!!!"),"",IF(OR(J807=0,AND(J807=1,K807=1),AND(J807=1,I807="SBJ"),AND(J807=1,I807=0)),"?IN_FOCUS",IF(J807&lt;=2,"?ACTIVATED",IF(J807&lt;&gt;"","?FAMILIAR",IF(F807="NEW",IF(ISNA(VLOOKUP(E807,#REF!,1,FALSE())),"?TYPE_IDENTIFIABLE","?REFERENTIAL"),"_")))))</f>
        <v/>
      </c>
      <c r="H807" s="12" t="str">
        <f aca="false">IF(J807&lt;&gt;1,"",IF(I807="SBJ","CB","?"))</f>
        <v/>
      </c>
      <c r="I807" s="13" t="str">
        <f aca="false">IF(OR(E807="",E807="!!!",F807="NEW"),"",INDEX(B$2:B806,-1+SUMPRODUCT(MAX(ROW(E$2:E806)*(E807=E$2:E806)))))</f>
        <v/>
      </c>
      <c r="J807" s="14" t="str">
        <f aca="true">IF(OR(E807="",E807="!!!",F807="NEW"),"",COUNTBLANK(OFFSET(A$1,,,SUMPRODUCT(MAX(ROW(E$2:E807)*(E807=E$2:E807)))))-COUNTBLANK(OFFSET(A$1,,,SUMPRODUCT(MAX(ROW(E$1:E806)*(E807=E$1:E806))))))</f>
        <v/>
      </c>
      <c r="K807" s="14" t="str">
        <f aca="false">IF(OR(E807="",E807="!!!",F807="NEW"),"",INDEX(J$1:J806,SUMPRODUCT(MAX(ROW(E$1:E806)*(E807=E$1:E806)))))</f>
        <v/>
      </c>
      <c r="L807" s="15"/>
    </row>
    <row r="808" customFormat="false" ht="12.75" hidden="false" customHeight="false" outlineLevel="0" collapsed="false">
      <c r="A808" s="0" t="s">
        <v>445</v>
      </c>
      <c r="E808" s="9" t="str">
        <f aca="false">IF(D808="?OLD","!!!","")</f>
        <v/>
      </c>
      <c r="F808" s="10" t="str">
        <f aca="false">IF(OR(E808="",E808="!!!"),"",IF(NOT(ISNA(VLOOKUP(E808,E$1:E807,1,FALSE()))),"OLD",IF(AND(E808&lt;&gt;"",E808&lt;&gt;"!!!"),"NEW","")))</f>
        <v/>
      </c>
      <c r="G808" s="11" t="str">
        <f aca="false">IF(OR(E808="",E808="!!!"),"",IF(OR(J808=0,AND(J808=1,K808=1),AND(J808=1,I808="SBJ"),AND(J808=1,I808=0)),"?IN_FOCUS",IF(J808&lt;=2,"?ACTIVATED",IF(J808&lt;&gt;"","?FAMILIAR",IF(F808="NEW",IF(ISNA(VLOOKUP(E808,#REF!,1,FALSE())),"?TYPE_IDENTIFIABLE","?REFERENTIAL"),"_")))))</f>
        <v/>
      </c>
      <c r="H808" s="12" t="str">
        <f aca="false">IF(J808&lt;&gt;1,"",IF(I808="SBJ","CB","?"))</f>
        <v/>
      </c>
      <c r="I808" s="13" t="str">
        <f aca="false">IF(OR(E808="",E808="!!!",F808="NEW"),"",INDEX(B$2:B807,-1+SUMPRODUCT(MAX(ROW(E$2:E807)*(E808=E$2:E807)))))</f>
        <v/>
      </c>
      <c r="J808" s="14" t="str">
        <f aca="true">IF(OR(E808="",E808="!!!",F808="NEW"),"",COUNTBLANK(OFFSET(A$1,,,SUMPRODUCT(MAX(ROW(E$2:E808)*(E808=E$2:E808)))))-COUNTBLANK(OFFSET(A$1,,,SUMPRODUCT(MAX(ROW(E$1:E807)*(E808=E$1:E807))))))</f>
        <v/>
      </c>
      <c r="K808" s="14" t="str">
        <f aca="false">IF(OR(E808="",E808="!!!",F808="NEW"),"",INDEX(J$1:J807,SUMPRODUCT(MAX(ROW(E$1:E807)*(E808=E$1:E807)))))</f>
        <v/>
      </c>
      <c r="L808" s="15"/>
    </row>
    <row r="809" customFormat="false" ht="12.75" hidden="false" customHeight="false" outlineLevel="0" collapsed="false">
      <c r="A809" s="0" t="s">
        <v>40</v>
      </c>
      <c r="E809" s="9" t="str">
        <f aca="false">IF(D809="?OLD","!!!","")</f>
        <v/>
      </c>
      <c r="F809" s="10" t="str">
        <f aca="false">IF(OR(E809="",E809="!!!"),"",IF(NOT(ISNA(VLOOKUP(E809,E$1:E808,1,FALSE()))),"OLD",IF(AND(E809&lt;&gt;"",E809&lt;&gt;"!!!"),"NEW","")))</f>
        <v/>
      </c>
      <c r="G809" s="11" t="str">
        <f aca="false">IF(OR(E809="",E809="!!!"),"",IF(OR(J809=0,AND(J809=1,K809=1),AND(J809=1,I809="SBJ"),AND(J809=1,I809=0)),"?IN_FOCUS",IF(J809&lt;=2,"?ACTIVATED",IF(J809&lt;&gt;"","?FAMILIAR",IF(F809="NEW",IF(ISNA(VLOOKUP(E809,#REF!,1,FALSE())),"?TYPE_IDENTIFIABLE","?REFERENTIAL"),"_")))))</f>
        <v/>
      </c>
      <c r="H809" s="12" t="str">
        <f aca="false">IF(J809&lt;&gt;1,"",IF(I809="SBJ","CB","?"))</f>
        <v/>
      </c>
      <c r="I809" s="13" t="str">
        <f aca="false">IF(OR(E809="",E809="!!!",F809="NEW"),"",INDEX(B$2:B808,-1+SUMPRODUCT(MAX(ROW(E$2:E808)*(E809=E$2:E808)))))</f>
        <v/>
      </c>
      <c r="J809" s="14" t="str">
        <f aca="true">IF(OR(E809="",E809="!!!",F809="NEW"),"",COUNTBLANK(OFFSET(A$1,,,SUMPRODUCT(MAX(ROW(E$2:E809)*(E809=E$2:E809)))))-COUNTBLANK(OFFSET(A$1,,,SUMPRODUCT(MAX(ROW(E$1:E808)*(E809=E$1:E808))))))</f>
        <v/>
      </c>
      <c r="K809" s="14" t="str">
        <f aca="false">IF(OR(E809="",E809="!!!",F809="NEW"),"",INDEX(J$1:J808,SUMPRODUCT(MAX(ROW(E$1:E808)*(E809=E$1:E808)))))</f>
        <v/>
      </c>
      <c r="L809" s="15"/>
    </row>
    <row r="810" customFormat="false" ht="12.75" hidden="false" customHeight="false" outlineLevel="0" collapsed="false">
      <c r="A810" s="0" t="s">
        <v>446</v>
      </c>
      <c r="E810" s="9" t="str">
        <f aca="false">IF(D810="?OLD","!!!","")</f>
        <v/>
      </c>
      <c r="F810" s="10" t="str">
        <f aca="false">IF(OR(E810="",E810="!!!"),"",IF(NOT(ISNA(VLOOKUP(E810,E$1:E809,1,FALSE()))),"OLD",IF(AND(E810&lt;&gt;"",E810&lt;&gt;"!!!"),"NEW","")))</f>
        <v/>
      </c>
      <c r="G810" s="11" t="str">
        <f aca="false">IF(OR(E810="",E810="!!!"),"",IF(OR(J810=0,AND(J810=1,K810=1),AND(J810=1,I810="SBJ"),AND(J810=1,I810=0)),"?IN_FOCUS",IF(J810&lt;=2,"?ACTIVATED",IF(J810&lt;&gt;"","?FAMILIAR",IF(F810="NEW",IF(ISNA(VLOOKUP(E810,#REF!,1,FALSE())),"?TYPE_IDENTIFIABLE","?REFERENTIAL"),"_")))))</f>
        <v/>
      </c>
      <c r="H810" s="12" t="str">
        <f aca="false">IF(J810&lt;&gt;1,"",IF(I810="SBJ","CB","?"))</f>
        <v/>
      </c>
      <c r="I810" s="13" t="str">
        <f aca="false">IF(OR(E810="",E810="!!!",F810="NEW"),"",INDEX(B$2:B809,-1+SUMPRODUCT(MAX(ROW(E$2:E809)*(E810=E$2:E809)))))</f>
        <v/>
      </c>
      <c r="J810" s="14" t="str">
        <f aca="true">IF(OR(E810="",E810="!!!",F810="NEW"),"",COUNTBLANK(OFFSET(A$1,,,SUMPRODUCT(MAX(ROW(E$2:E810)*(E810=E$2:E810)))))-COUNTBLANK(OFFSET(A$1,,,SUMPRODUCT(MAX(ROW(E$1:E809)*(E810=E$1:E809))))))</f>
        <v/>
      </c>
      <c r="K810" s="14" t="str">
        <f aca="false">IF(OR(E810="",E810="!!!",F810="NEW"),"",INDEX(J$1:J809,SUMPRODUCT(MAX(ROW(E$1:E809)*(E810=E$1:E809)))))</f>
        <v/>
      </c>
      <c r="L810" s="15"/>
    </row>
    <row r="811" customFormat="false" ht="12.75" hidden="false" customHeight="false" outlineLevel="0" collapsed="false">
      <c r="A811" s="0" t="s">
        <v>447</v>
      </c>
      <c r="B811" s="0" t="s">
        <v>107</v>
      </c>
      <c r="C811" s="0" t="s">
        <v>43</v>
      </c>
      <c r="E811" s="9" t="str">
        <f aca="false">IF(D811="?OLD","!!!","")</f>
        <v/>
      </c>
      <c r="F811" s="10" t="str">
        <f aca="false">IF(OR(E811="",E811="!!!"),"",IF(NOT(ISNA(VLOOKUP(E811,E$1:E810,1,FALSE()))),"OLD",IF(AND(E811&lt;&gt;"",E811&lt;&gt;"!!!"),"NEW","")))</f>
        <v/>
      </c>
      <c r="G811" s="11" t="str">
        <f aca="false">IF(OR(E811="",E811="!!!"),"",IF(OR(J811=0,AND(J811=1,K811=1),AND(J811=1,I811="SBJ"),AND(J811=1,I811=0)),"?IN_FOCUS",IF(J811&lt;=2,"?ACTIVATED",IF(J811&lt;&gt;"","?FAMILIAR",IF(F811="NEW",IF(ISNA(VLOOKUP(E811,#REF!,1,FALSE())),"?TYPE_IDENTIFIABLE","?REFERENTIAL"),"_")))))</f>
        <v/>
      </c>
      <c r="H811" s="12" t="str">
        <f aca="false">IF(J811&lt;&gt;1,"",IF(I811="SBJ","CB","?"))</f>
        <v/>
      </c>
      <c r="I811" s="13" t="str">
        <f aca="false">IF(OR(E811="",E811="!!!",F811="NEW"),"",INDEX(B$2:B810,-1+SUMPRODUCT(MAX(ROW(E$2:E810)*(E811=E$2:E810)))))</f>
        <v/>
      </c>
      <c r="J811" s="14" t="str">
        <f aca="true">IF(OR(E811="",E811="!!!",F811="NEW"),"",COUNTBLANK(OFFSET(A$1,,,SUMPRODUCT(MAX(ROW(E$2:E811)*(E811=E$2:E811)))))-COUNTBLANK(OFFSET(A$1,,,SUMPRODUCT(MAX(ROW(E$1:E810)*(E811=E$1:E810))))))</f>
        <v/>
      </c>
      <c r="K811" s="14" t="str">
        <f aca="false">IF(OR(E811="",E811="!!!",F811="NEW"),"",INDEX(J$1:J810,SUMPRODUCT(MAX(ROW(E$1:E810)*(E811=E$1:E810)))))</f>
        <v/>
      </c>
      <c r="L811" s="15"/>
    </row>
    <row r="812" customFormat="false" ht="12.75" hidden="false" customHeight="false" outlineLevel="0" collapsed="false">
      <c r="A812" s="0" t="s">
        <v>122</v>
      </c>
      <c r="B812" s="0" t="s">
        <v>330</v>
      </c>
      <c r="C812" s="0" t="s">
        <v>38</v>
      </c>
      <c r="D812" s="0" t="s">
        <v>29</v>
      </c>
      <c r="E812" s="9" t="str">
        <f aca="false">IF(D812="?OLD","!!!","")</f>
        <v>!!!</v>
      </c>
      <c r="F812" s="10" t="str">
        <f aca="false">IF(OR(E812="",E812="!!!"),"",IF(NOT(ISNA(VLOOKUP(E812,E$1:E811,1,FALSE()))),"OLD",IF(AND(E812&lt;&gt;"",E812&lt;&gt;"!!!"),"NEW","")))</f>
        <v/>
      </c>
      <c r="G812" s="11" t="str">
        <f aca="false">IF(OR(E812="",E812="!!!"),"",IF(OR(J812=0,AND(J812=1,K812=1),AND(J812=1,I812="SBJ"),AND(J812=1,I812=0)),"?IN_FOCUS",IF(J812&lt;=2,"?ACTIVATED",IF(J812&lt;&gt;"","?FAMILIAR",IF(F812="NEW",IF(ISNA(VLOOKUP(E812,#REF!,1,FALSE())),"?TYPE_IDENTIFIABLE","?REFERENTIAL"),"_")))))</f>
        <v/>
      </c>
      <c r="H812" s="12" t="str">
        <f aca="false">IF(J812&lt;&gt;1,"",IF(I812="SBJ","CB","?"))</f>
        <v/>
      </c>
      <c r="I812" s="13" t="str">
        <f aca="false">IF(OR(E812="",E812="!!!",F812="NEW"),"",INDEX(B$2:B811,-1+SUMPRODUCT(MAX(ROW(E$2:E811)*(E812=E$2:E811)))))</f>
        <v/>
      </c>
      <c r="J812" s="14" t="str">
        <f aca="true">IF(OR(E812="",E812="!!!",F812="NEW"),"",COUNTBLANK(OFFSET(A$1,,,SUMPRODUCT(MAX(ROW(E$2:E812)*(E812=E$2:E812)))))-COUNTBLANK(OFFSET(A$1,,,SUMPRODUCT(MAX(ROW(E$1:E811)*(E812=E$1:E811))))))</f>
        <v/>
      </c>
      <c r="K812" s="14" t="str">
        <f aca="false">IF(OR(E812="",E812="!!!",F812="NEW"),"",INDEX(J$1:J811,SUMPRODUCT(MAX(ROW(E$1:E811)*(E812=E$1:E811)))))</f>
        <v/>
      </c>
      <c r="L812" s="15"/>
    </row>
    <row r="813" customFormat="false" ht="12.75" hidden="false" customHeight="false" outlineLevel="0" collapsed="false">
      <c r="A813" s="0" t="s">
        <v>158</v>
      </c>
      <c r="E813" s="9" t="str">
        <f aca="false">IF(D813="?OLD","!!!","")</f>
        <v/>
      </c>
      <c r="F813" s="10" t="str">
        <f aca="false">IF(OR(E813="",E813="!!!"),"",IF(NOT(ISNA(VLOOKUP(E813,E$1:E812,1,FALSE()))),"OLD",IF(AND(E813&lt;&gt;"",E813&lt;&gt;"!!!"),"NEW","")))</f>
        <v/>
      </c>
      <c r="G813" s="11" t="str">
        <f aca="false">IF(OR(E813="",E813="!!!"),"",IF(OR(J813=0,AND(J813=1,K813=1),AND(J813=1,I813="SBJ"),AND(J813=1,I813=0)),"?IN_FOCUS",IF(J813&lt;=2,"?ACTIVATED",IF(J813&lt;&gt;"","?FAMILIAR",IF(F813="NEW",IF(ISNA(VLOOKUP(E813,#REF!,1,FALSE())),"?TYPE_IDENTIFIABLE","?REFERENTIAL"),"_")))))</f>
        <v/>
      </c>
      <c r="H813" s="12" t="str">
        <f aca="false">IF(J813&lt;&gt;1,"",IF(I813="SBJ","CB","?"))</f>
        <v/>
      </c>
      <c r="I813" s="13" t="str">
        <f aca="false">IF(OR(E813="",E813="!!!",F813="NEW"),"",INDEX(B$2:B812,-1+SUMPRODUCT(MAX(ROW(E$2:E812)*(E813=E$2:E812)))))</f>
        <v/>
      </c>
      <c r="J813" s="14" t="str">
        <f aca="true">IF(OR(E813="",E813="!!!",F813="NEW"),"",COUNTBLANK(OFFSET(A$1,,,SUMPRODUCT(MAX(ROW(E$2:E813)*(E813=E$2:E813)))))-COUNTBLANK(OFFSET(A$1,,,SUMPRODUCT(MAX(ROW(E$1:E812)*(E813=E$1:E812))))))</f>
        <v/>
      </c>
      <c r="K813" s="14" t="str">
        <f aca="false">IF(OR(E813="",E813="!!!",F813="NEW"),"",INDEX(J$1:J812,SUMPRODUCT(MAX(ROW(E$1:E812)*(E813=E$1:E812)))))</f>
        <v/>
      </c>
      <c r="L813" s="15"/>
    </row>
    <row r="814" customFormat="false" ht="12.75" hidden="false" customHeight="false" outlineLevel="0" collapsed="false">
      <c r="A814" s="0" t="s">
        <v>448</v>
      </c>
      <c r="E814" s="9" t="str">
        <f aca="false">IF(D814="?OLD","!!!","")</f>
        <v/>
      </c>
      <c r="F814" s="10" t="str">
        <f aca="false">IF(OR(E814="",E814="!!!"),"",IF(NOT(ISNA(VLOOKUP(E814,E$1:E813,1,FALSE()))),"OLD",IF(AND(E814&lt;&gt;"",E814&lt;&gt;"!!!"),"NEW","")))</f>
        <v/>
      </c>
      <c r="G814" s="11" t="str">
        <f aca="false">IF(OR(E814="",E814="!!!"),"",IF(OR(J814=0,AND(J814=1,K814=1),AND(J814=1,I814="SBJ"),AND(J814=1,I814=0)),"?IN_FOCUS",IF(J814&lt;=2,"?ACTIVATED",IF(J814&lt;&gt;"","?FAMILIAR",IF(F814="NEW",IF(ISNA(VLOOKUP(E814,#REF!,1,FALSE())),"?TYPE_IDENTIFIABLE","?REFERENTIAL"),"_")))))</f>
        <v/>
      </c>
      <c r="H814" s="12" t="str">
        <f aca="false">IF(J814&lt;&gt;1,"",IF(I814="SBJ","CB","?"))</f>
        <v/>
      </c>
      <c r="I814" s="13" t="str">
        <f aca="false">IF(OR(E814="",E814="!!!",F814="NEW"),"",INDEX(B$2:B813,-1+SUMPRODUCT(MAX(ROW(E$2:E813)*(E814=E$2:E813)))))</f>
        <v/>
      </c>
      <c r="J814" s="14" t="str">
        <f aca="true">IF(OR(E814="",E814="!!!",F814="NEW"),"",COUNTBLANK(OFFSET(A$1,,,SUMPRODUCT(MAX(ROW(E$2:E814)*(E814=E$2:E814)))))-COUNTBLANK(OFFSET(A$1,,,SUMPRODUCT(MAX(ROW(E$1:E813)*(E814=E$1:E813))))))</f>
        <v/>
      </c>
      <c r="K814" s="14" t="str">
        <f aca="false">IF(OR(E814="",E814="!!!",F814="NEW"),"",INDEX(J$1:J813,SUMPRODUCT(MAX(ROW(E$1:E813)*(E814=E$1:E813)))))</f>
        <v/>
      </c>
      <c r="L814" s="15"/>
    </row>
    <row r="815" customFormat="false" ht="12.75" hidden="false" customHeight="false" outlineLevel="0" collapsed="false">
      <c r="A815" s="0" t="s">
        <v>449</v>
      </c>
      <c r="E815" s="9" t="str">
        <f aca="false">IF(D815="?OLD","!!!","")</f>
        <v/>
      </c>
      <c r="F815" s="10" t="str">
        <f aca="false">IF(OR(E815="",E815="!!!"),"",IF(NOT(ISNA(VLOOKUP(E815,E$1:E814,1,FALSE()))),"OLD",IF(AND(E815&lt;&gt;"",E815&lt;&gt;"!!!"),"NEW","")))</f>
        <v/>
      </c>
      <c r="G815" s="11" t="str">
        <f aca="false">IF(OR(E815="",E815="!!!"),"",IF(OR(J815=0,AND(J815=1,K815=1),AND(J815=1,I815="SBJ"),AND(J815=1,I815=0)),"?IN_FOCUS",IF(J815&lt;=2,"?ACTIVATED",IF(J815&lt;&gt;"","?FAMILIAR",IF(F815="NEW",IF(ISNA(VLOOKUP(E815,#REF!,1,FALSE())),"?TYPE_IDENTIFIABLE","?REFERENTIAL"),"_")))))</f>
        <v/>
      </c>
      <c r="H815" s="12" t="str">
        <f aca="false">IF(J815&lt;&gt;1,"",IF(I815="SBJ","CB","?"))</f>
        <v/>
      </c>
      <c r="I815" s="13" t="str">
        <f aca="false">IF(OR(E815="",E815="!!!",F815="NEW"),"",INDEX(B$2:B814,-1+SUMPRODUCT(MAX(ROW(E$2:E814)*(E815=E$2:E814)))))</f>
        <v/>
      </c>
      <c r="J815" s="14" t="str">
        <f aca="true">IF(OR(E815="",E815="!!!",F815="NEW"),"",COUNTBLANK(OFFSET(A$1,,,SUMPRODUCT(MAX(ROW(E$2:E815)*(E815=E$2:E815)))))-COUNTBLANK(OFFSET(A$1,,,SUMPRODUCT(MAX(ROW(E$1:E814)*(E815=E$1:E814))))))</f>
        <v/>
      </c>
      <c r="K815" s="14" t="str">
        <f aca="false">IF(OR(E815="",E815="!!!",F815="NEW"),"",INDEX(J$1:J814,SUMPRODUCT(MAX(ROW(E$1:E814)*(E815=E$1:E814)))))</f>
        <v/>
      </c>
      <c r="L815" s="15"/>
    </row>
    <row r="816" customFormat="false" ht="12.75" hidden="false" customHeight="false" outlineLevel="0" collapsed="false">
      <c r="A816" s="0" t="s">
        <v>450</v>
      </c>
      <c r="E816" s="9" t="str">
        <f aca="false">IF(D816="?OLD","!!!","")</f>
        <v/>
      </c>
      <c r="F816" s="10" t="str">
        <f aca="false">IF(OR(E816="",E816="!!!"),"",IF(NOT(ISNA(VLOOKUP(E816,E$1:E815,1,FALSE()))),"OLD",IF(AND(E816&lt;&gt;"",E816&lt;&gt;"!!!"),"NEW","")))</f>
        <v/>
      </c>
      <c r="G816" s="11" t="str">
        <f aca="false">IF(OR(E816="",E816="!!!"),"",IF(OR(J816=0,AND(J816=1,K816=1),AND(J816=1,I816="SBJ"),AND(J816=1,I816=0)),"?IN_FOCUS",IF(J816&lt;=2,"?ACTIVATED",IF(J816&lt;&gt;"","?FAMILIAR",IF(F816="NEW",IF(ISNA(VLOOKUP(E816,#REF!,1,FALSE())),"?TYPE_IDENTIFIABLE","?REFERENTIAL"),"_")))))</f>
        <v/>
      </c>
      <c r="H816" s="12" t="str">
        <f aca="false">IF(J816&lt;&gt;1,"",IF(I816="SBJ","CB","?"))</f>
        <v/>
      </c>
      <c r="I816" s="13" t="str">
        <f aca="false">IF(OR(E816="",E816="!!!",F816="NEW"),"",INDEX(B$2:B815,-1+SUMPRODUCT(MAX(ROW(E$2:E815)*(E816=E$2:E815)))))</f>
        <v/>
      </c>
      <c r="J816" s="14" t="str">
        <f aca="true">IF(OR(E816="",E816="!!!",F816="NEW"),"",COUNTBLANK(OFFSET(A$1,,,SUMPRODUCT(MAX(ROW(E$2:E816)*(E816=E$2:E816)))))-COUNTBLANK(OFFSET(A$1,,,SUMPRODUCT(MAX(ROW(E$1:E815)*(E816=E$1:E815))))))</f>
        <v/>
      </c>
      <c r="K816" s="14" t="str">
        <f aca="false">IF(OR(E816="",E816="!!!",F816="NEW"),"",INDEX(J$1:J815,SUMPRODUCT(MAX(ROW(E$1:E815)*(E816=E$1:E815)))))</f>
        <v/>
      </c>
      <c r="L816" s="15"/>
    </row>
    <row r="817" customFormat="false" ht="12.75" hidden="false" customHeight="false" outlineLevel="0" collapsed="false">
      <c r="A817" s="0" t="s">
        <v>66</v>
      </c>
      <c r="E817" s="9" t="str">
        <f aca="false">IF(D817="?OLD","!!!","")</f>
        <v/>
      </c>
      <c r="F817" s="10" t="str">
        <f aca="false">IF(OR(E817="",E817="!!!"),"",IF(NOT(ISNA(VLOOKUP(E817,E$1:E816,1,FALSE()))),"OLD",IF(AND(E817&lt;&gt;"",E817&lt;&gt;"!!!"),"NEW","")))</f>
        <v/>
      </c>
      <c r="G817" s="11" t="str">
        <f aca="false">IF(OR(E817="",E817="!!!"),"",IF(OR(J817=0,AND(J817=1,K817=1),AND(J817=1,I817="SBJ"),AND(J817=1,I817=0)),"?IN_FOCUS",IF(J817&lt;=2,"?ACTIVATED",IF(J817&lt;&gt;"","?FAMILIAR",IF(F817="NEW",IF(ISNA(VLOOKUP(E817,#REF!,1,FALSE())),"?TYPE_IDENTIFIABLE","?REFERENTIAL"),"_")))))</f>
        <v/>
      </c>
      <c r="H817" s="12" t="str">
        <f aca="false">IF(J817&lt;&gt;1,"",IF(I817="SBJ","CB","?"))</f>
        <v/>
      </c>
      <c r="I817" s="13" t="str">
        <f aca="false">IF(OR(E817="",E817="!!!",F817="NEW"),"",INDEX(B$2:B816,-1+SUMPRODUCT(MAX(ROW(E$2:E816)*(E817=E$2:E816)))))</f>
        <v/>
      </c>
      <c r="J817" s="14" t="str">
        <f aca="true">IF(OR(E817="",E817="!!!",F817="NEW"),"",COUNTBLANK(OFFSET(A$1,,,SUMPRODUCT(MAX(ROW(E$2:E817)*(E817=E$2:E817)))))-COUNTBLANK(OFFSET(A$1,,,SUMPRODUCT(MAX(ROW(E$1:E816)*(E817=E$1:E816))))))</f>
        <v/>
      </c>
      <c r="K817" s="14" t="str">
        <f aca="false">IF(OR(E817="",E817="!!!",F817="NEW"),"",INDEX(J$1:J816,SUMPRODUCT(MAX(ROW(E$1:E816)*(E817=E$1:E816)))))</f>
        <v/>
      </c>
      <c r="L817" s="15"/>
    </row>
    <row r="818" customFormat="false" ht="12.75" hidden="false" customHeight="false" outlineLevel="0" collapsed="false">
      <c r="A818" s="0" t="s">
        <v>451</v>
      </c>
      <c r="E818" s="9" t="str">
        <f aca="false">IF(D818="?OLD","!!!","")</f>
        <v/>
      </c>
      <c r="F818" s="10" t="str">
        <f aca="false">IF(OR(E818="",E818="!!!"),"",IF(NOT(ISNA(VLOOKUP(E818,E$1:E817,1,FALSE()))),"OLD",IF(AND(E818&lt;&gt;"",E818&lt;&gt;"!!!"),"NEW","")))</f>
        <v/>
      </c>
      <c r="G818" s="11" t="str">
        <f aca="false">IF(OR(E818="",E818="!!!"),"",IF(OR(J818=0,AND(J818=1,K818=1),AND(J818=1,I818="SBJ"),AND(J818=1,I818=0)),"?IN_FOCUS",IF(J818&lt;=2,"?ACTIVATED",IF(J818&lt;&gt;"","?FAMILIAR",IF(F818="NEW",IF(ISNA(VLOOKUP(E818,#REF!,1,FALSE())),"?TYPE_IDENTIFIABLE","?REFERENTIAL"),"_")))))</f>
        <v/>
      </c>
      <c r="H818" s="12" t="str">
        <f aca="false">IF(J818&lt;&gt;1,"",IF(I818="SBJ","CB","?"))</f>
        <v/>
      </c>
      <c r="I818" s="13" t="str">
        <f aca="false">IF(OR(E818="",E818="!!!",F818="NEW"),"",INDEX(B$2:B817,-1+SUMPRODUCT(MAX(ROW(E$2:E817)*(E818=E$2:E817)))))</f>
        <v/>
      </c>
      <c r="J818" s="14" t="str">
        <f aca="true">IF(OR(E818="",E818="!!!",F818="NEW"),"",COUNTBLANK(OFFSET(A$1,,,SUMPRODUCT(MAX(ROW(E$2:E818)*(E818=E$2:E818)))))-COUNTBLANK(OFFSET(A$1,,,SUMPRODUCT(MAX(ROW(E$1:E817)*(E818=E$1:E817))))))</f>
        <v/>
      </c>
      <c r="K818" s="14" t="str">
        <f aca="false">IF(OR(E818="",E818="!!!",F818="NEW"),"",INDEX(J$1:J817,SUMPRODUCT(MAX(ROW(E$1:E817)*(E818=E$1:E817)))))</f>
        <v/>
      </c>
      <c r="L818" s="15"/>
    </row>
    <row r="819" customFormat="false" ht="12.75" hidden="false" customHeight="false" outlineLevel="0" collapsed="false">
      <c r="A819" s="0" t="s">
        <v>452</v>
      </c>
      <c r="B819" s="0" t="s">
        <v>54</v>
      </c>
      <c r="C819" s="0" t="s">
        <v>111</v>
      </c>
      <c r="D819" s="0" t="s">
        <v>29</v>
      </c>
      <c r="E819" s="9" t="str">
        <f aca="false">IF(D819="?OLD","!!!","")</f>
        <v>!!!</v>
      </c>
      <c r="F819" s="10" t="str">
        <f aca="false">IF(OR(E819="",E819="!!!"),"",IF(NOT(ISNA(VLOOKUP(E819,E$1:E818,1,FALSE()))),"OLD",IF(AND(E819&lt;&gt;"",E819&lt;&gt;"!!!"),"NEW","")))</f>
        <v/>
      </c>
      <c r="G819" s="11" t="str">
        <f aca="false">IF(OR(E819="",E819="!!!"),"",IF(OR(J819=0,AND(J819=1,K819=1),AND(J819=1,I819="SBJ"),AND(J819=1,I819=0)),"?IN_FOCUS",IF(J819&lt;=2,"?ACTIVATED",IF(J819&lt;&gt;"","?FAMILIAR",IF(F819="NEW",IF(ISNA(VLOOKUP(E819,#REF!,1,FALSE())),"?TYPE_IDENTIFIABLE","?REFERENTIAL"),"_")))))</f>
        <v/>
      </c>
      <c r="H819" s="12" t="str">
        <f aca="false">IF(J819&lt;&gt;1,"",IF(I819="SBJ","CB","?"))</f>
        <v/>
      </c>
      <c r="I819" s="13" t="str">
        <f aca="false">IF(OR(E819="",E819="!!!",F819="NEW"),"",INDEX(B$2:B818,-1+SUMPRODUCT(MAX(ROW(E$2:E818)*(E819=E$2:E818)))))</f>
        <v/>
      </c>
      <c r="J819" s="14" t="str">
        <f aca="true">IF(OR(E819="",E819="!!!",F819="NEW"),"",COUNTBLANK(OFFSET(A$1,,,SUMPRODUCT(MAX(ROW(E$2:E819)*(E819=E$2:E819)))))-COUNTBLANK(OFFSET(A$1,,,SUMPRODUCT(MAX(ROW(E$1:E818)*(E819=E$1:E818))))))</f>
        <v/>
      </c>
      <c r="K819" s="14" t="str">
        <f aca="false">IF(OR(E819="",E819="!!!",F819="NEW"),"",INDEX(J$1:J818,SUMPRODUCT(MAX(ROW(E$1:E818)*(E819=E$1:E818)))))</f>
        <v/>
      </c>
      <c r="L819" s="15"/>
    </row>
    <row r="820" customFormat="false" ht="12.75" hidden="false" customHeight="false" outlineLevel="0" collapsed="false">
      <c r="A820" s="0" t="s">
        <v>73</v>
      </c>
      <c r="E820" s="9" t="str">
        <f aca="false">IF(D820="?OLD","!!!","")</f>
        <v/>
      </c>
      <c r="F820" s="10" t="str">
        <f aca="false">IF(OR(E820="",E820="!!!"),"",IF(NOT(ISNA(VLOOKUP(E820,E$1:E819,1,FALSE()))),"OLD",IF(AND(E820&lt;&gt;"",E820&lt;&gt;"!!!"),"NEW","")))</f>
        <v/>
      </c>
      <c r="G820" s="11" t="str">
        <f aca="false">IF(OR(E820="",E820="!!!"),"",IF(OR(J820=0,AND(J820=1,K820=1),AND(J820=1,I820="SBJ"),AND(J820=1,I820=0)),"?IN_FOCUS",IF(J820&lt;=2,"?ACTIVATED",IF(J820&lt;&gt;"","?FAMILIAR",IF(F820="NEW",IF(ISNA(VLOOKUP(E820,#REF!,1,FALSE())),"?TYPE_IDENTIFIABLE","?REFERENTIAL"),"_")))))</f>
        <v/>
      </c>
      <c r="H820" s="12" t="str">
        <f aca="false">IF(J820&lt;&gt;1,"",IF(I820="SBJ","CB","?"))</f>
        <v/>
      </c>
      <c r="I820" s="13" t="str">
        <f aca="false">IF(OR(E820="",E820="!!!",F820="NEW"),"",INDEX(B$2:B819,-1+SUMPRODUCT(MAX(ROW(E$2:E819)*(E820=E$2:E819)))))</f>
        <v/>
      </c>
      <c r="J820" s="14" t="str">
        <f aca="true">IF(OR(E820="",E820="!!!",F820="NEW"),"",COUNTBLANK(OFFSET(A$1,,,SUMPRODUCT(MAX(ROW(E$2:E820)*(E820=E$2:E820)))))-COUNTBLANK(OFFSET(A$1,,,SUMPRODUCT(MAX(ROW(E$1:E819)*(E820=E$1:E819))))))</f>
        <v/>
      </c>
      <c r="K820" s="14" t="str">
        <f aca="false">IF(OR(E820="",E820="!!!",F820="NEW"),"",INDEX(J$1:J819,SUMPRODUCT(MAX(ROW(E$1:E819)*(E820=E$1:E819)))))</f>
        <v/>
      </c>
      <c r="L820" s="15"/>
    </row>
    <row r="821" customFormat="false" ht="12.75" hidden="false" customHeight="false" outlineLevel="0" collapsed="false">
      <c r="E821" s="9" t="str">
        <f aca="false">IF(D821="?OLD","!!!","")</f>
        <v/>
      </c>
      <c r="F821" s="10" t="str">
        <f aca="false">IF(OR(E821="",E821="!!!"),"",IF(NOT(ISNA(VLOOKUP(E821,E$1:E820,1,FALSE()))),"OLD",IF(AND(E821&lt;&gt;"",E821&lt;&gt;"!!!"),"NEW","")))</f>
        <v/>
      </c>
      <c r="G821" s="11" t="str">
        <f aca="false">IF(OR(E821="",E821="!!!"),"",IF(OR(J821=0,AND(J821=1,K821=1),AND(J821=1,I821="SBJ"),AND(J821=1,I821=0)),"?IN_FOCUS",IF(J821&lt;=2,"?ACTIVATED",IF(J821&lt;&gt;"","?FAMILIAR",IF(F821="NEW",IF(ISNA(VLOOKUP(E821,#REF!,1,FALSE())),"?TYPE_IDENTIFIABLE","?REFERENTIAL"),"_")))))</f>
        <v/>
      </c>
      <c r="H821" s="12" t="str">
        <f aca="false">IF(J821&lt;&gt;1,"",IF(I821="SBJ","CB","?"))</f>
        <v/>
      </c>
      <c r="I821" s="13" t="str">
        <f aca="false">IF(OR(E821="",E821="!!!",F821="NEW"),"",INDEX(B$2:B820,-1+SUMPRODUCT(MAX(ROW(E$2:E820)*(E821=E$2:E820)))))</f>
        <v/>
      </c>
      <c r="J821" s="14" t="str">
        <f aca="true">IF(OR(E821="",E821="!!!",F821="NEW"),"",COUNTBLANK(OFFSET(A$1,,,SUMPRODUCT(MAX(ROW(E$2:E821)*(E821=E$2:E821)))))-COUNTBLANK(OFFSET(A$1,,,SUMPRODUCT(MAX(ROW(E$1:E820)*(E821=E$1:E820))))))</f>
        <v/>
      </c>
      <c r="K821" s="14" t="str">
        <f aca="false">IF(OR(E821="",E821="!!!",F821="NEW"),"",INDEX(J$1:J820,SUMPRODUCT(MAX(ROW(E$1:E820)*(E821=E$1:E820)))))</f>
        <v/>
      </c>
      <c r="L821" s="15"/>
    </row>
    <row r="822" customFormat="false" ht="12.75" hidden="false" customHeight="false" outlineLevel="0" collapsed="false">
      <c r="A822" s="0" t="s">
        <v>453</v>
      </c>
      <c r="E822" s="9" t="str">
        <f aca="false">IF(D822="?OLD","!!!","")</f>
        <v/>
      </c>
      <c r="F822" s="10" t="str">
        <f aca="false">IF(OR(E822="",E822="!!!"),"",IF(NOT(ISNA(VLOOKUP(E822,E$1:E821,1,FALSE()))),"OLD",IF(AND(E822&lt;&gt;"",E822&lt;&gt;"!!!"),"NEW","")))</f>
        <v/>
      </c>
      <c r="G822" s="11" t="str">
        <f aca="false">IF(OR(E822="",E822="!!!"),"",IF(OR(J822=0,AND(J822=1,K822=1),AND(J822=1,I822="SBJ"),AND(J822=1,I822=0)),"?IN_FOCUS",IF(J822&lt;=2,"?ACTIVATED",IF(J822&lt;&gt;"","?FAMILIAR",IF(F822="NEW",IF(ISNA(VLOOKUP(E822,#REF!,1,FALSE())),"?TYPE_IDENTIFIABLE","?REFERENTIAL"),"_")))))</f>
        <v/>
      </c>
      <c r="H822" s="12" t="str">
        <f aca="false">IF(J822&lt;&gt;1,"",IF(I822="SBJ","CB","?"))</f>
        <v/>
      </c>
      <c r="I822" s="13" t="str">
        <f aca="false">IF(OR(E822="",E822="!!!",F822="NEW"),"",INDEX(B$2:B821,-1+SUMPRODUCT(MAX(ROW(E$2:E821)*(E822=E$2:E821)))))</f>
        <v/>
      </c>
      <c r="J822" s="14" t="str">
        <f aca="true">IF(OR(E822="",E822="!!!",F822="NEW"),"",COUNTBLANK(OFFSET(A$1,,,SUMPRODUCT(MAX(ROW(E$2:E822)*(E822=E$2:E822)))))-COUNTBLANK(OFFSET(A$1,,,SUMPRODUCT(MAX(ROW(E$1:E821)*(E822=E$1:E821))))))</f>
        <v/>
      </c>
      <c r="K822" s="14" t="str">
        <f aca="false">IF(OR(E822="",E822="!!!",F822="NEW"),"",INDEX(J$1:J821,SUMPRODUCT(MAX(ROW(E$1:E821)*(E822=E$1:E821)))))</f>
        <v/>
      </c>
      <c r="L822" s="15"/>
    </row>
    <row r="823" customFormat="false" ht="12.75" hidden="false" customHeight="false" outlineLevel="0" collapsed="false">
      <c r="A823" s="0" t="s">
        <v>454</v>
      </c>
      <c r="E823" s="9" t="str">
        <f aca="false">IF(D823="?OLD","!!!","")</f>
        <v/>
      </c>
      <c r="F823" s="10" t="str">
        <f aca="false">IF(OR(E823="",E823="!!!"),"",IF(NOT(ISNA(VLOOKUP(E823,E$1:E822,1,FALSE()))),"OLD",IF(AND(E823&lt;&gt;"",E823&lt;&gt;"!!!"),"NEW","")))</f>
        <v/>
      </c>
      <c r="G823" s="11" t="str">
        <f aca="false">IF(OR(E823="",E823="!!!"),"",IF(OR(J823=0,AND(J823=1,K823=1),AND(J823=1,I823="SBJ"),AND(J823=1,I823=0)),"?IN_FOCUS",IF(J823&lt;=2,"?ACTIVATED",IF(J823&lt;&gt;"","?FAMILIAR",IF(F823="NEW",IF(ISNA(VLOOKUP(E823,#REF!,1,FALSE())),"?TYPE_IDENTIFIABLE","?REFERENTIAL"),"_")))))</f>
        <v/>
      </c>
      <c r="H823" s="12" t="str">
        <f aca="false">IF(J823&lt;&gt;1,"",IF(I823="SBJ","CB","?"))</f>
        <v/>
      </c>
      <c r="I823" s="13" t="str">
        <f aca="false">IF(OR(E823="",E823="!!!",F823="NEW"),"",INDEX(B$2:B822,-1+SUMPRODUCT(MAX(ROW(E$2:E822)*(E823=E$2:E822)))))</f>
        <v/>
      </c>
      <c r="J823" s="14" t="str">
        <f aca="true">IF(OR(E823="",E823="!!!",F823="NEW"),"",COUNTBLANK(OFFSET(A$1,,,SUMPRODUCT(MAX(ROW(E$2:E823)*(E823=E$2:E823)))))-COUNTBLANK(OFFSET(A$1,,,SUMPRODUCT(MAX(ROW(E$1:E822)*(E823=E$1:E822))))))</f>
        <v/>
      </c>
      <c r="K823" s="14" t="str">
        <f aca="false">IF(OR(E823="",E823="!!!",F823="NEW"),"",INDEX(J$1:J822,SUMPRODUCT(MAX(ROW(E$1:E822)*(E823=E$1:E822)))))</f>
        <v/>
      </c>
      <c r="L823" s="15"/>
    </row>
    <row r="824" customFormat="false" ht="12.75" hidden="false" customHeight="false" outlineLevel="0" collapsed="false">
      <c r="A824" s="0" t="s">
        <v>95</v>
      </c>
      <c r="E824" s="9" t="str">
        <f aca="false">IF(D824="?OLD","!!!","")</f>
        <v/>
      </c>
      <c r="F824" s="10" t="str">
        <f aca="false">IF(OR(E824="",E824="!!!"),"",IF(NOT(ISNA(VLOOKUP(E824,E$1:E823,1,FALSE()))),"OLD",IF(AND(E824&lt;&gt;"",E824&lt;&gt;"!!!"),"NEW","")))</f>
        <v/>
      </c>
      <c r="G824" s="11" t="str">
        <f aca="false">IF(OR(E824="",E824="!!!"),"",IF(OR(J824=0,AND(J824=1,K824=1),AND(J824=1,I824="SBJ"),AND(J824=1,I824=0)),"?IN_FOCUS",IF(J824&lt;=2,"?ACTIVATED",IF(J824&lt;&gt;"","?FAMILIAR",IF(F824="NEW",IF(ISNA(VLOOKUP(E824,#REF!,1,FALSE())),"?TYPE_IDENTIFIABLE","?REFERENTIAL"),"_")))))</f>
        <v/>
      </c>
      <c r="H824" s="12" t="str">
        <f aca="false">IF(J824&lt;&gt;1,"",IF(I824="SBJ","CB","?"))</f>
        <v/>
      </c>
      <c r="I824" s="13" t="str">
        <f aca="false">IF(OR(E824="",E824="!!!",F824="NEW"),"",INDEX(B$2:B823,-1+SUMPRODUCT(MAX(ROW(E$2:E823)*(E824=E$2:E823)))))</f>
        <v/>
      </c>
      <c r="J824" s="14" t="str">
        <f aca="true">IF(OR(E824="",E824="!!!",F824="NEW"),"",COUNTBLANK(OFFSET(A$1,,,SUMPRODUCT(MAX(ROW(E$2:E824)*(E824=E$2:E824)))))-COUNTBLANK(OFFSET(A$1,,,SUMPRODUCT(MAX(ROW(E$1:E823)*(E824=E$1:E823))))))</f>
        <v/>
      </c>
      <c r="K824" s="14" t="str">
        <f aca="false">IF(OR(E824="",E824="!!!",F824="NEW"),"",INDEX(J$1:J823,SUMPRODUCT(MAX(ROW(E$1:E823)*(E824=E$1:E823)))))</f>
        <v/>
      </c>
      <c r="L824" s="15"/>
    </row>
    <row r="825" customFormat="false" ht="12.75" hidden="false" customHeight="false" outlineLevel="0" collapsed="false">
      <c r="A825" s="0" t="s">
        <v>159</v>
      </c>
      <c r="E825" s="9" t="str">
        <f aca="false">IF(D825="?OLD","!!!","")</f>
        <v/>
      </c>
      <c r="F825" s="10" t="str">
        <f aca="false">IF(OR(E825="",E825="!!!"),"",IF(NOT(ISNA(VLOOKUP(E825,E$1:E824,1,FALSE()))),"OLD",IF(AND(E825&lt;&gt;"",E825&lt;&gt;"!!!"),"NEW","")))</f>
        <v/>
      </c>
      <c r="G825" s="11" t="str">
        <f aca="false">IF(OR(E825="",E825="!!!"),"",IF(OR(J825=0,AND(J825=1,K825=1),AND(J825=1,I825="SBJ"),AND(J825=1,I825=0)),"?IN_FOCUS",IF(J825&lt;=2,"?ACTIVATED",IF(J825&lt;&gt;"","?FAMILIAR",IF(F825="NEW",IF(ISNA(VLOOKUP(E825,#REF!,1,FALSE())),"?TYPE_IDENTIFIABLE","?REFERENTIAL"),"_")))))</f>
        <v/>
      </c>
      <c r="H825" s="12" t="str">
        <f aca="false">IF(J825&lt;&gt;1,"",IF(I825="SBJ","CB","?"))</f>
        <v/>
      </c>
      <c r="I825" s="13" t="str">
        <f aca="false">IF(OR(E825="",E825="!!!",F825="NEW"),"",INDEX(B$2:B824,-1+SUMPRODUCT(MAX(ROW(E$2:E824)*(E825=E$2:E824)))))</f>
        <v/>
      </c>
      <c r="J825" s="14" t="str">
        <f aca="true">IF(OR(E825="",E825="!!!",F825="NEW"),"",COUNTBLANK(OFFSET(A$1,,,SUMPRODUCT(MAX(ROW(E$2:E825)*(E825=E$2:E825)))))-COUNTBLANK(OFFSET(A$1,,,SUMPRODUCT(MAX(ROW(E$1:E824)*(E825=E$1:E824))))))</f>
        <v/>
      </c>
      <c r="K825" s="14" t="str">
        <f aca="false">IF(OR(E825="",E825="!!!",F825="NEW"),"",INDEX(J$1:J824,SUMPRODUCT(MAX(ROW(E$1:E824)*(E825=E$1:E824)))))</f>
        <v/>
      </c>
      <c r="L825" s="15"/>
    </row>
    <row r="826" customFormat="false" ht="12.75" hidden="false" customHeight="false" outlineLevel="0" collapsed="false">
      <c r="A826" s="0" t="s">
        <v>361</v>
      </c>
      <c r="E826" s="9" t="str">
        <f aca="false">IF(D826="?OLD","!!!","")</f>
        <v/>
      </c>
      <c r="F826" s="10" t="str">
        <f aca="false">IF(OR(E826="",E826="!!!"),"",IF(NOT(ISNA(VLOOKUP(E826,E$1:E825,1,FALSE()))),"OLD",IF(AND(E826&lt;&gt;"",E826&lt;&gt;"!!!"),"NEW","")))</f>
        <v/>
      </c>
      <c r="G826" s="11" t="str">
        <f aca="false">IF(OR(E826="",E826="!!!"),"",IF(OR(J826=0,AND(J826=1,K826=1),AND(J826=1,I826="SBJ"),AND(J826=1,I826=0)),"?IN_FOCUS",IF(J826&lt;=2,"?ACTIVATED",IF(J826&lt;&gt;"","?FAMILIAR",IF(F826="NEW",IF(ISNA(VLOOKUP(E826,#REF!,1,FALSE())),"?TYPE_IDENTIFIABLE","?REFERENTIAL"),"_")))))</f>
        <v/>
      </c>
      <c r="H826" s="12" t="str">
        <f aca="false">IF(J826&lt;&gt;1,"",IF(I826="SBJ","CB","?"))</f>
        <v/>
      </c>
      <c r="I826" s="13" t="str">
        <f aca="false">IF(OR(E826="",E826="!!!",F826="NEW"),"",INDEX(B$2:B825,-1+SUMPRODUCT(MAX(ROW(E$2:E825)*(E826=E$2:E825)))))</f>
        <v/>
      </c>
      <c r="J826" s="14" t="str">
        <f aca="true">IF(OR(E826="",E826="!!!",F826="NEW"),"",COUNTBLANK(OFFSET(A$1,,,SUMPRODUCT(MAX(ROW(E$2:E826)*(E826=E$2:E826)))))-COUNTBLANK(OFFSET(A$1,,,SUMPRODUCT(MAX(ROW(E$1:E825)*(E826=E$1:E825))))))</f>
        <v/>
      </c>
      <c r="K826" s="14" t="str">
        <f aca="false">IF(OR(E826="",E826="!!!",F826="NEW"),"",INDEX(J$1:J825,SUMPRODUCT(MAX(ROW(E$1:E825)*(E826=E$1:E825)))))</f>
        <v/>
      </c>
      <c r="L826" s="15"/>
    </row>
    <row r="827" customFormat="false" ht="12.75" hidden="false" customHeight="false" outlineLevel="0" collapsed="false">
      <c r="A827" s="0" t="s">
        <v>455</v>
      </c>
      <c r="B827" s="0" t="s">
        <v>14</v>
      </c>
      <c r="C827" s="0" t="s">
        <v>364</v>
      </c>
      <c r="E827" s="9" t="str">
        <f aca="false">IF(D827="?OLD","!!!","")</f>
        <v/>
      </c>
      <c r="F827" s="10" t="str">
        <f aca="false">IF(OR(E827="",E827="!!!"),"",IF(NOT(ISNA(VLOOKUP(E827,E$1:E826,1,FALSE()))),"OLD",IF(AND(E827&lt;&gt;"",E827&lt;&gt;"!!!"),"NEW","")))</f>
        <v/>
      </c>
      <c r="G827" s="11" t="str">
        <f aca="false">IF(OR(E827="",E827="!!!"),"",IF(OR(J827=0,AND(J827=1,K827=1),AND(J827=1,I827="SBJ"),AND(J827=1,I827=0)),"?IN_FOCUS",IF(J827&lt;=2,"?ACTIVATED",IF(J827&lt;&gt;"","?FAMILIAR",IF(F827="NEW",IF(ISNA(VLOOKUP(E827,#REF!,1,FALSE())),"?TYPE_IDENTIFIABLE","?REFERENTIAL"),"_")))))</f>
        <v/>
      </c>
      <c r="H827" s="12" t="str">
        <f aca="false">IF(J827&lt;&gt;1,"",IF(I827="SBJ","CB","?"))</f>
        <v/>
      </c>
      <c r="I827" s="13" t="str">
        <f aca="false">IF(OR(E827="",E827="!!!",F827="NEW"),"",INDEX(B$2:B826,-1+SUMPRODUCT(MAX(ROW(E$2:E826)*(E827=E$2:E826)))))</f>
        <v/>
      </c>
      <c r="J827" s="14" t="str">
        <f aca="true">IF(OR(E827="",E827="!!!",F827="NEW"),"",COUNTBLANK(OFFSET(A$1,,,SUMPRODUCT(MAX(ROW(E$2:E827)*(E827=E$2:E827)))))-COUNTBLANK(OFFSET(A$1,,,SUMPRODUCT(MAX(ROW(E$1:E826)*(E827=E$1:E826))))))</f>
        <v/>
      </c>
      <c r="K827" s="14" t="str">
        <f aca="false">IF(OR(E827="",E827="!!!",F827="NEW"),"",INDEX(J$1:J826,SUMPRODUCT(MAX(ROW(E$1:E826)*(E827=E$1:E826)))))</f>
        <v/>
      </c>
      <c r="L827" s="15"/>
    </row>
    <row r="828" customFormat="false" ht="12.75" hidden="false" customHeight="false" outlineLevel="0" collapsed="false">
      <c r="A828" s="0" t="s">
        <v>136</v>
      </c>
      <c r="E828" s="9" t="str">
        <f aca="false">IF(D828="?OLD","!!!","")</f>
        <v/>
      </c>
      <c r="F828" s="10" t="str">
        <f aca="false">IF(OR(E828="",E828="!!!"),"",IF(NOT(ISNA(VLOOKUP(E828,E$1:E827,1,FALSE()))),"OLD",IF(AND(E828&lt;&gt;"",E828&lt;&gt;"!!!"),"NEW","")))</f>
        <v/>
      </c>
      <c r="G828" s="11" t="str">
        <f aca="false">IF(OR(E828="",E828="!!!"),"",IF(OR(J828=0,AND(J828=1,K828=1),AND(J828=1,I828="SBJ"),AND(J828=1,I828=0)),"?IN_FOCUS",IF(J828&lt;=2,"?ACTIVATED",IF(J828&lt;&gt;"","?FAMILIAR",IF(F828="NEW",IF(ISNA(VLOOKUP(E828,#REF!,1,FALSE())),"?TYPE_IDENTIFIABLE","?REFERENTIAL"),"_")))))</f>
        <v/>
      </c>
      <c r="H828" s="12" t="str">
        <f aca="false">IF(J828&lt;&gt;1,"",IF(I828="SBJ","CB","?"))</f>
        <v/>
      </c>
      <c r="I828" s="13" t="str">
        <f aca="false">IF(OR(E828="",E828="!!!",F828="NEW"),"",INDEX(B$2:B827,-1+SUMPRODUCT(MAX(ROW(E$2:E827)*(E828=E$2:E827)))))</f>
        <v/>
      </c>
      <c r="J828" s="14" t="str">
        <f aca="true">IF(OR(E828="",E828="!!!",F828="NEW"),"",COUNTBLANK(OFFSET(A$1,,,SUMPRODUCT(MAX(ROW(E$2:E828)*(E828=E$2:E828)))))-COUNTBLANK(OFFSET(A$1,,,SUMPRODUCT(MAX(ROW(E$1:E827)*(E828=E$1:E827))))))</f>
        <v/>
      </c>
      <c r="K828" s="14" t="str">
        <f aca="false">IF(OR(E828="",E828="!!!",F828="NEW"),"",INDEX(J$1:J827,SUMPRODUCT(MAX(ROW(E$1:E827)*(E828=E$1:E827)))))</f>
        <v/>
      </c>
      <c r="L828" s="15"/>
    </row>
    <row r="829" customFormat="false" ht="12.75" hidden="false" customHeight="false" outlineLevel="0" collapsed="false">
      <c r="A829" s="0" t="s">
        <v>66</v>
      </c>
      <c r="E829" s="9" t="str">
        <f aca="false">IF(D829="?OLD","!!!","")</f>
        <v/>
      </c>
      <c r="F829" s="10" t="str">
        <f aca="false">IF(OR(E829="",E829="!!!"),"",IF(NOT(ISNA(VLOOKUP(E829,E$1:E828,1,FALSE()))),"OLD",IF(AND(E829&lt;&gt;"",E829&lt;&gt;"!!!"),"NEW","")))</f>
        <v/>
      </c>
      <c r="G829" s="11" t="str">
        <f aca="false">IF(OR(E829="",E829="!!!"),"",IF(OR(J829=0,AND(J829=1,K829=1),AND(J829=1,I829="SBJ"),AND(J829=1,I829=0)),"?IN_FOCUS",IF(J829&lt;=2,"?ACTIVATED",IF(J829&lt;&gt;"","?FAMILIAR",IF(F829="NEW",IF(ISNA(VLOOKUP(E829,#REF!,1,FALSE())),"?TYPE_IDENTIFIABLE","?REFERENTIAL"),"_")))))</f>
        <v/>
      </c>
      <c r="H829" s="12" t="str">
        <f aca="false">IF(J829&lt;&gt;1,"",IF(I829="SBJ","CB","?"))</f>
        <v/>
      </c>
      <c r="I829" s="13" t="str">
        <f aca="false">IF(OR(E829="",E829="!!!",F829="NEW"),"",INDEX(B$2:B828,-1+SUMPRODUCT(MAX(ROW(E$2:E828)*(E829=E$2:E828)))))</f>
        <v/>
      </c>
      <c r="J829" s="14" t="str">
        <f aca="true">IF(OR(E829="",E829="!!!",F829="NEW"),"",COUNTBLANK(OFFSET(A$1,,,SUMPRODUCT(MAX(ROW(E$2:E829)*(E829=E$2:E829)))))-COUNTBLANK(OFFSET(A$1,,,SUMPRODUCT(MAX(ROW(E$1:E828)*(E829=E$1:E828))))))</f>
        <v/>
      </c>
      <c r="K829" s="14" t="str">
        <f aca="false">IF(OR(E829="",E829="!!!",F829="NEW"),"",INDEX(J$1:J828,SUMPRODUCT(MAX(ROW(E$1:E828)*(E829=E$1:E828)))))</f>
        <v/>
      </c>
      <c r="L829" s="15"/>
    </row>
    <row r="830" customFormat="false" ht="12.75" hidden="false" customHeight="false" outlineLevel="0" collapsed="false">
      <c r="A830" s="0" t="s">
        <v>411</v>
      </c>
      <c r="B830" s="0" t="s">
        <v>28</v>
      </c>
      <c r="C830" s="0" t="s">
        <v>111</v>
      </c>
      <c r="D830" s="0" t="s">
        <v>29</v>
      </c>
      <c r="E830" s="9" t="str">
        <f aca="false">IF(D830="?OLD","!!!","")</f>
        <v>!!!</v>
      </c>
      <c r="F830" s="10" t="str">
        <f aca="false">IF(OR(E830="",E830="!!!"),"",IF(NOT(ISNA(VLOOKUP(E830,E$1:E829,1,FALSE()))),"OLD",IF(AND(E830&lt;&gt;"",E830&lt;&gt;"!!!"),"NEW","")))</f>
        <v/>
      </c>
      <c r="G830" s="11" t="str">
        <f aca="false">IF(OR(E830="",E830="!!!"),"",IF(OR(J830=0,AND(J830=1,K830=1),AND(J830=1,I830="SBJ"),AND(J830=1,I830=0)),"?IN_FOCUS",IF(J830&lt;=2,"?ACTIVATED",IF(J830&lt;&gt;"","?FAMILIAR",IF(F830="NEW",IF(ISNA(VLOOKUP(E830,#REF!,1,FALSE())),"?TYPE_IDENTIFIABLE","?REFERENTIAL"),"_")))))</f>
        <v/>
      </c>
      <c r="H830" s="12" t="str">
        <f aca="false">IF(J830&lt;&gt;1,"",IF(I830="SBJ","CB","?"))</f>
        <v/>
      </c>
      <c r="I830" s="13" t="str">
        <f aca="false">IF(OR(E830="",E830="!!!",F830="NEW"),"",INDEX(B$2:B829,-1+SUMPRODUCT(MAX(ROW(E$2:E829)*(E830=E$2:E829)))))</f>
        <v/>
      </c>
      <c r="J830" s="14" t="str">
        <f aca="true">IF(OR(E830="",E830="!!!",F830="NEW"),"",COUNTBLANK(OFFSET(A$1,,,SUMPRODUCT(MAX(ROW(E$2:E830)*(E830=E$2:E830)))))-COUNTBLANK(OFFSET(A$1,,,SUMPRODUCT(MAX(ROW(E$1:E829)*(E830=E$1:E829))))))</f>
        <v/>
      </c>
      <c r="K830" s="14" t="str">
        <f aca="false">IF(OR(E830="",E830="!!!",F830="NEW"),"",INDEX(J$1:J829,SUMPRODUCT(MAX(ROW(E$1:E829)*(E830=E$1:E829)))))</f>
        <v/>
      </c>
      <c r="L830" s="15"/>
    </row>
    <row r="831" customFormat="false" ht="12.75" hidden="false" customHeight="false" outlineLevel="0" collapsed="false">
      <c r="A831" s="0" t="s">
        <v>31</v>
      </c>
      <c r="E831" s="9" t="str">
        <f aca="false">IF(D831="?OLD","!!!","")</f>
        <v/>
      </c>
      <c r="F831" s="10" t="str">
        <f aca="false">IF(OR(E831="",E831="!!!"),"",IF(NOT(ISNA(VLOOKUP(E831,E$1:E830,1,FALSE()))),"OLD",IF(AND(E831&lt;&gt;"",E831&lt;&gt;"!!!"),"NEW","")))</f>
        <v/>
      </c>
      <c r="G831" s="11" t="str">
        <f aca="false">IF(OR(E831="",E831="!!!"),"",IF(OR(J831=0,AND(J831=1,K831=1),AND(J831=1,I831="SBJ"),AND(J831=1,I831=0)),"?IN_FOCUS",IF(J831&lt;=2,"?ACTIVATED",IF(J831&lt;&gt;"","?FAMILIAR",IF(F831="NEW",IF(ISNA(VLOOKUP(E831,#REF!,1,FALSE())),"?TYPE_IDENTIFIABLE","?REFERENTIAL"),"_")))))</f>
        <v/>
      </c>
      <c r="H831" s="12" t="str">
        <f aca="false">IF(J831&lt;&gt;1,"",IF(I831="SBJ","CB","?"))</f>
        <v/>
      </c>
      <c r="I831" s="13" t="str">
        <f aca="false">IF(OR(E831="",E831="!!!",F831="NEW"),"",INDEX(B$2:B830,-1+SUMPRODUCT(MAX(ROW(E$2:E830)*(E831=E$2:E830)))))</f>
        <v/>
      </c>
      <c r="J831" s="14" t="str">
        <f aca="true">IF(OR(E831="",E831="!!!",F831="NEW"),"",COUNTBLANK(OFFSET(A$1,,,SUMPRODUCT(MAX(ROW(E$2:E831)*(E831=E$2:E831)))))-COUNTBLANK(OFFSET(A$1,,,SUMPRODUCT(MAX(ROW(E$1:E830)*(E831=E$1:E830))))))</f>
        <v/>
      </c>
      <c r="K831" s="14" t="str">
        <f aca="false">IF(OR(E831="",E831="!!!",F831="NEW"),"",INDEX(J$1:J830,SUMPRODUCT(MAX(ROW(E$1:E830)*(E831=E$1:E830)))))</f>
        <v/>
      </c>
      <c r="L831" s="15"/>
    </row>
    <row r="832" customFormat="false" ht="12.75" hidden="false" customHeight="false" outlineLevel="0" collapsed="false">
      <c r="A832" s="0" t="s">
        <v>456</v>
      </c>
      <c r="B832" s="0" t="s">
        <v>28</v>
      </c>
      <c r="C832" s="0" t="s">
        <v>23</v>
      </c>
      <c r="D832" s="0" t="s">
        <v>29</v>
      </c>
      <c r="E832" s="9" t="str">
        <f aca="false">IF(D832="?OLD","!!!","")</f>
        <v>!!!</v>
      </c>
      <c r="F832" s="10" t="str">
        <f aca="false">IF(OR(E832="",E832="!!!"),"",IF(NOT(ISNA(VLOOKUP(E832,E$1:E831,1,FALSE()))),"OLD",IF(AND(E832&lt;&gt;"",E832&lt;&gt;"!!!"),"NEW","")))</f>
        <v/>
      </c>
      <c r="G832" s="11" t="str">
        <f aca="false">IF(OR(E832="",E832="!!!"),"",IF(OR(J832=0,AND(J832=1,K832=1),AND(J832=1,I832="SBJ"),AND(J832=1,I832=0)),"?IN_FOCUS",IF(J832&lt;=2,"?ACTIVATED",IF(J832&lt;&gt;"","?FAMILIAR",IF(F832="NEW",IF(ISNA(VLOOKUP(E832,#REF!,1,FALSE())),"?TYPE_IDENTIFIABLE","?REFERENTIAL"),"_")))))</f>
        <v/>
      </c>
      <c r="H832" s="12" t="str">
        <f aca="false">IF(J832&lt;&gt;1,"",IF(I832="SBJ","CB","?"))</f>
        <v/>
      </c>
      <c r="I832" s="13" t="str">
        <f aca="false">IF(OR(E832="",E832="!!!",F832="NEW"),"",INDEX(B$2:B831,-1+SUMPRODUCT(MAX(ROW(E$2:E831)*(E832=E$2:E831)))))</f>
        <v/>
      </c>
      <c r="J832" s="14" t="str">
        <f aca="true">IF(OR(E832="",E832="!!!",F832="NEW"),"",COUNTBLANK(OFFSET(A$1,,,SUMPRODUCT(MAX(ROW(E$2:E832)*(E832=E$2:E832)))))-COUNTBLANK(OFFSET(A$1,,,SUMPRODUCT(MAX(ROW(E$1:E831)*(E832=E$1:E831))))))</f>
        <v/>
      </c>
      <c r="K832" s="14" t="str">
        <f aca="false">IF(OR(E832="",E832="!!!",F832="NEW"),"",INDEX(J$1:J831,SUMPRODUCT(MAX(ROW(E$1:E831)*(E832=E$1:E831)))))</f>
        <v/>
      </c>
      <c r="L832" s="15"/>
    </row>
    <row r="833" customFormat="false" ht="12.75" hidden="false" customHeight="false" outlineLevel="0" collapsed="false">
      <c r="A833" s="0" t="s">
        <v>457</v>
      </c>
      <c r="E833" s="9" t="str">
        <f aca="false">IF(D833="?OLD","!!!","")</f>
        <v/>
      </c>
      <c r="F833" s="10" t="str">
        <f aca="false">IF(OR(E833="",E833="!!!"),"",IF(NOT(ISNA(VLOOKUP(E833,E$1:E832,1,FALSE()))),"OLD",IF(AND(E833&lt;&gt;"",E833&lt;&gt;"!!!"),"NEW","")))</f>
        <v/>
      </c>
      <c r="G833" s="11" t="str">
        <f aca="false">IF(OR(E833="",E833="!!!"),"",IF(OR(J833=0,AND(J833=1,K833=1),AND(J833=1,I833="SBJ"),AND(J833=1,I833=0)),"?IN_FOCUS",IF(J833&lt;=2,"?ACTIVATED",IF(J833&lt;&gt;"","?FAMILIAR",IF(F833="NEW",IF(ISNA(VLOOKUP(E833,#REF!,1,FALSE())),"?TYPE_IDENTIFIABLE","?REFERENTIAL"),"_")))))</f>
        <v/>
      </c>
      <c r="H833" s="12" t="str">
        <f aca="false">IF(J833&lt;&gt;1,"",IF(I833="SBJ","CB","?"))</f>
        <v/>
      </c>
      <c r="I833" s="13" t="str">
        <f aca="false">IF(OR(E833="",E833="!!!",F833="NEW"),"",INDEX(B$2:B832,-1+SUMPRODUCT(MAX(ROW(E$2:E832)*(E833=E$2:E832)))))</f>
        <v/>
      </c>
      <c r="J833" s="14" t="str">
        <f aca="true">IF(OR(E833="",E833="!!!",F833="NEW"),"",COUNTBLANK(OFFSET(A$1,,,SUMPRODUCT(MAX(ROW(E$2:E833)*(E833=E$2:E833)))))-COUNTBLANK(OFFSET(A$1,,,SUMPRODUCT(MAX(ROW(E$1:E832)*(E833=E$1:E832))))))</f>
        <v/>
      </c>
      <c r="K833" s="14" t="str">
        <f aca="false">IF(OR(E833="",E833="!!!",F833="NEW"),"",INDEX(J$1:J832,SUMPRODUCT(MAX(ROW(E$1:E832)*(E833=E$1:E832)))))</f>
        <v/>
      </c>
      <c r="L833" s="15"/>
    </row>
    <row r="834" customFormat="false" ht="12.75" hidden="false" customHeight="false" outlineLevel="0" collapsed="false">
      <c r="A834" s="0" t="s">
        <v>88</v>
      </c>
      <c r="E834" s="9" t="str">
        <f aca="false">IF(D834="?OLD","!!!","")</f>
        <v/>
      </c>
      <c r="F834" s="10" t="str">
        <f aca="false">IF(OR(E834="",E834="!!!"),"",IF(NOT(ISNA(VLOOKUP(E834,E$1:E833,1,FALSE()))),"OLD",IF(AND(E834&lt;&gt;"",E834&lt;&gt;"!!!"),"NEW","")))</f>
        <v/>
      </c>
      <c r="G834" s="11" t="str">
        <f aca="false">IF(OR(E834="",E834="!!!"),"",IF(OR(J834=0,AND(J834=1,K834=1),AND(J834=1,I834="SBJ"),AND(J834=1,I834=0)),"?IN_FOCUS",IF(J834&lt;=2,"?ACTIVATED",IF(J834&lt;&gt;"","?FAMILIAR",IF(F834="NEW",IF(ISNA(VLOOKUP(E834,#REF!,1,FALSE())),"?TYPE_IDENTIFIABLE","?REFERENTIAL"),"_")))))</f>
        <v/>
      </c>
      <c r="H834" s="12" t="str">
        <f aca="false">IF(J834&lt;&gt;1,"",IF(I834="SBJ","CB","?"))</f>
        <v/>
      </c>
      <c r="I834" s="13" t="str">
        <f aca="false">IF(OR(E834="",E834="!!!",F834="NEW"),"",INDEX(B$2:B833,-1+SUMPRODUCT(MAX(ROW(E$2:E833)*(E834=E$2:E833)))))</f>
        <v/>
      </c>
      <c r="J834" s="14" t="str">
        <f aca="true">IF(OR(E834="",E834="!!!",F834="NEW"),"",COUNTBLANK(OFFSET(A$1,,,SUMPRODUCT(MAX(ROW(E$2:E834)*(E834=E$2:E834)))))-COUNTBLANK(OFFSET(A$1,,,SUMPRODUCT(MAX(ROW(E$1:E833)*(E834=E$1:E833))))))</f>
        <v/>
      </c>
      <c r="K834" s="14" t="str">
        <f aca="false">IF(OR(E834="",E834="!!!",F834="NEW"),"",INDEX(J$1:J833,SUMPRODUCT(MAX(ROW(E$1:E833)*(E834=E$1:E833)))))</f>
        <v/>
      </c>
      <c r="L834" s="15"/>
    </row>
    <row r="835" customFormat="false" ht="12.75" hidden="false" customHeight="false" outlineLevel="0" collapsed="false">
      <c r="A835" s="0" t="s">
        <v>458</v>
      </c>
      <c r="B835" s="0" t="s">
        <v>28</v>
      </c>
      <c r="C835" s="0" t="s">
        <v>23</v>
      </c>
      <c r="D835" s="0" t="s">
        <v>29</v>
      </c>
      <c r="E835" s="9" t="str">
        <f aca="false">IF(D835="?OLD","!!!","")</f>
        <v>!!!</v>
      </c>
      <c r="F835" s="10" t="str">
        <f aca="false">IF(OR(E835="",E835="!!!"),"",IF(NOT(ISNA(VLOOKUP(E835,E$1:E834,1,FALSE()))),"OLD",IF(AND(E835&lt;&gt;"",E835&lt;&gt;"!!!"),"NEW","")))</f>
        <v/>
      </c>
      <c r="G835" s="11" t="str">
        <f aca="false">IF(OR(E835="",E835="!!!"),"",IF(OR(J835=0,AND(J835=1,K835=1),AND(J835=1,I835="SBJ"),AND(J835=1,I835=0)),"?IN_FOCUS",IF(J835&lt;=2,"?ACTIVATED",IF(J835&lt;&gt;"","?FAMILIAR",IF(F835="NEW",IF(ISNA(VLOOKUP(E835,#REF!,1,FALSE())),"?TYPE_IDENTIFIABLE","?REFERENTIAL"),"_")))))</f>
        <v/>
      </c>
      <c r="H835" s="12" t="str">
        <f aca="false">IF(J835&lt;&gt;1,"",IF(I835="SBJ","CB","?"))</f>
        <v/>
      </c>
      <c r="I835" s="13" t="str">
        <f aca="false">IF(OR(E835="",E835="!!!",F835="NEW"),"",INDEX(B$2:B834,-1+SUMPRODUCT(MAX(ROW(E$2:E834)*(E835=E$2:E834)))))</f>
        <v/>
      </c>
      <c r="J835" s="14" t="str">
        <f aca="true">IF(OR(E835="",E835="!!!",F835="NEW"),"",COUNTBLANK(OFFSET(A$1,,,SUMPRODUCT(MAX(ROW(E$2:E835)*(E835=E$2:E835)))))-COUNTBLANK(OFFSET(A$1,,,SUMPRODUCT(MAX(ROW(E$1:E834)*(E835=E$1:E834))))))</f>
        <v/>
      </c>
      <c r="K835" s="14" t="str">
        <f aca="false">IF(OR(E835="",E835="!!!",F835="NEW"),"",INDEX(J$1:J834,SUMPRODUCT(MAX(ROW(E$1:E834)*(E835=E$1:E834)))))</f>
        <v/>
      </c>
      <c r="L835" s="15"/>
    </row>
    <row r="836" customFormat="false" ht="12.75" hidden="false" customHeight="false" outlineLevel="0" collapsed="false">
      <c r="A836" s="0" t="s">
        <v>73</v>
      </c>
      <c r="E836" s="9" t="str">
        <f aca="false">IF(D836="?OLD","!!!","")</f>
        <v/>
      </c>
      <c r="F836" s="10" t="str">
        <f aca="false">IF(OR(E836="",E836="!!!"),"",IF(NOT(ISNA(VLOOKUP(E836,E$1:E835,1,FALSE()))),"OLD",IF(AND(E836&lt;&gt;"",E836&lt;&gt;"!!!"),"NEW","")))</f>
        <v/>
      </c>
      <c r="G836" s="11" t="str">
        <f aca="false">IF(OR(E836="",E836="!!!"),"",IF(OR(J836=0,AND(J836=1,K836=1),AND(J836=1,I836="SBJ"),AND(J836=1,I836=0)),"?IN_FOCUS",IF(J836&lt;=2,"?ACTIVATED",IF(J836&lt;&gt;"","?FAMILIAR",IF(F836="NEW",IF(ISNA(VLOOKUP(E836,#REF!,1,FALSE())),"?TYPE_IDENTIFIABLE","?REFERENTIAL"),"_")))))</f>
        <v/>
      </c>
      <c r="H836" s="12" t="str">
        <f aca="false">IF(J836&lt;&gt;1,"",IF(I836="SBJ","CB","?"))</f>
        <v/>
      </c>
      <c r="I836" s="13" t="str">
        <f aca="false">IF(OR(E836="",E836="!!!",F836="NEW"),"",INDEX(B$2:B835,-1+SUMPRODUCT(MAX(ROW(E$2:E835)*(E836=E$2:E835)))))</f>
        <v/>
      </c>
      <c r="J836" s="14" t="str">
        <f aca="true">IF(OR(E836="",E836="!!!",F836="NEW"),"",COUNTBLANK(OFFSET(A$1,,,SUMPRODUCT(MAX(ROW(E$2:E836)*(E836=E$2:E836)))))-COUNTBLANK(OFFSET(A$1,,,SUMPRODUCT(MAX(ROW(E$1:E835)*(E836=E$1:E835))))))</f>
        <v/>
      </c>
      <c r="K836" s="14" t="str">
        <f aca="false">IF(OR(E836="",E836="!!!",F836="NEW"),"",INDEX(J$1:J835,SUMPRODUCT(MAX(ROW(E$1:E835)*(E836=E$1:E835)))))</f>
        <v/>
      </c>
      <c r="L836" s="15"/>
    </row>
    <row r="837" customFormat="false" ht="12.75" hidden="false" customHeight="false" outlineLevel="0" collapsed="false">
      <c r="E837" s="9" t="str">
        <f aca="false">IF(D837="?OLD","!!!","")</f>
        <v/>
      </c>
      <c r="F837" s="10" t="str">
        <f aca="false">IF(OR(E837="",E837="!!!"),"",IF(NOT(ISNA(VLOOKUP(E837,E$1:E836,1,FALSE()))),"OLD",IF(AND(E837&lt;&gt;"",E837&lt;&gt;"!!!"),"NEW","")))</f>
        <v/>
      </c>
      <c r="G837" s="11" t="str">
        <f aca="false">IF(OR(E837="",E837="!!!"),"",IF(OR(J837=0,AND(J837=1,K837=1),AND(J837=1,I837="SBJ"),AND(J837=1,I837=0)),"?IN_FOCUS",IF(J837&lt;=2,"?ACTIVATED",IF(J837&lt;&gt;"","?FAMILIAR",IF(F837="NEW",IF(ISNA(VLOOKUP(E837,#REF!,1,FALSE())),"?TYPE_IDENTIFIABLE","?REFERENTIAL"),"_")))))</f>
        <v/>
      </c>
      <c r="H837" s="12" t="str">
        <f aca="false">IF(J837&lt;&gt;1,"",IF(I837="SBJ","CB","?"))</f>
        <v/>
      </c>
      <c r="I837" s="13" t="str">
        <f aca="false">IF(OR(E837="",E837="!!!",F837="NEW"),"",INDEX(B$2:B836,-1+SUMPRODUCT(MAX(ROW(E$2:E836)*(E837=E$2:E836)))))</f>
        <v/>
      </c>
      <c r="J837" s="14" t="str">
        <f aca="true">IF(OR(E837="",E837="!!!",F837="NEW"),"",COUNTBLANK(OFFSET(A$1,,,SUMPRODUCT(MAX(ROW(E$2:E837)*(E837=E$2:E837)))))-COUNTBLANK(OFFSET(A$1,,,SUMPRODUCT(MAX(ROW(E$1:E836)*(E837=E$1:E836))))))</f>
        <v/>
      </c>
      <c r="K837" s="14" t="str">
        <f aca="false">IF(OR(E837="",E837="!!!",F837="NEW"),"",INDEX(J$1:J836,SUMPRODUCT(MAX(ROW(E$1:E836)*(E837=E$1:E836)))))</f>
        <v/>
      </c>
      <c r="L837" s="15"/>
    </row>
    <row r="838" customFormat="false" ht="12.75" hidden="false" customHeight="false" outlineLevel="0" collapsed="false">
      <c r="A838" s="0" t="s">
        <v>459</v>
      </c>
      <c r="E838" s="9" t="str">
        <f aca="false">IF(D838="?OLD","!!!","")</f>
        <v/>
      </c>
      <c r="F838" s="10" t="str">
        <f aca="false">IF(OR(E838="",E838="!!!"),"",IF(NOT(ISNA(VLOOKUP(E838,E$1:E837,1,FALSE()))),"OLD",IF(AND(E838&lt;&gt;"",E838&lt;&gt;"!!!"),"NEW","")))</f>
        <v/>
      </c>
      <c r="G838" s="11" t="str">
        <f aca="false">IF(OR(E838="",E838="!!!"),"",IF(OR(J838=0,AND(J838=1,K838=1),AND(J838=1,I838="SBJ"),AND(J838=1,I838=0)),"?IN_FOCUS",IF(J838&lt;=2,"?ACTIVATED",IF(J838&lt;&gt;"","?FAMILIAR",IF(F838="NEW",IF(ISNA(VLOOKUP(E838,#REF!,1,FALSE())),"?TYPE_IDENTIFIABLE","?REFERENTIAL"),"_")))))</f>
        <v/>
      </c>
      <c r="H838" s="12" t="str">
        <f aca="false">IF(J838&lt;&gt;1,"",IF(I838="SBJ","CB","?"))</f>
        <v/>
      </c>
      <c r="I838" s="13" t="str">
        <f aca="false">IF(OR(E838="",E838="!!!",F838="NEW"),"",INDEX(B$2:B837,-1+SUMPRODUCT(MAX(ROW(E$2:E837)*(E838=E$2:E837)))))</f>
        <v/>
      </c>
      <c r="J838" s="14" t="str">
        <f aca="true">IF(OR(E838="",E838="!!!",F838="NEW"),"",COUNTBLANK(OFFSET(A$1,,,SUMPRODUCT(MAX(ROW(E$2:E838)*(E838=E$2:E838)))))-COUNTBLANK(OFFSET(A$1,,,SUMPRODUCT(MAX(ROW(E$1:E837)*(E838=E$1:E837))))))</f>
        <v/>
      </c>
      <c r="K838" s="14" t="str">
        <f aca="false">IF(OR(E838="",E838="!!!",F838="NEW"),"",INDEX(J$1:J837,SUMPRODUCT(MAX(ROW(E$1:E837)*(E838=E$1:E837)))))</f>
        <v/>
      </c>
      <c r="L838" s="15"/>
    </row>
    <row r="839" customFormat="false" ht="12.75" hidden="false" customHeight="false" outlineLevel="0" collapsed="false">
      <c r="A839" s="0" t="s">
        <v>460</v>
      </c>
      <c r="B839" s="0" t="s">
        <v>14</v>
      </c>
      <c r="C839" s="0" t="s">
        <v>38</v>
      </c>
      <c r="D839" s="0" t="s">
        <v>29</v>
      </c>
      <c r="E839" s="9" t="str">
        <f aca="false">IF(D839="?OLD","!!!","")</f>
        <v>!!!</v>
      </c>
      <c r="F839" s="10" t="str">
        <f aca="false">IF(OR(E839="",E839="!!!"),"",IF(NOT(ISNA(VLOOKUP(E839,E$1:E838,1,FALSE()))),"OLD",IF(AND(E839&lt;&gt;"",E839&lt;&gt;"!!!"),"NEW","")))</f>
        <v/>
      </c>
      <c r="G839" s="11" t="str">
        <f aca="false">IF(OR(E839="",E839="!!!"),"",IF(OR(J839=0,AND(J839=1,K839=1),AND(J839=1,I839="SBJ"),AND(J839=1,I839=0)),"?IN_FOCUS",IF(J839&lt;=2,"?ACTIVATED",IF(J839&lt;&gt;"","?FAMILIAR",IF(F839="NEW",IF(ISNA(VLOOKUP(E839,#REF!,1,FALSE())),"?TYPE_IDENTIFIABLE","?REFERENTIAL"),"_")))))</f>
        <v/>
      </c>
      <c r="H839" s="12" t="str">
        <f aca="false">IF(J839&lt;&gt;1,"",IF(I839="SBJ","CB","?"))</f>
        <v/>
      </c>
      <c r="I839" s="13" t="str">
        <f aca="false">IF(OR(E839="",E839="!!!",F839="NEW"),"",INDEX(B$2:B838,-1+SUMPRODUCT(MAX(ROW(E$2:E838)*(E839=E$2:E838)))))</f>
        <v/>
      </c>
      <c r="J839" s="14" t="str">
        <f aca="true">IF(OR(E839="",E839="!!!",F839="NEW"),"",COUNTBLANK(OFFSET(A$1,,,SUMPRODUCT(MAX(ROW(E$2:E839)*(E839=E$2:E839)))))-COUNTBLANK(OFFSET(A$1,,,SUMPRODUCT(MAX(ROW(E$1:E838)*(E839=E$1:E838))))))</f>
        <v/>
      </c>
      <c r="K839" s="14" t="str">
        <f aca="false">IF(OR(E839="",E839="!!!",F839="NEW"),"",INDEX(J$1:J838,SUMPRODUCT(MAX(ROW(E$1:E838)*(E839=E$1:E838)))))</f>
        <v/>
      </c>
      <c r="L839" s="15"/>
    </row>
    <row r="840" customFormat="false" ht="12.75" hidden="false" customHeight="false" outlineLevel="0" collapsed="false">
      <c r="A840" s="0" t="s">
        <v>461</v>
      </c>
      <c r="E840" s="9" t="str">
        <f aca="false">IF(D840="?OLD","!!!","")</f>
        <v/>
      </c>
      <c r="F840" s="10" t="str">
        <f aca="false">IF(OR(E840="",E840="!!!"),"",IF(NOT(ISNA(VLOOKUP(E840,E$1:E839,1,FALSE()))),"OLD",IF(AND(E840&lt;&gt;"",E840&lt;&gt;"!!!"),"NEW","")))</f>
        <v/>
      </c>
      <c r="G840" s="11" t="str">
        <f aca="false">IF(OR(E840="",E840="!!!"),"",IF(OR(J840=0,AND(J840=1,K840=1),AND(J840=1,I840="SBJ"),AND(J840=1,I840=0)),"?IN_FOCUS",IF(J840&lt;=2,"?ACTIVATED",IF(J840&lt;&gt;"","?FAMILIAR",IF(F840="NEW",IF(ISNA(VLOOKUP(E840,#REF!,1,FALSE())),"?TYPE_IDENTIFIABLE","?REFERENTIAL"),"_")))))</f>
        <v/>
      </c>
      <c r="H840" s="12" t="str">
        <f aca="false">IF(J840&lt;&gt;1,"",IF(I840="SBJ","CB","?"))</f>
        <v/>
      </c>
      <c r="I840" s="13" t="str">
        <f aca="false">IF(OR(E840="",E840="!!!",F840="NEW"),"",INDEX(B$2:B839,-1+SUMPRODUCT(MAX(ROW(E$2:E839)*(E840=E$2:E839)))))</f>
        <v/>
      </c>
      <c r="J840" s="14" t="str">
        <f aca="true">IF(OR(E840="",E840="!!!",F840="NEW"),"",COUNTBLANK(OFFSET(A$1,,,SUMPRODUCT(MAX(ROW(E$2:E840)*(E840=E$2:E840)))))-COUNTBLANK(OFFSET(A$1,,,SUMPRODUCT(MAX(ROW(E$1:E839)*(E840=E$1:E839))))))</f>
        <v/>
      </c>
      <c r="K840" s="14" t="str">
        <f aca="false">IF(OR(E840="",E840="!!!",F840="NEW"),"",INDEX(J$1:J839,SUMPRODUCT(MAX(ROW(E$1:E839)*(E840=E$1:E839)))))</f>
        <v/>
      </c>
      <c r="L840" s="15"/>
    </row>
    <row r="841" customFormat="false" ht="12.75" hidden="false" customHeight="false" outlineLevel="0" collapsed="false">
      <c r="A841" s="0" t="s">
        <v>173</v>
      </c>
      <c r="E841" s="9" t="str">
        <f aca="false">IF(D841="?OLD","!!!","")</f>
        <v/>
      </c>
      <c r="F841" s="10" t="str">
        <f aca="false">IF(OR(E841="",E841="!!!"),"",IF(NOT(ISNA(VLOOKUP(E841,E$1:E840,1,FALSE()))),"OLD",IF(AND(E841&lt;&gt;"",E841&lt;&gt;"!!!"),"NEW","")))</f>
        <v/>
      </c>
      <c r="G841" s="11" t="str">
        <f aca="false">IF(OR(E841="",E841="!!!"),"",IF(OR(J841=0,AND(J841=1,K841=1),AND(J841=1,I841="SBJ"),AND(J841=1,I841=0)),"?IN_FOCUS",IF(J841&lt;=2,"?ACTIVATED",IF(J841&lt;&gt;"","?FAMILIAR",IF(F841="NEW",IF(ISNA(VLOOKUP(E841,#REF!,1,FALSE())),"?TYPE_IDENTIFIABLE","?REFERENTIAL"),"_")))))</f>
        <v/>
      </c>
      <c r="H841" s="12" t="str">
        <f aca="false">IF(J841&lt;&gt;1,"",IF(I841="SBJ","CB","?"))</f>
        <v/>
      </c>
      <c r="I841" s="13" t="str">
        <f aca="false">IF(OR(E841="",E841="!!!",F841="NEW"),"",INDEX(B$2:B840,-1+SUMPRODUCT(MAX(ROW(E$2:E840)*(E841=E$2:E840)))))</f>
        <v/>
      </c>
      <c r="J841" s="14" t="str">
        <f aca="true">IF(OR(E841="",E841="!!!",F841="NEW"),"",COUNTBLANK(OFFSET(A$1,,,SUMPRODUCT(MAX(ROW(E$2:E841)*(E841=E$2:E841)))))-COUNTBLANK(OFFSET(A$1,,,SUMPRODUCT(MAX(ROW(E$1:E840)*(E841=E$1:E840))))))</f>
        <v/>
      </c>
      <c r="K841" s="14" t="str">
        <f aca="false">IF(OR(E841="",E841="!!!",F841="NEW"),"",INDEX(J$1:J840,SUMPRODUCT(MAX(ROW(E$1:E840)*(E841=E$1:E840)))))</f>
        <v/>
      </c>
      <c r="L841" s="15"/>
    </row>
    <row r="842" customFormat="false" ht="12.75" hidden="false" customHeight="false" outlineLevel="0" collapsed="false">
      <c r="A842" s="0" t="s">
        <v>70</v>
      </c>
      <c r="B842" s="0" t="s">
        <v>22</v>
      </c>
      <c r="C842" s="0" t="s">
        <v>55</v>
      </c>
      <c r="D842" s="0" t="s">
        <v>29</v>
      </c>
      <c r="E842" s="9" t="str">
        <f aca="false">IF(D842="?OLD","!!!","")</f>
        <v>!!!</v>
      </c>
      <c r="F842" s="10" t="str">
        <f aca="false">IF(OR(E842="",E842="!!!"),"",IF(NOT(ISNA(VLOOKUP(E842,E$1:E841,1,FALSE()))),"OLD",IF(AND(E842&lt;&gt;"",E842&lt;&gt;"!!!"),"NEW","")))</f>
        <v/>
      </c>
      <c r="G842" s="11" t="str">
        <f aca="false">IF(OR(E842="",E842="!!!"),"",IF(OR(J842=0,AND(J842=1,K842=1),AND(J842=1,I842="SBJ"),AND(J842=1,I842=0)),"?IN_FOCUS",IF(J842&lt;=2,"?ACTIVATED",IF(J842&lt;&gt;"","?FAMILIAR",IF(F842="NEW",IF(ISNA(VLOOKUP(E842,#REF!,1,FALSE())),"?TYPE_IDENTIFIABLE","?REFERENTIAL"),"_")))))</f>
        <v/>
      </c>
      <c r="H842" s="12" t="str">
        <f aca="false">IF(J842&lt;&gt;1,"",IF(I842="SBJ","CB","?"))</f>
        <v/>
      </c>
      <c r="I842" s="13" t="str">
        <f aca="false">IF(OR(E842="",E842="!!!",F842="NEW"),"",INDEX(B$2:B841,-1+SUMPRODUCT(MAX(ROW(E$2:E841)*(E842=E$2:E841)))))</f>
        <v/>
      </c>
      <c r="J842" s="14" t="str">
        <f aca="true">IF(OR(E842="",E842="!!!",F842="NEW"),"",COUNTBLANK(OFFSET(A$1,,,SUMPRODUCT(MAX(ROW(E$2:E842)*(E842=E$2:E842)))))-COUNTBLANK(OFFSET(A$1,,,SUMPRODUCT(MAX(ROW(E$1:E841)*(E842=E$1:E841))))))</f>
        <v/>
      </c>
      <c r="K842" s="14" t="str">
        <f aca="false">IF(OR(E842="",E842="!!!",F842="NEW"),"",INDEX(J$1:J841,SUMPRODUCT(MAX(ROW(E$1:E841)*(E842=E$1:E841)))))</f>
        <v/>
      </c>
      <c r="L842" s="15"/>
    </row>
    <row r="843" customFormat="false" ht="12.75" hidden="false" customHeight="false" outlineLevel="0" collapsed="false">
      <c r="A843" s="0" t="s">
        <v>462</v>
      </c>
      <c r="B843" s="0" t="s">
        <v>28</v>
      </c>
      <c r="C843" s="0" t="s">
        <v>15</v>
      </c>
      <c r="D843" s="0" t="s">
        <v>29</v>
      </c>
      <c r="E843" s="9" t="str">
        <f aca="false">IF(D843="?OLD","!!!","")</f>
        <v>!!!</v>
      </c>
      <c r="F843" s="10" t="str">
        <f aca="false">IF(OR(E843="",E843="!!!"),"",IF(NOT(ISNA(VLOOKUP(E843,E$1:E842,1,FALSE()))),"OLD",IF(AND(E843&lt;&gt;"",E843&lt;&gt;"!!!"),"NEW","")))</f>
        <v/>
      </c>
      <c r="G843" s="11" t="str">
        <f aca="false">IF(OR(E843="",E843="!!!"),"",IF(OR(J843=0,AND(J843=1,K843=1),AND(J843=1,I843="SBJ"),AND(J843=1,I843=0)),"?IN_FOCUS",IF(J843&lt;=2,"?ACTIVATED",IF(J843&lt;&gt;"","?FAMILIAR",IF(F843="NEW",IF(ISNA(VLOOKUP(E843,#REF!,1,FALSE())),"?TYPE_IDENTIFIABLE","?REFERENTIAL"),"_")))))</f>
        <v/>
      </c>
      <c r="H843" s="12" t="str">
        <f aca="false">IF(J843&lt;&gt;1,"",IF(I843="SBJ","CB","?"))</f>
        <v/>
      </c>
      <c r="I843" s="13" t="str">
        <f aca="false">IF(OR(E843="",E843="!!!",F843="NEW"),"",INDEX(B$2:B842,-1+SUMPRODUCT(MAX(ROW(E$2:E842)*(E843=E$2:E842)))))</f>
        <v/>
      </c>
      <c r="J843" s="14" t="str">
        <f aca="true">IF(OR(E843="",E843="!!!",F843="NEW"),"",COUNTBLANK(OFFSET(A$1,,,SUMPRODUCT(MAX(ROW(E$2:E843)*(E843=E$2:E843)))))-COUNTBLANK(OFFSET(A$1,,,SUMPRODUCT(MAX(ROW(E$1:E842)*(E843=E$1:E842))))))</f>
        <v/>
      </c>
      <c r="K843" s="14" t="str">
        <f aca="false">IF(OR(E843="",E843="!!!",F843="NEW"),"",INDEX(J$1:J842,SUMPRODUCT(MAX(ROW(E$1:E842)*(E843=E$1:E842)))))</f>
        <v/>
      </c>
      <c r="L843" s="15"/>
    </row>
    <row r="844" customFormat="false" ht="12.75" hidden="false" customHeight="false" outlineLevel="0" collapsed="false">
      <c r="A844" s="0" t="s">
        <v>463</v>
      </c>
      <c r="E844" s="9" t="str">
        <f aca="false">IF(D844="?OLD","!!!","")</f>
        <v/>
      </c>
      <c r="F844" s="10" t="str">
        <f aca="false">IF(OR(E844="",E844="!!!"),"",IF(NOT(ISNA(VLOOKUP(E844,E$1:E843,1,FALSE()))),"OLD",IF(AND(E844&lt;&gt;"",E844&lt;&gt;"!!!"),"NEW","")))</f>
        <v/>
      </c>
      <c r="G844" s="11" t="str">
        <f aca="false">IF(OR(E844="",E844="!!!"),"",IF(OR(J844=0,AND(J844=1,K844=1),AND(J844=1,I844="SBJ"),AND(J844=1,I844=0)),"?IN_FOCUS",IF(J844&lt;=2,"?ACTIVATED",IF(J844&lt;&gt;"","?FAMILIAR",IF(F844="NEW",IF(ISNA(VLOOKUP(E844,#REF!,1,FALSE())),"?TYPE_IDENTIFIABLE","?REFERENTIAL"),"_")))))</f>
        <v/>
      </c>
      <c r="H844" s="12" t="str">
        <f aca="false">IF(J844&lt;&gt;1,"",IF(I844="SBJ","CB","?"))</f>
        <v/>
      </c>
      <c r="I844" s="13" t="str">
        <f aca="false">IF(OR(E844="",E844="!!!",F844="NEW"),"",INDEX(B$2:B843,-1+SUMPRODUCT(MAX(ROW(E$2:E843)*(E844=E$2:E843)))))</f>
        <v/>
      </c>
      <c r="J844" s="14" t="str">
        <f aca="true">IF(OR(E844="",E844="!!!",F844="NEW"),"",COUNTBLANK(OFFSET(A$1,,,SUMPRODUCT(MAX(ROW(E$2:E844)*(E844=E$2:E844)))))-COUNTBLANK(OFFSET(A$1,,,SUMPRODUCT(MAX(ROW(E$1:E843)*(E844=E$1:E843))))))</f>
        <v/>
      </c>
      <c r="K844" s="14" t="str">
        <f aca="false">IF(OR(E844="",E844="!!!",F844="NEW"),"",INDEX(J$1:J843,SUMPRODUCT(MAX(ROW(E$1:E843)*(E844=E$1:E843)))))</f>
        <v/>
      </c>
      <c r="L844" s="15"/>
    </row>
    <row r="845" customFormat="false" ht="12.75" hidden="false" customHeight="false" outlineLevel="0" collapsed="false">
      <c r="A845" s="0" t="s">
        <v>190</v>
      </c>
      <c r="B845" s="0" t="s">
        <v>62</v>
      </c>
      <c r="C845" s="0" t="s">
        <v>38</v>
      </c>
      <c r="D845" s="0" t="s">
        <v>29</v>
      </c>
      <c r="E845" s="9" t="str">
        <f aca="false">IF(D845="?OLD","!!!","")</f>
        <v>!!!</v>
      </c>
      <c r="F845" s="10" t="str">
        <f aca="false">IF(OR(E845="",E845="!!!"),"",IF(NOT(ISNA(VLOOKUP(E845,E$1:E844,1,FALSE()))),"OLD",IF(AND(E845&lt;&gt;"",E845&lt;&gt;"!!!"),"NEW","")))</f>
        <v/>
      </c>
      <c r="G845" s="11" t="str">
        <f aca="false">IF(OR(E845="",E845="!!!"),"",IF(OR(J845=0,AND(J845=1,K845=1),AND(J845=1,I845="SBJ"),AND(J845=1,I845=0)),"?IN_FOCUS",IF(J845&lt;=2,"?ACTIVATED",IF(J845&lt;&gt;"","?FAMILIAR",IF(F845="NEW",IF(ISNA(VLOOKUP(E845,#REF!,1,FALSE())),"?TYPE_IDENTIFIABLE","?REFERENTIAL"),"_")))))</f>
        <v/>
      </c>
      <c r="H845" s="12" t="str">
        <f aca="false">IF(J845&lt;&gt;1,"",IF(I845="SBJ","CB","?"))</f>
        <v/>
      </c>
      <c r="I845" s="13" t="str">
        <f aca="false">IF(OR(E845="",E845="!!!",F845="NEW"),"",INDEX(B$2:B844,-1+SUMPRODUCT(MAX(ROW(E$2:E844)*(E845=E$2:E844)))))</f>
        <v/>
      </c>
      <c r="J845" s="14" t="str">
        <f aca="true">IF(OR(E845="",E845="!!!",F845="NEW"),"",COUNTBLANK(OFFSET(A$1,,,SUMPRODUCT(MAX(ROW(E$2:E845)*(E845=E$2:E845)))))-COUNTBLANK(OFFSET(A$1,,,SUMPRODUCT(MAX(ROW(E$1:E844)*(E845=E$1:E844))))))</f>
        <v/>
      </c>
      <c r="K845" s="14" t="str">
        <f aca="false">IF(OR(E845="",E845="!!!",F845="NEW"),"",INDEX(J$1:J844,SUMPRODUCT(MAX(ROW(E$1:E844)*(E845=E$1:E844)))))</f>
        <v/>
      </c>
      <c r="L845" s="15"/>
    </row>
    <row r="846" customFormat="false" ht="12.75" hidden="false" customHeight="false" outlineLevel="0" collapsed="false">
      <c r="A846" s="0" t="s">
        <v>183</v>
      </c>
      <c r="E846" s="9" t="str">
        <f aca="false">IF(D846="?OLD","!!!","")</f>
        <v/>
      </c>
      <c r="F846" s="10" t="str">
        <f aca="false">IF(OR(E846="",E846="!!!"),"",IF(NOT(ISNA(VLOOKUP(E846,E$1:E845,1,FALSE()))),"OLD",IF(AND(E846&lt;&gt;"",E846&lt;&gt;"!!!"),"NEW","")))</f>
        <v/>
      </c>
      <c r="G846" s="11" t="str">
        <f aca="false">IF(OR(E846="",E846="!!!"),"",IF(OR(J846=0,AND(J846=1,K846=1),AND(J846=1,I846="SBJ"),AND(J846=1,I846=0)),"?IN_FOCUS",IF(J846&lt;=2,"?ACTIVATED",IF(J846&lt;&gt;"","?FAMILIAR",IF(F846="NEW",IF(ISNA(VLOOKUP(E846,#REF!,1,FALSE())),"?TYPE_IDENTIFIABLE","?REFERENTIAL"),"_")))))</f>
        <v/>
      </c>
      <c r="H846" s="12" t="str">
        <f aca="false">IF(J846&lt;&gt;1,"",IF(I846="SBJ","CB","?"))</f>
        <v/>
      </c>
      <c r="I846" s="13" t="str">
        <f aca="false">IF(OR(E846="",E846="!!!",F846="NEW"),"",INDEX(B$2:B845,-1+SUMPRODUCT(MAX(ROW(E$2:E845)*(E846=E$2:E845)))))</f>
        <v/>
      </c>
      <c r="J846" s="14" t="str">
        <f aca="true">IF(OR(E846="",E846="!!!",F846="NEW"),"",COUNTBLANK(OFFSET(A$1,,,SUMPRODUCT(MAX(ROW(E$2:E846)*(E846=E$2:E846)))))-COUNTBLANK(OFFSET(A$1,,,SUMPRODUCT(MAX(ROW(E$1:E845)*(E846=E$1:E845))))))</f>
        <v/>
      </c>
      <c r="K846" s="14" t="str">
        <f aca="false">IF(OR(E846="",E846="!!!",F846="NEW"),"",INDEX(J$1:J845,SUMPRODUCT(MAX(ROW(E$1:E845)*(E846=E$1:E845)))))</f>
        <v/>
      </c>
      <c r="L846" s="15"/>
    </row>
    <row r="847" customFormat="false" ht="12.75" hidden="false" customHeight="false" outlineLevel="0" collapsed="false">
      <c r="A847" s="0" t="s">
        <v>184</v>
      </c>
      <c r="E847" s="9" t="str">
        <f aca="false">IF(D847="?OLD","!!!","")</f>
        <v/>
      </c>
      <c r="F847" s="10" t="str">
        <f aca="false">IF(OR(E847="",E847="!!!"),"",IF(NOT(ISNA(VLOOKUP(E847,E$1:E846,1,FALSE()))),"OLD",IF(AND(E847&lt;&gt;"",E847&lt;&gt;"!!!"),"NEW","")))</f>
        <v/>
      </c>
      <c r="G847" s="11" t="str">
        <f aca="false">IF(OR(E847="",E847="!!!"),"",IF(OR(J847=0,AND(J847=1,K847=1),AND(J847=1,I847="SBJ"),AND(J847=1,I847=0)),"?IN_FOCUS",IF(J847&lt;=2,"?ACTIVATED",IF(J847&lt;&gt;"","?FAMILIAR",IF(F847="NEW",IF(ISNA(VLOOKUP(E847,#REF!,1,FALSE())),"?TYPE_IDENTIFIABLE","?REFERENTIAL"),"_")))))</f>
        <v/>
      </c>
      <c r="H847" s="12" t="str">
        <f aca="false">IF(J847&lt;&gt;1,"",IF(I847="SBJ","CB","?"))</f>
        <v/>
      </c>
      <c r="I847" s="13" t="str">
        <f aca="false">IF(OR(E847="",E847="!!!",F847="NEW"),"",INDEX(B$2:B846,-1+SUMPRODUCT(MAX(ROW(E$2:E846)*(E847=E$2:E846)))))</f>
        <v/>
      </c>
      <c r="J847" s="14" t="str">
        <f aca="true">IF(OR(E847="",E847="!!!",F847="NEW"),"",COUNTBLANK(OFFSET(A$1,,,SUMPRODUCT(MAX(ROW(E$2:E847)*(E847=E$2:E847)))))-COUNTBLANK(OFFSET(A$1,,,SUMPRODUCT(MAX(ROW(E$1:E846)*(E847=E$1:E846))))))</f>
        <v/>
      </c>
      <c r="K847" s="14" t="str">
        <f aca="false">IF(OR(E847="",E847="!!!",F847="NEW"),"",INDEX(J$1:J846,SUMPRODUCT(MAX(ROW(E$1:E846)*(E847=E$1:E846)))))</f>
        <v/>
      </c>
      <c r="L847" s="15"/>
    </row>
    <row r="848" customFormat="false" ht="12.75" hidden="false" customHeight="false" outlineLevel="0" collapsed="false">
      <c r="A848" s="0" t="s">
        <v>185</v>
      </c>
      <c r="B848" s="0" t="s">
        <v>62</v>
      </c>
      <c r="C848" s="0" t="s">
        <v>186</v>
      </c>
      <c r="E848" s="9" t="str">
        <f aca="false">IF(D848="?OLD","!!!","")</f>
        <v/>
      </c>
      <c r="F848" s="10" t="str">
        <f aca="false">IF(OR(E848="",E848="!!!"),"",IF(NOT(ISNA(VLOOKUP(E848,E$1:E847,1,FALSE()))),"OLD",IF(AND(E848&lt;&gt;"",E848&lt;&gt;"!!!"),"NEW","")))</f>
        <v/>
      </c>
      <c r="G848" s="11" t="str">
        <f aca="false">IF(OR(E848="",E848="!!!"),"",IF(OR(J848=0,AND(J848=1,K848=1),AND(J848=1,I848="SBJ"),AND(J848=1,I848=0)),"?IN_FOCUS",IF(J848&lt;=2,"?ACTIVATED",IF(J848&lt;&gt;"","?FAMILIAR",IF(F848="NEW",IF(ISNA(VLOOKUP(E848,#REF!,1,FALSE())),"?TYPE_IDENTIFIABLE","?REFERENTIAL"),"_")))))</f>
        <v/>
      </c>
      <c r="H848" s="12" t="str">
        <f aca="false">IF(J848&lt;&gt;1,"",IF(I848="SBJ","CB","?"))</f>
        <v/>
      </c>
      <c r="I848" s="13" t="str">
        <f aca="false">IF(OR(E848="",E848="!!!",F848="NEW"),"",INDEX(B$2:B847,-1+SUMPRODUCT(MAX(ROW(E$2:E847)*(E848=E$2:E847)))))</f>
        <v/>
      </c>
      <c r="J848" s="14" t="str">
        <f aca="true">IF(OR(E848="",E848="!!!",F848="NEW"),"",COUNTBLANK(OFFSET(A$1,,,SUMPRODUCT(MAX(ROW(E$2:E848)*(E848=E$2:E848)))))-COUNTBLANK(OFFSET(A$1,,,SUMPRODUCT(MAX(ROW(E$1:E847)*(E848=E$1:E847))))))</f>
        <v/>
      </c>
      <c r="K848" s="14" t="str">
        <f aca="false">IF(OR(E848="",E848="!!!",F848="NEW"),"",INDEX(J$1:J847,SUMPRODUCT(MAX(ROW(E$1:E847)*(E848=E$1:E847)))))</f>
        <v/>
      </c>
      <c r="L848" s="15"/>
    </row>
    <row r="849" customFormat="false" ht="12.75" hidden="false" customHeight="false" outlineLevel="0" collapsed="false">
      <c r="A849" s="0" t="s">
        <v>19</v>
      </c>
      <c r="E849" s="9" t="str">
        <f aca="false">IF(D849="?OLD","!!!","")</f>
        <v/>
      </c>
      <c r="F849" s="10" t="str">
        <f aca="false">IF(OR(E849="",E849="!!!"),"",IF(NOT(ISNA(VLOOKUP(E849,E$1:E848,1,FALSE()))),"OLD",IF(AND(E849&lt;&gt;"",E849&lt;&gt;"!!!"),"NEW","")))</f>
        <v/>
      </c>
      <c r="G849" s="11" t="str">
        <f aca="false">IF(OR(E849="",E849="!!!"),"",IF(OR(J849=0,AND(J849=1,K849=1),AND(J849=1,I849="SBJ"),AND(J849=1,I849=0)),"?IN_FOCUS",IF(J849&lt;=2,"?ACTIVATED",IF(J849&lt;&gt;"","?FAMILIAR",IF(F849="NEW",IF(ISNA(VLOOKUP(E849,#REF!,1,FALSE())),"?TYPE_IDENTIFIABLE","?REFERENTIAL"),"_")))))</f>
        <v/>
      </c>
      <c r="H849" s="12" t="str">
        <f aca="false">IF(J849&lt;&gt;1,"",IF(I849="SBJ","CB","?"))</f>
        <v/>
      </c>
      <c r="I849" s="13" t="str">
        <f aca="false">IF(OR(E849="",E849="!!!",F849="NEW"),"",INDEX(B$2:B848,-1+SUMPRODUCT(MAX(ROW(E$2:E848)*(E849=E$2:E848)))))</f>
        <v/>
      </c>
      <c r="J849" s="14" t="str">
        <f aca="true">IF(OR(E849="",E849="!!!",F849="NEW"),"",COUNTBLANK(OFFSET(A$1,,,SUMPRODUCT(MAX(ROW(E$2:E849)*(E849=E$2:E849)))))-COUNTBLANK(OFFSET(A$1,,,SUMPRODUCT(MAX(ROW(E$1:E848)*(E849=E$1:E848))))))</f>
        <v/>
      </c>
      <c r="K849" s="14" t="str">
        <f aca="false">IF(OR(E849="",E849="!!!",F849="NEW"),"",INDEX(J$1:J848,SUMPRODUCT(MAX(ROW(E$1:E848)*(E849=E$1:E848)))))</f>
        <v/>
      </c>
      <c r="L849" s="15"/>
    </row>
    <row r="850" customFormat="false" ht="12.75" hidden="false" customHeight="false" outlineLevel="0" collapsed="false">
      <c r="A850" s="0" t="s">
        <v>66</v>
      </c>
      <c r="E850" s="9" t="str">
        <f aca="false">IF(D850="?OLD","!!!","")</f>
        <v/>
      </c>
      <c r="F850" s="10" t="str">
        <f aca="false">IF(OR(E850="",E850="!!!"),"",IF(NOT(ISNA(VLOOKUP(E850,E$1:E849,1,FALSE()))),"OLD",IF(AND(E850&lt;&gt;"",E850&lt;&gt;"!!!"),"NEW","")))</f>
        <v/>
      </c>
      <c r="G850" s="11" t="str">
        <f aca="false">IF(OR(E850="",E850="!!!"),"",IF(OR(J850=0,AND(J850=1,K850=1),AND(J850=1,I850="SBJ"),AND(J850=1,I850=0)),"?IN_FOCUS",IF(J850&lt;=2,"?ACTIVATED",IF(J850&lt;&gt;"","?FAMILIAR",IF(F850="NEW",IF(ISNA(VLOOKUP(E850,#REF!,1,FALSE())),"?TYPE_IDENTIFIABLE","?REFERENTIAL"),"_")))))</f>
        <v/>
      </c>
      <c r="H850" s="12" t="str">
        <f aca="false">IF(J850&lt;&gt;1,"",IF(I850="SBJ","CB","?"))</f>
        <v/>
      </c>
      <c r="I850" s="13" t="str">
        <f aca="false">IF(OR(E850="",E850="!!!",F850="NEW"),"",INDEX(B$2:B849,-1+SUMPRODUCT(MAX(ROW(E$2:E849)*(E850=E$2:E849)))))</f>
        <v/>
      </c>
      <c r="J850" s="14" t="str">
        <f aca="true">IF(OR(E850="",E850="!!!",F850="NEW"),"",COUNTBLANK(OFFSET(A$1,,,SUMPRODUCT(MAX(ROW(E$2:E850)*(E850=E$2:E850)))))-COUNTBLANK(OFFSET(A$1,,,SUMPRODUCT(MAX(ROW(E$1:E849)*(E850=E$1:E849))))))</f>
        <v/>
      </c>
      <c r="K850" s="14" t="str">
        <f aca="false">IF(OR(E850="",E850="!!!",F850="NEW"),"",INDEX(J$1:J849,SUMPRODUCT(MAX(ROW(E$1:E849)*(E850=E$1:E849)))))</f>
        <v/>
      </c>
      <c r="L850" s="15"/>
    </row>
    <row r="851" customFormat="false" ht="12.75" hidden="false" customHeight="false" outlineLevel="0" collapsed="false">
      <c r="A851" s="0" t="s">
        <v>323</v>
      </c>
      <c r="E851" s="9" t="str">
        <f aca="false">IF(D851="?OLD","!!!","")</f>
        <v/>
      </c>
      <c r="F851" s="10" t="str">
        <f aca="false">IF(OR(E851="",E851="!!!"),"",IF(NOT(ISNA(VLOOKUP(E851,E$1:E850,1,FALSE()))),"OLD",IF(AND(E851&lt;&gt;"",E851&lt;&gt;"!!!"),"NEW","")))</f>
        <v/>
      </c>
      <c r="G851" s="11" t="str">
        <f aca="false">IF(OR(E851="",E851="!!!"),"",IF(OR(J851=0,AND(J851=1,K851=1),AND(J851=1,I851="SBJ"),AND(J851=1,I851=0)),"?IN_FOCUS",IF(J851&lt;=2,"?ACTIVATED",IF(J851&lt;&gt;"","?FAMILIAR",IF(F851="NEW",IF(ISNA(VLOOKUP(E851,#REF!,1,FALSE())),"?TYPE_IDENTIFIABLE","?REFERENTIAL"),"_")))))</f>
        <v/>
      </c>
      <c r="H851" s="12" t="str">
        <f aca="false">IF(J851&lt;&gt;1,"",IF(I851="SBJ","CB","?"))</f>
        <v/>
      </c>
      <c r="I851" s="13" t="str">
        <f aca="false">IF(OR(E851="",E851="!!!",F851="NEW"),"",INDEX(B$2:B850,-1+SUMPRODUCT(MAX(ROW(E$2:E850)*(E851=E$2:E850)))))</f>
        <v/>
      </c>
      <c r="J851" s="14" t="str">
        <f aca="true">IF(OR(E851="",E851="!!!",F851="NEW"),"",COUNTBLANK(OFFSET(A$1,,,SUMPRODUCT(MAX(ROW(E$2:E851)*(E851=E$2:E851)))))-COUNTBLANK(OFFSET(A$1,,,SUMPRODUCT(MAX(ROW(E$1:E850)*(E851=E$1:E850))))))</f>
        <v/>
      </c>
      <c r="K851" s="14" t="str">
        <f aca="false">IF(OR(E851="",E851="!!!",F851="NEW"),"",INDEX(J$1:J850,SUMPRODUCT(MAX(ROW(E$1:E850)*(E851=E$1:E850)))))</f>
        <v/>
      </c>
      <c r="L851" s="15"/>
    </row>
    <row r="852" customFormat="false" ht="12.75" hidden="false" customHeight="false" outlineLevel="0" collapsed="false">
      <c r="A852" s="0" t="s">
        <v>464</v>
      </c>
      <c r="B852" s="0" t="s">
        <v>28</v>
      </c>
      <c r="C852" s="0" t="s">
        <v>111</v>
      </c>
      <c r="D852" s="0" t="s">
        <v>29</v>
      </c>
      <c r="E852" s="9" t="str">
        <f aca="false">IF(D852="?OLD","!!!","")</f>
        <v>!!!</v>
      </c>
      <c r="F852" s="10" t="str">
        <f aca="false">IF(OR(E852="",E852="!!!"),"",IF(NOT(ISNA(VLOOKUP(E852,E$1:E851,1,FALSE()))),"OLD",IF(AND(E852&lt;&gt;"",E852&lt;&gt;"!!!"),"NEW","")))</f>
        <v/>
      </c>
      <c r="G852" s="11" t="str">
        <f aca="false">IF(OR(E852="",E852="!!!"),"",IF(OR(J852=0,AND(J852=1,K852=1),AND(J852=1,I852="SBJ"),AND(J852=1,I852=0)),"?IN_FOCUS",IF(J852&lt;=2,"?ACTIVATED",IF(J852&lt;&gt;"","?FAMILIAR",IF(F852="NEW",IF(ISNA(VLOOKUP(E852,#REF!,1,FALSE())),"?TYPE_IDENTIFIABLE","?REFERENTIAL"),"_")))))</f>
        <v/>
      </c>
      <c r="H852" s="12" t="str">
        <f aca="false">IF(J852&lt;&gt;1,"",IF(I852="SBJ","CB","?"))</f>
        <v/>
      </c>
      <c r="I852" s="13" t="str">
        <f aca="false">IF(OR(E852="",E852="!!!",F852="NEW"),"",INDEX(B$2:B851,-1+SUMPRODUCT(MAX(ROW(E$2:E851)*(E852=E$2:E851)))))</f>
        <v/>
      </c>
      <c r="J852" s="14" t="str">
        <f aca="true">IF(OR(E852="",E852="!!!",F852="NEW"),"",COUNTBLANK(OFFSET(A$1,,,SUMPRODUCT(MAX(ROW(E$2:E852)*(E852=E$2:E852)))))-COUNTBLANK(OFFSET(A$1,,,SUMPRODUCT(MAX(ROW(E$1:E851)*(E852=E$1:E851))))))</f>
        <v/>
      </c>
      <c r="K852" s="14" t="str">
        <f aca="false">IF(OR(E852="",E852="!!!",F852="NEW"),"",INDEX(J$1:J851,SUMPRODUCT(MAX(ROW(E$1:E851)*(E852=E$1:E851)))))</f>
        <v/>
      </c>
      <c r="L852" s="15"/>
    </row>
    <row r="853" customFormat="false" ht="12.75" hidden="false" customHeight="false" outlineLevel="0" collapsed="false">
      <c r="A853" s="0" t="s">
        <v>73</v>
      </c>
      <c r="E853" s="9" t="str">
        <f aca="false">IF(D853="?OLD","!!!","")</f>
        <v/>
      </c>
      <c r="F853" s="10" t="str">
        <f aca="false">IF(OR(E853="",E853="!!!"),"",IF(NOT(ISNA(VLOOKUP(E853,E$1:E852,1,FALSE()))),"OLD",IF(AND(E853&lt;&gt;"",E853&lt;&gt;"!!!"),"NEW","")))</f>
        <v/>
      </c>
      <c r="G853" s="11" t="str">
        <f aca="false">IF(OR(E853="",E853="!!!"),"",IF(OR(J853=0,AND(J853=1,K853=1),AND(J853=1,I853="SBJ"),AND(J853=1,I853=0)),"?IN_FOCUS",IF(J853&lt;=2,"?ACTIVATED",IF(J853&lt;&gt;"","?FAMILIAR",IF(F853="NEW",IF(ISNA(VLOOKUP(E853,#REF!,1,FALSE())),"?TYPE_IDENTIFIABLE","?REFERENTIAL"),"_")))))</f>
        <v/>
      </c>
      <c r="H853" s="12" t="str">
        <f aca="false">IF(J853&lt;&gt;1,"",IF(I853="SBJ","CB","?"))</f>
        <v/>
      </c>
      <c r="I853" s="13" t="str">
        <f aca="false">IF(OR(E853="",E853="!!!",F853="NEW"),"",INDEX(B$2:B852,-1+SUMPRODUCT(MAX(ROW(E$2:E852)*(E853=E$2:E852)))))</f>
        <v/>
      </c>
      <c r="J853" s="14" t="str">
        <f aca="true">IF(OR(E853="",E853="!!!",F853="NEW"),"",COUNTBLANK(OFFSET(A$1,,,SUMPRODUCT(MAX(ROW(E$2:E853)*(E853=E$2:E853)))))-COUNTBLANK(OFFSET(A$1,,,SUMPRODUCT(MAX(ROW(E$1:E852)*(E853=E$1:E852))))))</f>
        <v/>
      </c>
      <c r="K853" s="14" t="str">
        <f aca="false">IF(OR(E853="",E853="!!!",F853="NEW"),"",INDEX(J$1:J852,SUMPRODUCT(MAX(ROW(E$1:E852)*(E853=E$1:E852)))))</f>
        <v/>
      </c>
      <c r="L853" s="15"/>
    </row>
    <row r="854" customFormat="false" ht="12.75" hidden="false" customHeight="false" outlineLevel="0" collapsed="false">
      <c r="E854" s="9" t="str">
        <f aca="false">IF(D854="?OLD","!!!","")</f>
        <v/>
      </c>
      <c r="F854" s="10" t="str">
        <f aca="false">IF(OR(E854="",E854="!!!"),"",IF(NOT(ISNA(VLOOKUP(E854,E$1:E853,1,FALSE()))),"OLD",IF(AND(E854&lt;&gt;"",E854&lt;&gt;"!!!"),"NEW","")))</f>
        <v/>
      </c>
      <c r="G854" s="11" t="str">
        <f aca="false">IF(OR(E854="",E854="!!!"),"",IF(OR(J854=0,AND(J854=1,K854=1),AND(J854=1,I854="SBJ"),AND(J854=1,I854=0)),"?IN_FOCUS",IF(J854&lt;=2,"?ACTIVATED",IF(J854&lt;&gt;"","?FAMILIAR",IF(F854="NEW",IF(ISNA(VLOOKUP(E854,#REF!,1,FALSE())),"?TYPE_IDENTIFIABLE","?REFERENTIAL"),"_")))))</f>
        <v/>
      </c>
      <c r="H854" s="12" t="str">
        <f aca="false">IF(J854&lt;&gt;1,"",IF(I854="SBJ","CB","?"))</f>
        <v/>
      </c>
      <c r="I854" s="13" t="str">
        <f aca="false">IF(OR(E854="",E854="!!!",F854="NEW"),"",INDEX(B$2:B853,-1+SUMPRODUCT(MAX(ROW(E$2:E853)*(E854=E$2:E853)))))</f>
        <v/>
      </c>
      <c r="J854" s="14" t="str">
        <f aca="true">IF(OR(E854="",E854="!!!",F854="NEW"),"",COUNTBLANK(OFFSET(A$1,,,SUMPRODUCT(MAX(ROW(E$2:E854)*(E854=E$2:E854)))))-COUNTBLANK(OFFSET(A$1,,,SUMPRODUCT(MAX(ROW(E$1:E853)*(E854=E$1:E853))))))</f>
        <v/>
      </c>
      <c r="K854" s="14" t="str">
        <f aca="false">IF(OR(E854="",E854="!!!",F854="NEW"),"",INDEX(J$1:J853,SUMPRODUCT(MAX(ROW(E$1:E853)*(E854=E$1:E853)))))</f>
        <v/>
      </c>
      <c r="L854" s="15"/>
    </row>
    <row r="855" customFormat="false" ht="12.75" hidden="false" customHeight="false" outlineLevel="0" collapsed="false">
      <c r="A855" s="0" t="s">
        <v>465</v>
      </c>
      <c r="E855" s="9" t="str">
        <f aca="false">IF(D855="?OLD","!!!","")</f>
        <v/>
      </c>
      <c r="F855" s="10" t="str">
        <f aca="false">IF(OR(E855="",E855="!!!"),"",IF(NOT(ISNA(VLOOKUP(E855,E$1:E854,1,FALSE()))),"OLD",IF(AND(E855&lt;&gt;"",E855&lt;&gt;"!!!"),"NEW","")))</f>
        <v/>
      </c>
      <c r="G855" s="11" t="str">
        <f aca="false">IF(OR(E855="",E855="!!!"),"",IF(OR(J855=0,AND(J855=1,K855=1),AND(J855=1,I855="SBJ"),AND(J855=1,I855=0)),"?IN_FOCUS",IF(J855&lt;=2,"?ACTIVATED",IF(J855&lt;&gt;"","?FAMILIAR",IF(F855="NEW",IF(ISNA(VLOOKUP(E855,#REF!,1,FALSE())),"?TYPE_IDENTIFIABLE","?REFERENTIAL"),"_")))))</f>
        <v/>
      </c>
      <c r="H855" s="12" t="str">
        <f aca="false">IF(J855&lt;&gt;1,"",IF(I855="SBJ","CB","?"))</f>
        <v/>
      </c>
      <c r="I855" s="13" t="str">
        <f aca="false">IF(OR(E855="",E855="!!!",F855="NEW"),"",INDEX(B$2:B854,-1+SUMPRODUCT(MAX(ROW(E$2:E854)*(E855=E$2:E854)))))</f>
        <v/>
      </c>
      <c r="J855" s="14" t="str">
        <f aca="true">IF(OR(E855="",E855="!!!",F855="NEW"),"",COUNTBLANK(OFFSET(A$1,,,SUMPRODUCT(MAX(ROW(E$2:E855)*(E855=E$2:E855)))))-COUNTBLANK(OFFSET(A$1,,,SUMPRODUCT(MAX(ROW(E$1:E854)*(E855=E$1:E854))))))</f>
        <v/>
      </c>
      <c r="K855" s="14" t="str">
        <f aca="false">IF(OR(E855="",E855="!!!",F855="NEW"),"",INDEX(J$1:J854,SUMPRODUCT(MAX(ROW(E$1:E854)*(E855=E$1:E854)))))</f>
        <v/>
      </c>
      <c r="L855" s="15"/>
    </row>
    <row r="856" customFormat="false" ht="12.75" hidden="false" customHeight="false" outlineLevel="0" collapsed="false">
      <c r="A856" s="0" t="s">
        <v>466</v>
      </c>
      <c r="B856" s="0" t="s">
        <v>14</v>
      </c>
      <c r="C856" s="0" t="s">
        <v>15</v>
      </c>
      <c r="D856" s="0" t="s">
        <v>29</v>
      </c>
      <c r="E856" s="9" t="str">
        <f aca="false">IF(D856="?OLD","!!!","")</f>
        <v>!!!</v>
      </c>
      <c r="F856" s="10" t="str">
        <f aca="false">IF(OR(E856="",E856="!!!"),"",IF(NOT(ISNA(VLOOKUP(E856,E$1:E855,1,FALSE()))),"OLD",IF(AND(E856&lt;&gt;"",E856&lt;&gt;"!!!"),"NEW","")))</f>
        <v/>
      </c>
      <c r="G856" s="11" t="str">
        <f aca="false">IF(OR(E856="",E856="!!!"),"",IF(OR(J856=0,AND(J856=1,K856=1),AND(J856=1,I856="SBJ"),AND(J856=1,I856=0)),"?IN_FOCUS",IF(J856&lt;=2,"?ACTIVATED",IF(J856&lt;&gt;"","?FAMILIAR",IF(F856="NEW",IF(ISNA(VLOOKUP(E856,#REF!,1,FALSE())),"?TYPE_IDENTIFIABLE","?REFERENTIAL"),"_")))))</f>
        <v/>
      </c>
      <c r="H856" s="12" t="str">
        <f aca="false">IF(J856&lt;&gt;1,"",IF(I856="SBJ","CB","?"))</f>
        <v/>
      </c>
      <c r="I856" s="13" t="str">
        <f aca="false">IF(OR(E856="",E856="!!!",F856="NEW"),"",INDEX(B$2:B855,-1+SUMPRODUCT(MAX(ROW(E$2:E855)*(E856=E$2:E855)))))</f>
        <v/>
      </c>
      <c r="J856" s="14" t="str">
        <f aca="true">IF(OR(E856="",E856="!!!",F856="NEW"),"",COUNTBLANK(OFFSET(A$1,,,SUMPRODUCT(MAX(ROW(E$2:E856)*(E856=E$2:E856)))))-COUNTBLANK(OFFSET(A$1,,,SUMPRODUCT(MAX(ROW(E$1:E855)*(E856=E$1:E855))))))</f>
        <v/>
      </c>
      <c r="K856" s="14" t="str">
        <f aca="false">IF(OR(E856="",E856="!!!",F856="NEW"),"",INDEX(J$1:J855,SUMPRODUCT(MAX(ROW(E$1:E855)*(E856=E$1:E855)))))</f>
        <v/>
      </c>
      <c r="L856" s="15"/>
    </row>
    <row r="857" customFormat="false" ht="12.75" hidden="false" customHeight="false" outlineLevel="0" collapsed="false">
      <c r="A857" s="0" t="s">
        <v>19</v>
      </c>
      <c r="E857" s="9" t="str">
        <f aca="false">IF(D857="?OLD","!!!","")</f>
        <v/>
      </c>
      <c r="F857" s="10" t="str">
        <f aca="false">IF(OR(E857="",E857="!!!"),"",IF(NOT(ISNA(VLOOKUP(E857,E$1:E856,1,FALSE()))),"OLD",IF(AND(E857&lt;&gt;"",E857&lt;&gt;"!!!"),"NEW","")))</f>
        <v/>
      </c>
      <c r="G857" s="11" t="str">
        <f aca="false">IF(OR(E857="",E857="!!!"),"",IF(OR(J857=0,AND(J857=1,K857=1),AND(J857=1,I857="SBJ"),AND(J857=1,I857=0)),"?IN_FOCUS",IF(J857&lt;=2,"?ACTIVATED",IF(J857&lt;&gt;"","?FAMILIAR",IF(F857="NEW",IF(ISNA(VLOOKUP(E857,#REF!,1,FALSE())),"?TYPE_IDENTIFIABLE","?REFERENTIAL"),"_")))))</f>
        <v/>
      </c>
      <c r="H857" s="12" t="str">
        <f aca="false">IF(J857&lt;&gt;1,"",IF(I857="SBJ","CB","?"))</f>
        <v/>
      </c>
      <c r="I857" s="13" t="str">
        <f aca="false">IF(OR(E857="",E857="!!!",F857="NEW"),"",INDEX(B$2:B856,-1+SUMPRODUCT(MAX(ROW(E$2:E856)*(E857=E$2:E856)))))</f>
        <v/>
      </c>
      <c r="J857" s="14" t="str">
        <f aca="true">IF(OR(E857="",E857="!!!",F857="NEW"),"",COUNTBLANK(OFFSET(A$1,,,SUMPRODUCT(MAX(ROW(E$2:E857)*(E857=E$2:E857)))))-COUNTBLANK(OFFSET(A$1,,,SUMPRODUCT(MAX(ROW(E$1:E856)*(E857=E$1:E856))))))</f>
        <v/>
      </c>
      <c r="K857" s="14" t="str">
        <f aca="false">IF(OR(E857="",E857="!!!",F857="NEW"),"",INDEX(J$1:J856,SUMPRODUCT(MAX(ROW(E$1:E856)*(E857=E$1:E856)))))</f>
        <v/>
      </c>
      <c r="L857" s="15"/>
    </row>
    <row r="858" customFormat="false" ht="12.75" hidden="false" customHeight="false" outlineLevel="0" collapsed="false">
      <c r="A858" s="0" t="s">
        <v>429</v>
      </c>
      <c r="B858" s="0" t="s">
        <v>28</v>
      </c>
      <c r="C858" s="0" t="s">
        <v>38</v>
      </c>
      <c r="D858" s="0" t="s">
        <v>29</v>
      </c>
      <c r="E858" s="9" t="str">
        <f aca="false">IF(D858="?OLD","!!!","")</f>
        <v>!!!</v>
      </c>
      <c r="F858" s="10" t="str">
        <f aca="false">IF(OR(E858="",E858="!!!"),"",IF(NOT(ISNA(VLOOKUP(E858,E$1:E857,1,FALSE()))),"OLD",IF(AND(E858&lt;&gt;"",E858&lt;&gt;"!!!"),"NEW","")))</f>
        <v/>
      </c>
      <c r="G858" s="11" t="str">
        <f aca="false">IF(OR(E858="",E858="!!!"),"",IF(OR(J858=0,AND(J858=1,K858=1),AND(J858=1,I858="SBJ"),AND(J858=1,I858=0)),"?IN_FOCUS",IF(J858&lt;=2,"?ACTIVATED",IF(J858&lt;&gt;"","?FAMILIAR",IF(F858="NEW",IF(ISNA(VLOOKUP(E858,#REF!,1,FALSE())),"?TYPE_IDENTIFIABLE","?REFERENTIAL"),"_")))))</f>
        <v/>
      </c>
      <c r="H858" s="12" t="str">
        <f aca="false">IF(J858&lt;&gt;1,"",IF(I858="SBJ","CB","?"))</f>
        <v/>
      </c>
      <c r="I858" s="13" t="str">
        <f aca="false">IF(OR(E858="",E858="!!!",F858="NEW"),"",INDEX(B$2:B857,-1+SUMPRODUCT(MAX(ROW(E$2:E857)*(E858=E$2:E857)))))</f>
        <v/>
      </c>
      <c r="J858" s="14" t="str">
        <f aca="true">IF(OR(E858="",E858="!!!",F858="NEW"),"",COUNTBLANK(OFFSET(A$1,,,SUMPRODUCT(MAX(ROW(E$2:E858)*(E858=E$2:E858)))))-COUNTBLANK(OFFSET(A$1,,,SUMPRODUCT(MAX(ROW(E$1:E857)*(E858=E$1:E857))))))</f>
        <v/>
      </c>
      <c r="K858" s="14" t="str">
        <f aca="false">IF(OR(E858="",E858="!!!",F858="NEW"),"",INDEX(J$1:J857,SUMPRODUCT(MAX(ROW(E$1:E857)*(E858=E$1:E857)))))</f>
        <v/>
      </c>
      <c r="L858" s="15"/>
    </row>
    <row r="859" customFormat="false" ht="12.75" hidden="false" customHeight="false" outlineLevel="0" collapsed="false">
      <c r="A859" s="0" t="s">
        <v>95</v>
      </c>
      <c r="E859" s="9" t="str">
        <f aca="false">IF(D859="?OLD","!!!","")</f>
        <v/>
      </c>
      <c r="F859" s="10" t="str">
        <f aca="false">IF(OR(E859="",E859="!!!"),"",IF(NOT(ISNA(VLOOKUP(E859,E$1:E858,1,FALSE()))),"OLD",IF(AND(E859&lt;&gt;"",E859&lt;&gt;"!!!"),"NEW","")))</f>
        <v/>
      </c>
      <c r="G859" s="11" t="str">
        <f aca="false">IF(OR(E859="",E859="!!!"),"",IF(OR(J859=0,AND(J859=1,K859=1),AND(J859=1,I859="SBJ"),AND(J859=1,I859=0)),"?IN_FOCUS",IF(J859&lt;=2,"?ACTIVATED",IF(J859&lt;&gt;"","?FAMILIAR",IF(F859="NEW",IF(ISNA(VLOOKUP(E859,#REF!,1,FALSE())),"?TYPE_IDENTIFIABLE","?REFERENTIAL"),"_")))))</f>
        <v/>
      </c>
      <c r="H859" s="12" t="str">
        <f aca="false">IF(J859&lt;&gt;1,"",IF(I859="SBJ","CB","?"))</f>
        <v/>
      </c>
      <c r="I859" s="13" t="str">
        <f aca="false">IF(OR(E859="",E859="!!!",F859="NEW"),"",INDEX(B$2:B858,-1+SUMPRODUCT(MAX(ROW(E$2:E858)*(E859=E$2:E858)))))</f>
        <v/>
      </c>
      <c r="J859" s="14" t="str">
        <f aca="true">IF(OR(E859="",E859="!!!",F859="NEW"),"",COUNTBLANK(OFFSET(A$1,,,SUMPRODUCT(MAX(ROW(E$2:E859)*(E859=E$2:E859)))))-COUNTBLANK(OFFSET(A$1,,,SUMPRODUCT(MAX(ROW(E$1:E858)*(E859=E$1:E858))))))</f>
        <v/>
      </c>
      <c r="K859" s="14" t="str">
        <f aca="false">IF(OR(E859="",E859="!!!",F859="NEW"),"",INDEX(J$1:J858,SUMPRODUCT(MAX(ROW(E$1:E858)*(E859=E$1:E858)))))</f>
        <v/>
      </c>
      <c r="L859" s="15"/>
    </row>
    <row r="860" customFormat="false" ht="12.75" hidden="false" customHeight="false" outlineLevel="0" collapsed="false">
      <c r="A860" s="0" t="s">
        <v>467</v>
      </c>
      <c r="E860" s="9" t="str">
        <f aca="false">IF(D860="?OLD","!!!","")</f>
        <v/>
      </c>
      <c r="F860" s="10" t="str">
        <f aca="false">IF(OR(E860="",E860="!!!"),"",IF(NOT(ISNA(VLOOKUP(E860,E$1:E859,1,FALSE()))),"OLD",IF(AND(E860&lt;&gt;"",E860&lt;&gt;"!!!"),"NEW","")))</f>
        <v/>
      </c>
      <c r="G860" s="11" t="str">
        <f aca="false">IF(OR(E860="",E860="!!!"),"",IF(OR(J860=0,AND(J860=1,K860=1),AND(J860=1,I860="SBJ"),AND(J860=1,I860=0)),"?IN_FOCUS",IF(J860&lt;=2,"?ACTIVATED",IF(J860&lt;&gt;"","?FAMILIAR",IF(F860="NEW",IF(ISNA(VLOOKUP(E860,#REF!,1,FALSE())),"?TYPE_IDENTIFIABLE","?REFERENTIAL"),"_")))))</f>
        <v/>
      </c>
      <c r="H860" s="12" t="str">
        <f aca="false">IF(J860&lt;&gt;1,"",IF(I860="SBJ","CB","?"))</f>
        <v/>
      </c>
      <c r="I860" s="13" t="str">
        <f aca="false">IF(OR(E860="",E860="!!!",F860="NEW"),"",INDEX(B$2:B859,-1+SUMPRODUCT(MAX(ROW(E$2:E859)*(E860=E$2:E859)))))</f>
        <v/>
      </c>
      <c r="J860" s="14" t="str">
        <f aca="true">IF(OR(E860="",E860="!!!",F860="NEW"),"",COUNTBLANK(OFFSET(A$1,,,SUMPRODUCT(MAX(ROW(E$2:E860)*(E860=E$2:E860)))))-COUNTBLANK(OFFSET(A$1,,,SUMPRODUCT(MAX(ROW(E$1:E859)*(E860=E$1:E859))))))</f>
        <v/>
      </c>
      <c r="K860" s="14" t="str">
        <f aca="false">IF(OR(E860="",E860="!!!",F860="NEW"),"",INDEX(J$1:J859,SUMPRODUCT(MAX(ROW(E$1:E859)*(E860=E$1:E859)))))</f>
        <v/>
      </c>
      <c r="L860" s="15"/>
    </row>
    <row r="861" customFormat="false" ht="12.75" hidden="false" customHeight="false" outlineLevel="0" collapsed="false">
      <c r="A861" s="0" t="s">
        <v>468</v>
      </c>
      <c r="B861" s="0" t="s">
        <v>37</v>
      </c>
      <c r="C861" s="0" t="s">
        <v>120</v>
      </c>
      <c r="E861" s="9" t="str">
        <f aca="false">IF(D861="?OLD","!!!","")</f>
        <v/>
      </c>
      <c r="F861" s="10" t="str">
        <f aca="false">IF(OR(E861="",E861="!!!"),"",IF(NOT(ISNA(VLOOKUP(E861,E$1:E860,1,FALSE()))),"OLD",IF(AND(E861&lt;&gt;"",E861&lt;&gt;"!!!"),"NEW","")))</f>
        <v/>
      </c>
      <c r="G861" s="11" t="str">
        <f aca="false">IF(OR(E861="",E861="!!!"),"",IF(OR(J861=0,AND(J861=1,K861=1),AND(J861=1,I861="SBJ"),AND(J861=1,I861=0)),"?IN_FOCUS",IF(J861&lt;=2,"?ACTIVATED",IF(J861&lt;&gt;"","?FAMILIAR",IF(F861="NEW",IF(ISNA(VLOOKUP(E861,#REF!,1,FALSE())),"?TYPE_IDENTIFIABLE","?REFERENTIAL"),"_")))))</f>
        <v/>
      </c>
      <c r="H861" s="12" t="str">
        <f aca="false">IF(J861&lt;&gt;1,"",IF(I861="SBJ","CB","?"))</f>
        <v/>
      </c>
      <c r="I861" s="13" t="str">
        <f aca="false">IF(OR(E861="",E861="!!!",F861="NEW"),"",INDEX(B$2:B860,-1+SUMPRODUCT(MAX(ROW(E$2:E860)*(E861=E$2:E860)))))</f>
        <v/>
      </c>
      <c r="J861" s="14" t="str">
        <f aca="true">IF(OR(E861="",E861="!!!",F861="NEW"),"",COUNTBLANK(OFFSET(A$1,,,SUMPRODUCT(MAX(ROW(E$2:E861)*(E861=E$2:E861)))))-COUNTBLANK(OFFSET(A$1,,,SUMPRODUCT(MAX(ROW(E$1:E860)*(E861=E$1:E860))))))</f>
        <v/>
      </c>
      <c r="K861" s="14" t="str">
        <f aca="false">IF(OR(E861="",E861="!!!",F861="NEW"),"",INDEX(J$1:J860,SUMPRODUCT(MAX(ROW(E$1:E860)*(E861=E$1:E860)))))</f>
        <v/>
      </c>
      <c r="L861" s="15"/>
    </row>
    <row r="862" customFormat="false" ht="12.75" hidden="false" customHeight="false" outlineLevel="0" collapsed="false">
      <c r="A862" s="0" t="s">
        <v>31</v>
      </c>
      <c r="E862" s="9" t="str">
        <f aca="false">IF(D862="?OLD","!!!","")</f>
        <v/>
      </c>
      <c r="F862" s="10" t="str">
        <f aca="false">IF(OR(E862="",E862="!!!"),"",IF(NOT(ISNA(VLOOKUP(E862,E$1:E861,1,FALSE()))),"OLD",IF(AND(E862&lt;&gt;"",E862&lt;&gt;"!!!"),"NEW","")))</f>
        <v/>
      </c>
      <c r="G862" s="11" t="str">
        <f aca="false">IF(OR(E862="",E862="!!!"),"",IF(OR(J862=0,AND(J862=1,K862=1),AND(J862=1,I862="SBJ"),AND(J862=1,I862=0)),"?IN_FOCUS",IF(J862&lt;=2,"?ACTIVATED",IF(J862&lt;&gt;"","?FAMILIAR",IF(F862="NEW",IF(ISNA(VLOOKUP(E862,#REF!,1,FALSE())),"?TYPE_IDENTIFIABLE","?REFERENTIAL"),"_")))))</f>
        <v/>
      </c>
      <c r="H862" s="12" t="str">
        <f aca="false">IF(J862&lt;&gt;1,"",IF(I862="SBJ","CB","?"))</f>
        <v/>
      </c>
      <c r="I862" s="13" t="str">
        <f aca="false">IF(OR(E862="",E862="!!!",F862="NEW"),"",INDEX(B$2:B861,-1+SUMPRODUCT(MAX(ROW(E$2:E861)*(E862=E$2:E861)))))</f>
        <v/>
      </c>
      <c r="J862" s="14" t="str">
        <f aca="true">IF(OR(E862="",E862="!!!",F862="NEW"),"",COUNTBLANK(OFFSET(A$1,,,SUMPRODUCT(MAX(ROW(E$2:E862)*(E862=E$2:E862)))))-COUNTBLANK(OFFSET(A$1,,,SUMPRODUCT(MAX(ROW(E$1:E861)*(E862=E$1:E861))))))</f>
        <v/>
      </c>
      <c r="K862" s="14" t="str">
        <f aca="false">IF(OR(E862="",E862="!!!",F862="NEW"),"",INDEX(J$1:J861,SUMPRODUCT(MAX(ROW(E$1:E861)*(E862=E$1:E861)))))</f>
        <v/>
      </c>
      <c r="L862" s="15"/>
    </row>
    <row r="863" customFormat="false" ht="12.75" hidden="false" customHeight="false" outlineLevel="0" collapsed="false">
      <c r="A863" s="0" t="s">
        <v>88</v>
      </c>
      <c r="E863" s="9" t="str">
        <f aca="false">IF(D863="?OLD","!!!","")</f>
        <v/>
      </c>
      <c r="F863" s="10" t="str">
        <f aca="false">IF(OR(E863="",E863="!!!"),"",IF(NOT(ISNA(VLOOKUP(E863,E$1:E862,1,FALSE()))),"OLD",IF(AND(E863&lt;&gt;"",E863&lt;&gt;"!!!"),"NEW","")))</f>
        <v/>
      </c>
      <c r="G863" s="11" t="str">
        <f aca="false">IF(OR(E863="",E863="!!!"),"",IF(OR(J863=0,AND(J863=1,K863=1),AND(J863=1,I863="SBJ"),AND(J863=1,I863=0)),"?IN_FOCUS",IF(J863&lt;=2,"?ACTIVATED",IF(J863&lt;&gt;"","?FAMILIAR",IF(F863="NEW",IF(ISNA(VLOOKUP(E863,#REF!,1,FALSE())),"?TYPE_IDENTIFIABLE","?REFERENTIAL"),"_")))))</f>
        <v/>
      </c>
      <c r="H863" s="12" t="str">
        <f aca="false">IF(J863&lt;&gt;1,"",IF(I863="SBJ","CB","?"))</f>
        <v/>
      </c>
      <c r="I863" s="13" t="str">
        <f aca="false">IF(OR(E863="",E863="!!!",F863="NEW"),"",INDEX(B$2:B862,-1+SUMPRODUCT(MAX(ROW(E$2:E862)*(E863=E$2:E862)))))</f>
        <v/>
      </c>
      <c r="J863" s="14" t="str">
        <f aca="true">IF(OR(E863="",E863="!!!",F863="NEW"),"",COUNTBLANK(OFFSET(A$1,,,SUMPRODUCT(MAX(ROW(E$2:E863)*(E863=E$2:E863)))))-COUNTBLANK(OFFSET(A$1,,,SUMPRODUCT(MAX(ROW(E$1:E862)*(E863=E$1:E862))))))</f>
        <v/>
      </c>
      <c r="K863" s="14" t="str">
        <f aca="false">IF(OR(E863="",E863="!!!",F863="NEW"),"",INDEX(J$1:J862,SUMPRODUCT(MAX(ROW(E$1:E862)*(E863=E$1:E862)))))</f>
        <v/>
      </c>
      <c r="L863" s="15"/>
    </row>
    <row r="864" customFormat="false" ht="12.75" hidden="false" customHeight="false" outlineLevel="0" collapsed="false">
      <c r="A864" s="0" t="s">
        <v>469</v>
      </c>
      <c r="B864" s="0" t="s">
        <v>42</v>
      </c>
      <c r="C864" s="0" t="s">
        <v>120</v>
      </c>
      <c r="E864" s="9" t="str">
        <f aca="false">IF(D864="?OLD","!!!","")</f>
        <v/>
      </c>
      <c r="F864" s="10" t="str">
        <f aca="false">IF(OR(E864="",E864="!!!"),"",IF(NOT(ISNA(VLOOKUP(E864,E$1:E863,1,FALSE()))),"OLD",IF(AND(E864&lt;&gt;"",E864&lt;&gt;"!!!"),"NEW","")))</f>
        <v/>
      </c>
      <c r="G864" s="11" t="str">
        <f aca="false">IF(OR(E864="",E864="!!!"),"",IF(OR(J864=0,AND(J864=1,K864=1),AND(J864=1,I864="SBJ"),AND(J864=1,I864=0)),"?IN_FOCUS",IF(J864&lt;=2,"?ACTIVATED",IF(J864&lt;&gt;"","?FAMILIAR",IF(F864="NEW",IF(ISNA(VLOOKUP(E864,#REF!,1,FALSE())),"?TYPE_IDENTIFIABLE","?REFERENTIAL"),"_")))))</f>
        <v/>
      </c>
      <c r="H864" s="12" t="str">
        <f aca="false">IF(J864&lt;&gt;1,"",IF(I864="SBJ","CB","?"))</f>
        <v/>
      </c>
      <c r="I864" s="13" t="str">
        <f aca="false">IF(OR(E864="",E864="!!!",F864="NEW"),"",INDEX(B$2:B863,-1+SUMPRODUCT(MAX(ROW(E$2:E863)*(E864=E$2:E863)))))</f>
        <v/>
      </c>
      <c r="J864" s="14" t="str">
        <f aca="true">IF(OR(E864="",E864="!!!",F864="NEW"),"",COUNTBLANK(OFFSET(A$1,,,SUMPRODUCT(MAX(ROW(E$2:E864)*(E864=E$2:E864)))))-COUNTBLANK(OFFSET(A$1,,,SUMPRODUCT(MAX(ROW(E$1:E863)*(E864=E$1:E863))))))</f>
        <v/>
      </c>
      <c r="K864" s="14" t="str">
        <f aca="false">IF(OR(E864="",E864="!!!",F864="NEW"),"",INDEX(J$1:J863,SUMPRODUCT(MAX(ROW(E$1:E863)*(E864=E$1:E863)))))</f>
        <v/>
      </c>
      <c r="L864" s="15"/>
    </row>
    <row r="865" customFormat="false" ht="12.75" hidden="false" customHeight="false" outlineLevel="0" collapsed="false">
      <c r="A865" s="0" t="s">
        <v>88</v>
      </c>
      <c r="E865" s="9" t="str">
        <f aca="false">IF(D865="?OLD","!!!","")</f>
        <v/>
      </c>
      <c r="F865" s="10" t="str">
        <f aca="false">IF(OR(E865="",E865="!!!"),"",IF(NOT(ISNA(VLOOKUP(E865,E$1:E864,1,FALSE()))),"OLD",IF(AND(E865&lt;&gt;"",E865&lt;&gt;"!!!"),"NEW","")))</f>
        <v/>
      </c>
      <c r="G865" s="11" t="str">
        <f aca="false">IF(OR(E865="",E865="!!!"),"",IF(OR(J865=0,AND(J865=1,K865=1),AND(J865=1,I865="SBJ"),AND(J865=1,I865=0)),"?IN_FOCUS",IF(J865&lt;=2,"?ACTIVATED",IF(J865&lt;&gt;"","?FAMILIAR",IF(F865="NEW",IF(ISNA(VLOOKUP(E865,#REF!,1,FALSE())),"?TYPE_IDENTIFIABLE","?REFERENTIAL"),"_")))))</f>
        <v/>
      </c>
      <c r="H865" s="12" t="str">
        <f aca="false">IF(J865&lt;&gt;1,"",IF(I865="SBJ","CB","?"))</f>
        <v/>
      </c>
      <c r="I865" s="13" t="str">
        <f aca="false">IF(OR(E865="",E865="!!!",F865="NEW"),"",INDEX(B$2:B864,-1+SUMPRODUCT(MAX(ROW(E$2:E864)*(E865=E$2:E864)))))</f>
        <v/>
      </c>
      <c r="J865" s="14" t="str">
        <f aca="true">IF(OR(E865="",E865="!!!",F865="NEW"),"",COUNTBLANK(OFFSET(A$1,,,SUMPRODUCT(MAX(ROW(E$2:E865)*(E865=E$2:E865)))))-COUNTBLANK(OFFSET(A$1,,,SUMPRODUCT(MAX(ROW(E$1:E864)*(E865=E$1:E864))))))</f>
        <v/>
      </c>
      <c r="K865" s="14" t="str">
        <f aca="false">IF(OR(E865="",E865="!!!",F865="NEW"),"",INDEX(J$1:J864,SUMPRODUCT(MAX(ROW(E$1:E864)*(E865=E$1:E864)))))</f>
        <v/>
      </c>
      <c r="L865" s="15"/>
    </row>
    <row r="866" customFormat="false" ht="12.75" hidden="false" customHeight="false" outlineLevel="0" collapsed="false">
      <c r="A866" s="0" t="s">
        <v>470</v>
      </c>
      <c r="B866" s="0" t="s">
        <v>22</v>
      </c>
      <c r="C866" s="0" t="s">
        <v>120</v>
      </c>
      <c r="E866" s="9" t="str">
        <f aca="false">IF(D866="?OLD","!!!","")</f>
        <v/>
      </c>
      <c r="F866" s="10" t="str">
        <f aca="false">IF(OR(E866="",E866="!!!"),"",IF(NOT(ISNA(VLOOKUP(E866,E$1:E865,1,FALSE()))),"OLD",IF(AND(E866&lt;&gt;"",E866&lt;&gt;"!!!"),"NEW","")))</f>
        <v/>
      </c>
      <c r="G866" s="11" t="str">
        <f aca="false">IF(OR(E866="",E866="!!!"),"",IF(OR(J866=0,AND(J866=1,K866=1),AND(J866=1,I866="SBJ"),AND(J866=1,I866=0)),"?IN_FOCUS",IF(J866&lt;=2,"?ACTIVATED",IF(J866&lt;&gt;"","?FAMILIAR",IF(F866="NEW",IF(ISNA(VLOOKUP(E866,#REF!,1,FALSE())),"?TYPE_IDENTIFIABLE","?REFERENTIAL"),"_")))))</f>
        <v/>
      </c>
      <c r="H866" s="12" t="str">
        <f aca="false">IF(J866&lt;&gt;1,"",IF(I866="SBJ","CB","?"))</f>
        <v/>
      </c>
      <c r="I866" s="13" t="str">
        <f aca="false">IF(OR(E866="",E866="!!!",F866="NEW"),"",INDEX(B$2:B865,-1+SUMPRODUCT(MAX(ROW(E$2:E865)*(E866=E$2:E865)))))</f>
        <v/>
      </c>
      <c r="J866" s="14" t="str">
        <f aca="true">IF(OR(E866="",E866="!!!",F866="NEW"),"",COUNTBLANK(OFFSET(A$1,,,SUMPRODUCT(MAX(ROW(E$2:E866)*(E866=E$2:E866)))))-COUNTBLANK(OFFSET(A$1,,,SUMPRODUCT(MAX(ROW(E$1:E865)*(E866=E$1:E865))))))</f>
        <v/>
      </c>
      <c r="K866" s="14" t="str">
        <f aca="false">IF(OR(E866="",E866="!!!",F866="NEW"),"",INDEX(J$1:J865,SUMPRODUCT(MAX(ROW(E$1:E865)*(E866=E$1:E865)))))</f>
        <v/>
      </c>
      <c r="L866" s="15"/>
    </row>
    <row r="867" customFormat="false" ht="12.75" hidden="false" customHeight="false" outlineLevel="0" collapsed="false">
      <c r="A867" s="0" t="s">
        <v>95</v>
      </c>
      <c r="E867" s="9" t="str">
        <f aca="false">IF(D867="?OLD","!!!","")</f>
        <v/>
      </c>
      <c r="F867" s="10" t="str">
        <f aca="false">IF(OR(E867="",E867="!!!"),"",IF(NOT(ISNA(VLOOKUP(E867,E$1:E866,1,FALSE()))),"OLD",IF(AND(E867&lt;&gt;"",E867&lt;&gt;"!!!"),"NEW","")))</f>
        <v/>
      </c>
      <c r="G867" s="11" t="str">
        <f aca="false">IF(OR(E867="",E867="!!!"),"",IF(OR(J867=0,AND(J867=1,K867=1),AND(J867=1,I867="SBJ"),AND(J867=1,I867=0)),"?IN_FOCUS",IF(J867&lt;=2,"?ACTIVATED",IF(J867&lt;&gt;"","?FAMILIAR",IF(F867="NEW",IF(ISNA(VLOOKUP(E867,#REF!,1,FALSE())),"?TYPE_IDENTIFIABLE","?REFERENTIAL"),"_")))))</f>
        <v/>
      </c>
      <c r="H867" s="12" t="str">
        <f aca="false">IF(J867&lt;&gt;1,"",IF(I867="SBJ","CB","?"))</f>
        <v/>
      </c>
      <c r="I867" s="13" t="str">
        <f aca="false">IF(OR(E867="",E867="!!!",F867="NEW"),"",INDEX(B$2:B866,-1+SUMPRODUCT(MAX(ROW(E$2:E866)*(E867=E$2:E866)))))</f>
        <v/>
      </c>
      <c r="J867" s="14" t="str">
        <f aca="true">IF(OR(E867="",E867="!!!",F867="NEW"),"",COUNTBLANK(OFFSET(A$1,,,SUMPRODUCT(MAX(ROW(E$2:E867)*(E867=E$2:E867)))))-COUNTBLANK(OFFSET(A$1,,,SUMPRODUCT(MAX(ROW(E$1:E866)*(E867=E$1:E866))))))</f>
        <v/>
      </c>
      <c r="K867" s="14" t="str">
        <f aca="false">IF(OR(E867="",E867="!!!",F867="NEW"),"",INDEX(J$1:J866,SUMPRODUCT(MAX(ROW(E$1:E866)*(E867=E$1:E866)))))</f>
        <v/>
      </c>
      <c r="L867" s="15"/>
    </row>
    <row r="868" customFormat="false" ht="12.75" hidden="false" customHeight="false" outlineLevel="0" collapsed="false">
      <c r="A868" s="0" t="s">
        <v>136</v>
      </c>
      <c r="E868" s="9" t="str">
        <f aca="false">IF(D868="?OLD","!!!","")</f>
        <v/>
      </c>
      <c r="F868" s="10" t="str">
        <f aca="false">IF(OR(E868="",E868="!!!"),"",IF(NOT(ISNA(VLOOKUP(E868,E$1:E867,1,FALSE()))),"OLD",IF(AND(E868&lt;&gt;"",E868&lt;&gt;"!!!"),"NEW","")))</f>
        <v/>
      </c>
      <c r="G868" s="11" t="str">
        <f aca="false">IF(OR(E868="",E868="!!!"),"",IF(OR(J868=0,AND(J868=1,K868=1),AND(J868=1,I868="SBJ"),AND(J868=1,I868=0)),"?IN_FOCUS",IF(J868&lt;=2,"?ACTIVATED",IF(J868&lt;&gt;"","?FAMILIAR",IF(F868="NEW",IF(ISNA(VLOOKUP(E868,#REF!,1,FALSE())),"?TYPE_IDENTIFIABLE","?REFERENTIAL"),"_")))))</f>
        <v/>
      </c>
      <c r="H868" s="12" t="str">
        <f aca="false">IF(J868&lt;&gt;1,"",IF(I868="SBJ","CB","?"))</f>
        <v/>
      </c>
      <c r="I868" s="13" t="str">
        <f aca="false">IF(OR(E868="",E868="!!!",F868="NEW"),"",INDEX(B$2:B867,-1+SUMPRODUCT(MAX(ROW(E$2:E867)*(E868=E$2:E867)))))</f>
        <v/>
      </c>
      <c r="J868" s="14" t="str">
        <f aca="true">IF(OR(E868="",E868="!!!",F868="NEW"),"",COUNTBLANK(OFFSET(A$1,,,SUMPRODUCT(MAX(ROW(E$2:E868)*(E868=E$2:E868)))))-COUNTBLANK(OFFSET(A$1,,,SUMPRODUCT(MAX(ROW(E$1:E867)*(E868=E$1:E867))))))</f>
        <v/>
      </c>
      <c r="K868" s="14" t="str">
        <f aca="false">IF(OR(E868="",E868="!!!",F868="NEW"),"",INDEX(J$1:J867,SUMPRODUCT(MAX(ROW(E$1:E867)*(E868=E$1:E867)))))</f>
        <v/>
      </c>
      <c r="L868" s="15"/>
    </row>
    <row r="869" customFormat="false" ht="12.75" hidden="false" customHeight="false" outlineLevel="0" collapsed="false">
      <c r="A869" s="0" t="s">
        <v>141</v>
      </c>
      <c r="B869" s="0" t="s">
        <v>62</v>
      </c>
      <c r="C869" s="0" t="s">
        <v>15</v>
      </c>
      <c r="D869" s="0" t="s">
        <v>29</v>
      </c>
      <c r="E869" s="9" t="str">
        <f aca="false">IF(D869="?OLD","!!!","")</f>
        <v>!!!</v>
      </c>
      <c r="F869" s="10" t="str">
        <f aca="false">IF(OR(E869="",E869="!!!"),"",IF(NOT(ISNA(VLOOKUP(E869,E$1:E868,1,FALSE()))),"OLD",IF(AND(E869&lt;&gt;"",E869&lt;&gt;"!!!"),"NEW","")))</f>
        <v/>
      </c>
      <c r="G869" s="11" t="str">
        <f aca="false">IF(OR(E869="",E869="!!!"),"",IF(OR(J869=0,AND(J869=1,K869=1),AND(J869=1,I869="SBJ"),AND(J869=1,I869=0)),"?IN_FOCUS",IF(J869&lt;=2,"?ACTIVATED",IF(J869&lt;&gt;"","?FAMILIAR",IF(F869="NEW",IF(ISNA(VLOOKUP(E869,#REF!,1,FALSE())),"?TYPE_IDENTIFIABLE","?REFERENTIAL"),"_")))))</f>
        <v/>
      </c>
      <c r="H869" s="12" t="str">
        <f aca="false">IF(J869&lt;&gt;1,"",IF(I869="SBJ","CB","?"))</f>
        <v/>
      </c>
      <c r="I869" s="13" t="str">
        <f aca="false">IF(OR(E869="",E869="!!!",F869="NEW"),"",INDEX(B$2:B868,-1+SUMPRODUCT(MAX(ROW(E$2:E868)*(E869=E$2:E868)))))</f>
        <v/>
      </c>
      <c r="J869" s="14" t="str">
        <f aca="true">IF(OR(E869="",E869="!!!",F869="NEW"),"",COUNTBLANK(OFFSET(A$1,,,SUMPRODUCT(MAX(ROW(E$2:E869)*(E869=E$2:E869)))))-COUNTBLANK(OFFSET(A$1,,,SUMPRODUCT(MAX(ROW(E$1:E868)*(E869=E$1:E868))))))</f>
        <v/>
      </c>
      <c r="K869" s="14" t="str">
        <f aca="false">IF(OR(E869="",E869="!!!",F869="NEW"),"",INDEX(J$1:J868,SUMPRODUCT(MAX(ROW(E$1:E868)*(E869=E$1:E868)))))</f>
        <v/>
      </c>
      <c r="L869" s="15"/>
    </row>
    <row r="870" customFormat="false" ht="12.75" hidden="false" customHeight="false" outlineLevel="0" collapsed="false">
      <c r="A870" s="0" t="s">
        <v>19</v>
      </c>
      <c r="E870" s="9" t="str">
        <f aca="false">IF(D870="?OLD","!!!","")</f>
        <v/>
      </c>
      <c r="F870" s="10" t="str">
        <f aca="false">IF(OR(E870="",E870="!!!"),"",IF(NOT(ISNA(VLOOKUP(E870,E$1:E869,1,FALSE()))),"OLD",IF(AND(E870&lt;&gt;"",E870&lt;&gt;"!!!"),"NEW","")))</f>
        <v/>
      </c>
      <c r="G870" s="11" t="str">
        <f aca="false">IF(OR(E870="",E870="!!!"),"",IF(OR(J870=0,AND(J870=1,K870=1),AND(J870=1,I870="SBJ"),AND(J870=1,I870=0)),"?IN_FOCUS",IF(J870&lt;=2,"?ACTIVATED",IF(J870&lt;&gt;"","?FAMILIAR",IF(F870="NEW",IF(ISNA(VLOOKUP(E870,#REF!,1,FALSE())),"?TYPE_IDENTIFIABLE","?REFERENTIAL"),"_")))))</f>
        <v/>
      </c>
      <c r="H870" s="12" t="str">
        <f aca="false">IF(J870&lt;&gt;1,"",IF(I870="SBJ","CB","?"))</f>
        <v/>
      </c>
      <c r="I870" s="13" t="str">
        <f aca="false">IF(OR(E870="",E870="!!!",F870="NEW"),"",INDEX(B$2:B869,-1+SUMPRODUCT(MAX(ROW(E$2:E869)*(E870=E$2:E869)))))</f>
        <v/>
      </c>
      <c r="J870" s="14" t="str">
        <f aca="true">IF(OR(E870="",E870="!!!",F870="NEW"),"",COUNTBLANK(OFFSET(A$1,,,SUMPRODUCT(MAX(ROW(E$2:E870)*(E870=E$2:E870)))))-COUNTBLANK(OFFSET(A$1,,,SUMPRODUCT(MAX(ROW(E$1:E869)*(E870=E$1:E869))))))</f>
        <v/>
      </c>
      <c r="K870" s="14" t="str">
        <f aca="false">IF(OR(E870="",E870="!!!",F870="NEW"),"",INDEX(J$1:J869,SUMPRODUCT(MAX(ROW(E$1:E869)*(E870=E$1:E869)))))</f>
        <v/>
      </c>
      <c r="L870" s="15"/>
    </row>
    <row r="871" customFormat="false" ht="12.75" hidden="false" customHeight="false" outlineLevel="0" collapsed="false">
      <c r="A871" s="0" t="s">
        <v>429</v>
      </c>
      <c r="B871" s="0" t="s">
        <v>28</v>
      </c>
      <c r="C871" s="0" t="s">
        <v>38</v>
      </c>
      <c r="D871" s="0" t="s">
        <v>29</v>
      </c>
      <c r="E871" s="9" t="str">
        <f aca="false">IF(D871="?OLD","!!!","")</f>
        <v>!!!</v>
      </c>
      <c r="F871" s="10" t="str">
        <f aca="false">IF(OR(E871="",E871="!!!"),"",IF(NOT(ISNA(VLOOKUP(E871,E$1:E870,1,FALSE()))),"OLD",IF(AND(E871&lt;&gt;"",E871&lt;&gt;"!!!"),"NEW","")))</f>
        <v/>
      </c>
      <c r="G871" s="11" t="str">
        <f aca="false">IF(OR(E871="",E871="!!!"),"",IF(OR(J871=0,AND(J871=1,K871=1),AND(J871=1,I871="SBJ"),AND(J871=1,I871=0)),"?IN_FOCUS",IF(J871&lt;=2,"?ACTIVATED",IF(J871&lt;&gt;"","?FAMILIAR",IF(F871="NEW",IF(ISNA(VLOOKUP(E871,#REF!,1,FALSE())),"?TYPE_IDENTIFIABLE","?REFERENTIAL"),"_")))))</f>
        <v/>
      </c>
      <c r="H871" s="12" t="str">
        <f aca="false">IF(J871&lt;&gt;1,"",IF(I871="SBJ","CB","?"))</f>
        <v/>
      </c>
      <c r="I871" s="13" t="str">
        <f aca="false">IF(OR(E871="",E871="!!!",F871="NEW"),"",INDEX(B$2:B870,-1+SUMPRODUCT(MAX(ROW(E$2:E870)*(E871=E$2:E870)))))</f>
        <v/>
      </c>
      <c r="J871" s="14" t="str">
        <f aca="true">IF(OR(E871="",E871="!!!",F871="NEW"),"",COUNTBLANK(OFFSET(A$1,,,SUMPRODUCT(MAX(ROW(E$2:E871)*(E871=E$2:E871)))))-COUNTBLANK(OFFSET(A$1,,,SUMPRODUCT(MAX(ROW(E$1:E870)*(E871=E$1:E870))))))</f>
        <v/>
      </c>
      <c r="K871" s="14" t="str">
        <f aca="false">IF(OR(E871="",E871="!!!",F871="NEW"),"",INDEX(J$1:J870,SUMPRODUCT(MAX(ROW(E$1:E870)*(E871=E$1:E870)))))</f>
        <v/>
      </c>
      <c r="L871" s="15"/>
    </row>
    <row r="872" customFormat="false" ht="12.75" hidden="false" customHeight="false" outlineLevel="0" collapsed="false">
      <c r="A872" s="0" t="s">
        <v>73</v>
      </c>
      <c r="E872" s="9" t="str">
        <f aca="false">IF(D872="?OLD","!!!","")</f>
        <v/>
      </c>
      <c r="F872" s="10" t="str">
        <f aca="false">IF(OR(E872="",E872="!!!"),"",IF(NOT(ISNA(VLOOKUP(E872,E$1:E871,1,FALSE()))),"OLD",IF(AND(E872&lt;&gt;"",E872&lt;&gt;"!!!"),"NEW","")))</f>
        <v/>
      </c>
      <c r="G872" s="11" t="str">
        <f aca="false">IF(OR(E872="",E872="!!!"),"",IF(OR(J872=0,AND(J872=1,K872=1),AND(J872=1,I872="SBJ"),AND(J872=1,I872=0)),"?IN_FOCUS",IF(J872&lt;=2,"?ACTIVATED",IF(J872&lt;&gt;"","?FAMILIAR",IF(F872="NEW",IF(ISNA(VLOOKUP(E872,#REF!,1,FALSE())),"?TYPE_IDENTIFIABLE","?REFERENTIAL"),"_")))))</f>
        <v/>
      </c>
      <c r="H872" s="12" t="str">
        <f aca="false">IF(J872&lt;&gt;1,"",IF(I872="SBJ","CB","?"))</f>
        <v/>
      </c>
      <c r="I872" s="13" t="str">
        <f aca="false">IF(OR(E872="",E872="!!!",F872="NEW"),"",INDEX(B$2:B871,-1+SUMPRODUCT(MAX(ROW(E$2:E871)*(E872=E$2:E871)))))</f>
        <v/>
      </c>
      <c r="J872" s="14" t="str">
        <f aca="true">IF(OR(E872="",E872="!!!",F872="NEW"),"",COUNTBLANK(OFFSET(A$1,,,SUMPRODUCT(MAX(ROW(E$2:E872)*(E872=E$2:E872)))))-COUNTBLANK(OFFSET(A$1,,,SUMPRODUCT(MAX(ROW(E$1:E871)*(E872=E$1:E871))))))</f>
        <v/>
      </c>
      <c r="K872" s="14" t="str">
        <f aca="false">IF(OR(E872="",E872="!!!",F872="NEW"),"",INDEX(J$1:J871,SUMPRODUCT(MAX(ROW(E$1:E871)*(E872=E$1:E871)))))</f>
        <v/>
      </c>
      <c r="L872" s="15"/>
    </row>
    <row r="873" customFormat="false" ht="12.75" hidden="false" customHeight="false" outlineLevel="0" collapsed="false">
      <c r="E873" s="9" t="str">
        <f aca="false">IF(D873="?OLD","!!!","")</f>
        <v/>
      </c>
      <c r="F873" s="10" t="str">
        <f aca="false">IF(OR(E873="",E873="!!!"),"",IF(NOT(ISNA(VLOOKUP(E873,E$1:E872,1,FALSE()))),"OLD",IF(AND(E873&lt;&gt;"",E873&lt;&gt;"!!!"),"NEW","")))</f>
        <v/>
      </c>
      <c r="G873" s="11" t="str">
        <f aca="false">IF(OR(E873="",E873="!!!"),"",IF(OR(J873=0,AND(J873=1,K873=1),AND(J873=1,I873="SBJ"),AND(J873=1,I873=0)),"?IN_FOCUS",IF(J873&lt;=2,"?ACTIVATED",IF(J873&lt;&gt;"","?FAMILIAR",IF(F873="NEW",IF(ISNA(VLOOKUP(E873,#REF!,1,FALSE())),"?TYPE_IDENTIFIABLE","?REFERENTIAL"),"_")))))</f>
        <v/>
      </c>
      <c r="H873" s="12" t="str">
        <f aca="false">IF(J873&lt;&gt;1,"",IF(I873="SBJ","CB","?"))</f>
        <v/>
      </c>
      <c r="I873" s="13" t="str">
        <f aca="false">IF(OR(E873="",E873="!!!",F873="NEW"),"",INDEX(B$2:B872,-1+SUMPRODUCT(MAX(ROW(E$2:E872)*(E873=E$2:E872)))))</f>
        <v/>
      </c>
      <c r="J873" s="14" t="str">
        <f aca="true">IF(OR(E873="",E873="!!!",F873="NEW"),"",COUNTBLANK(OFFSET(A$1,,,SUMPRODUCT(MAX(ROW(E$2:E873)*(E873=E$2:E873)))))-COUNTBLANK(OFFSET(A$1,,,SUMPRODUCT(MAX(ROW(E$1:E872)*(E873=E$1:E872))))))</f>
        <v/>
      </c>
      <c r="K873" s="14" t="str">
        <f aca="false">IF(OR(E873="",E873="!!!",F873="NEW"),"",INDEX(J$1:J872,SUMPRODUCT(MAX(ROW(E$1:E872)*(E873=E$1:E872)))))</f>
        <v/>
      </c>
      <c r="L873" s="15"/>
    </row>
    <row r="874" customFormat="false" ht="12.75" hidden="false" customHeight="false" outlineLevel="0" collapsed="false">
      <c r="A874" s="0" t="s">
        <v>471</v>
      </c>
      <c r="E874" s="9" t="str">
        <f aca="false">IF(D874="?OLD","!!!","")</f>
        <v/>
      </c>
      <c r="F874" s="10" t="str">
        <f aca="false">IF(OR(E874="",E874="!!!"),"",IF(NOT(ISNA(VLOOKUP(E874,E$1:E873,1,FALSE()))),"OLD",IF(AND(E874&lt;&gt;"",E874&lt;&gt;"!!!"),"NEW","")))</f>
        <v/>
      </c>
      <c r="G874" s="11" t="str">
        <f aca="false">IF(OR(E874="",E874="!!!"),"",IF(OR(J874=0,AND(J874=1,K874=1),AND(J874=1,I874="SBJ"),AND(J874=1,I874=0)),"?IN_FOCUS",IF(J874&lt;=2,"?ACTIVATED",IF(J874&lt;&gt;"","?FAMILIAR",IF(F874="NEW",IF(ISNA(VLOOKUP(E874,#REF!,1,FALSE())),"?TYPE_IDENTIFIABLE","?REFERENTIAL"),"_")))))</f>
        <v/>
      </c>
      <c r="H874" s="12" t="str">
        <f aca="false">IF(J874&lt;&gt;1,"",IF(I874="SBJ","CB","?"))</f>
        <v/>
      </c>
      <c r="I874" s="13" t="str">
        <f aca="false">IF(OR(E874="",E874="!!!",F874="NEW"),"",INDEX(B$2:B873,-1+SUMPRODUCT(MAX(ROW(E$2:E873)*(E874=E$2:E873)))))</f>
        <v/>
      </c>
      <c r="J874" s="14" t="str">
        <f aca="true">IF(OR(E874="",E874="!!!",F874="NEW"),"",COUNTBLANK(OFFSET(A$1,,,SUMPRODUCT(MAX(ROW(E$2:E874)*(E874=E$2:E874)))))-COUNTBLANK(OFFSET(A$1,,,SUMPRODUCT(MAX(ROW(E$1:E873)*(E874=E$1:E873))))))</f>
        <v/>
      </c>
      <c r="K874" s="14" t="str">
        <f aca="false">IF(OR(E874="",E874="!!!",F874="NEW"),"",INDEX(J$1:J873,SUMPRODUCT(MAX(ROW(E$1:E873)*(E874=E$1:E873)))))</f>
        <v/>
      </c>
      <c r="L874" s="15"/>
    </row>
    <row r="875" customFormat="false" ht="12.75" hidden="false" customHeight="false" outlineLevel="0" collapsed="false">
      <c r="A875" s="0" t="s">
        <v>458</v>
      </c>
      <c r="B875" s="0" t="s">
        <v>14</v>
      </c>
      <c r="C875" s="0" t="s">
        <v>23</v>
      </c>
      <c r="D875" s="0" t="s">
        <v>29</v>
      </c>
      <c r="E875" s="9" t="str">
        <f aca="false">IF(D875="?OLD","!!!","")</f>
        <v>!!!</v>
      </c>
      <c r="F875" s="10" t="str">
        <f aca="false">IF(OR(E875="",E875="!!!"),"",IF(NOT(ISNA(VLOOKUP(E875,E$1:E874,1,FALSE()))),"OLD",IF(AND(E875&lt;&gt;"",E875&lt;&gt;"!!!"),"NEW","")))</f>
        <v/>
      </c>
      <c r="G875" s="11" t="str">
        <f aca="false">IF(OR(E875="",E875="!!!"),"",IF(OR(J875=0,AND(J875=1,K875=1),AND(J875=1,I875="SBJ"),AND(J875=1,I875=0)),"?IN_FOCUS",IF(J875&lt;=2,"?ACTIVATED",IF(J875&lt;&gt;"","?FAMILIAR",IF(F875="NEW",IF(ISNA(VLOOKUP(E875,#REF!,1,FALSE())),"?TYPE_IDENTIFIABLE","?REFERENTIAL"),"_")))))</f>
        <v/>
      </c>
      <c r="H875" s="12" t="str">
        <f aca="false">IF(J875&lt;&gt;1,"",IF(I875="SBJ","CB","?"))</f>
        <v/>
      </c>
      <c r="I875" s="13" t="str">
        <f aca="false">IF(OR(E875="",E875="!!!",F875="NEW"),"",INDEX(B$2:B874,-1+SUMPRODUCT(MAX(ROW(E$2:E874)*(E875=E$2:E874)))))</f>
        <v/>
      </c>
      <c r="J875" s="14" t="str">
        <f aca="true">IF(OR(E875="",E875="!!!",F875="NEW"),"",COUNTBLANK(OFFSET(A$1,,,SUMPRODUCT(MAX(ROW(E$2:E875)*(E875=E$2:E875)))))-COUNTBLANK(OFFSET(A$1,,,SUMPRODUCT(MAX(ROW(E$1:E874)*(E875=E$1:E874))))))</f>
        <v/>
      </c>
      <c r="K875" s="14" t="str">
        <f aca="false">IF(OR(E875="",E875="!!!",F875="NEW"),"",INDEX(J$1:J874,SUMPRODUCT(MAX(ROW(E$1:E874)*(E875=E$1:E874)))))</f>
        <v/>
      </c>
      <c r="L875" s="15"/>
    </row>
    <row r="876" customFormat="false" ht="12.75" hidden="false" customHeight="false" outlineLevel="0" collapsed="false">
      <c r="A876" s="0" t="s">
        <v>48</v>
      </c>
      <c r="E876" s="9" t="str">
        <f aca="false">IF(D876="?OLD","!!!","")</f>
        <v/>
      </c>
      <c r="F876" s="10" t="str">
        <f aca="false">IF(OR(E876="",E876="!!!"),"",IF(NOT(ISNA(VLOOKUP(E876,E$1:E875,1,FALSE()))),"OLD",IF(AND(E876&lt;&gt;"",E876&lt;&gt;"!!!"),"NEW","")))</f>
        <v/>
      </c>
      <c r="G876" s="11" t="str">
        <f aca="false">IF(OR(E876="",E876="!!!"),"",IF(OR(J876=0,AND(J876=1,K876=1),AND(J876=1,I876="SBJ"),AND(J876=1,I876=0)),"?IN_FOCUS",IF(J876&lt;=2,"?ACTIVATED",IF(J876&lt;&gt;"","?FAMILIAR",IF(F876="NEW",IF(ISNA(VLOOKUP(E876,#REF!,1,FALSE())),"?TYPE_IDENTIFIABLE","?REFERENTIAL"),"_")))))</f>
        <v/>
      </c>
      <c r="H876" s="12" t="str">
        <f aca="false">IF(J876&lt;&gt;1,"",IF(I876="SBJ","CB","?"))</f>
        <v/>
      </c>
      <c r="I876" s="13" t="str">
        <f aca="false">IF(OR(E876="",E876="!!!",F876="NEW"),"",INDEX(B$2:B875,-1+SUMPRODUCT(MAX(ROW(E$2:E875)*(E876=E$2:E875)))))</f>
        <v/>
      </c>
      <c r="J876" s="14" t="str">
        <f aca="true">IF(OR(E876="",E876="!!!",F876="NEW"),"",COUNTBLANK(OFFSET(A$1,,,SUMPRODUCT(MAX(ROW(E$2:E876)*(E876=E$2:E876)))))-COUNTBLANK(OFFSET(A$1,,,SUMPRODUCT(MAX(ROW(E$1:E875)*(E876=E$1:E875))))))</f>
        <v/>
      </c>
      <c r="K876" s="14" t="str">
        <f aca="false">IF(OR(E876="",E876="!!!",F876="NEW"),"",INDEX(J$1:J875,SUMPRODUCT(MAX(ROW(E$1:E875)*(E876=E$1:E875)))))</f>
        <v/>
      </c>
      <c r="L876" s="15"/>
    </row>
    <row r="877" customFormat="false" ht="12.75" hidden="false" customHeight="false" outlineLevel="0" collapsed="false">
      <c r="A877" s="0" t="s">
        <v>472</v>
      </c>
      <c r="E877" s="9" t="str">
        <f aca="false">IF(D877="?OLD","!!!","")</f>
        <v/>
      </c>
      <c r="F877" s="10" t="str">
        <f aca="false">IF(OR(E877="",E877="!!!"),"",IF(NOT(ISNA(VLOOKUP(E877,E$1:E876,1,FALSE()))),"OLD",IF(AND(E877&lt;&gt;"",E877&lt;&gt;"!!!"),"NEW","")))</f>
        <v/>
      </c>
      <c r="G877" s="11" t="str">
        <f aca="false">IF(OR(E877="",E877="!!!"),"",IF(OR(J877=0,AND(J877=1,K877=1),AND(J877=1,I877="SBJ"),AND(J877=1,I877=0)),"?IN_FOCUS",IF(J877&lt;=2,"?ACTIVATED",IF(J877&lt;&gt;"","?FAMILIAR",IF(F877="NEW",IF(ISNA(VLOOKUP(E877,#REF!,1,FALSE())),"?TYPE_IDENTIFIABLE","?REFERENTIAL"),"_")))))</f>
        <v/>
      </c>
      <c r="H877" s="12" t="str">
        <f aca="false">IF(J877&lt;&gt;1,"",IF(I877="SBJ","CB","?"))</f>
        <v/>
      </c>
      <c r="I877" s="13" t="str">
        <f aca="false">IF(OR(E877="",E877="!!!",F877="NEW"),"",INDEX(B$2:B876,-1+SUMPRODUCT(MAX(ROW(E$2:E876)*(E877=E$2:E876)))))</f>
        <v/>
      </c>
      <c r="J877" s="14" t="str">
        <f aca="true">IF(OR(E877="",E877="!!!",F877="NEW"),"",COUNTBLANK(OFFSET(A$1,,,SUMPRODUCT(MAX(ROW(E$2:E877)*(E877=E$2:E877)))))-COUNTBLANK(OFFSET(A$1,,,SUMPRODUCT(MAX(ROW(E$1:E876)*(E877=E$1:E876))))))</f>
        <v/>
      </c>
      <c r="K877" s="14" t="str">
        <f aca="false">IF(OR(E877="",E877="!!!",F877="NEW"),"",INDEX(J$1:J876,SUMPRODUCT(MAX(ROW(E$1:E876)*(E877=E$1:E876)))))</f>
        <v/>
      </c>
      <c r="L877" s="15"/>
    </row>
    <row r="878" customFormat="false" ht="12.75" hidden="false" customHeight="false" outlineLevel="0" collapsed="false">
      <c r="A878" s="0" t="s">
        <v>173</v>
      </c>
      <c r="E878" s="9" t="str">
        <f aca="false">IF(D878="?OLD","!!!","")</f>
        <v/>
      </c>
      <c r="F878" s="10" t="str">
        <f aca="false">IF(OR(E878="",E878="!!!"),"",IF(NOT(ISNA(VLOOKUP(E878,E$1:E877,1,FALSE()))),"OLD",IF(AND(E878&lt;&gt;"",E878&lt;&gt;"!!!"),"NEW","")))</f>
        <v/>
      </c>
      <c r="G878" s="11" t="str">
        <f aca="false">IF(OR(E878="",E878="!!!"),"",IF(OR(J878=0,AND(J878=1,K878=1),AND(J878=1,I878="SBJ"),AND(J878=1,I878=0)),"?IN_FOCUS",IF(J878&lt;=2,"?ACTIVATED",IF(J878&lt;&gt;"","?FAMILIAR",IF(F878="NEW",IF(ISNA(VLOOKUP(E878,#REF!,1,FALSE())),"?TYPE_IDENTIFIABLE","?REFERENTIAL"),"_")))))</f>
        <v/>
      </c>
      <c r="H878" s="12" t="str">
        <f aca="false">IF(J878&lt;&gt;1,"",IF(I878="SBJ","CB","?"))</f>
        <v/>
      </c>
      <c r="I878" s="13" t="str">
        <f aca="false">IF(OR(E878="",E878="!!!",F878="NEW"),"",INDEX(B$2:B877,-1+SUMPRODUCT(MAX(ROW(E$2:E877)*(E878=E$2:E877)))))</f>
        <v/>
      </c>
      <c r="J878" s="14" t="str">
        <f aca="true">IF(OR(E878="",E878="!!!",F878="NEW"),"",COUNTBLANK(OFFSET(A$1,,,SUMPRODUCT(MAX(ROW(E$2:E878)*(E878=E$2:E878)))))-COUNTBLANK(OFFSET(A$1,,,SUMPRODUCT(MAX(ROW(E$1:E877)*(E878=E$1:E877))))))</f>
        <v/>
      </c>
      <c r="K878" s="14" t="str">
        <f aca="false">IF(OR(E878="",E878="!!!",F878="NEW"),"",INDEX(J$1:J877,SUMPRODUCT(MAX(ROW(E$1:E877)*(E878=E$1:E877)))))</f>
        <v/>
      </c>
      <c r="L878" s="15"/>
    </row>
    <row r="879" customFormat="false" ht="12.75" hidden="false" customHeight="false" outlineLevel="0" collapsed="false">
      <c r="A879" s="0" t="s">
        <v>473</v>
      </c>
      <c r="B879" s="0" t="s">
        <v>62</v>
      </c>
      <c r="C879" s="0" t="s">
        <v>120</v>
      </c>
      <c r="E879" s="9" t="str">
        <f aca="false">IF(D879="?OLD","!!!","")</f>
        <v/>
      </c>
      <c r="F879" s="10" t="str">
        <f aca="false">IF(OR(E879="",E879="!!!"),"",IF(NOT(ISNA(VLOOKUP(E879,E$1:E878,1,FALSE()))),"OLD",IF(AND(E879&lt;&gt;"",E879&lt;&gt;"!!!"),"NEW","")))</f>
        <v/>
      </c>
      <c r="G879" s="11" t="str">
        <f aca="false">IF(OR(E879="",E879="!!!"),"",IF(OR(J879=0,AND(J879=1,K879=1),AND(J879=1,I879="SBJ"),AND(J879=1,I879=0)),"?IN_FOCUS",IF(J879&lt;=2,"?ACTIVATED",IF(J879&lt;&gt;"","?FAMILIAR",IF(F879="NEW",IF(ISNA(VLOOKUP(E879,#REF!,1,FALSE())),"?TYPE_IDENTIFIABLE","?REFERENTIAL"),"_")))))</f>
        <v/>
      </c>
      <c r="H879" s="12" t="str">
        <f aca="false">IF(J879&lt;&gt;1,"",IF(I879="SBJ","CB","?"))</f>
        <v/>
      </c>
      <c r="I879" s="13" t="str">
        <f aca="false">IF(OR(E879="",E879="!!!",F879="NEW"),"",INDEX(B$2:B878,-1+SUMPRODUCT(MAX(ROW(E$2:E878)*(E879=E$2:E878)))))</f>
        <v/>
      </c>
      <c r="J879" s="14" t="str">
        <f aca="true">IF(OR(E879="",E879="!!!",F879="NEW"),"",COUNTBLANK(OFFSET(A$1,,,SUMPRODUCT(MAX(ROW(E$2:E879)*(E879=E$2:E879)))))-COUNTBLANK(OFFSET(A$1,,,SUMPRODUCT(MAX(ROW(E$1:E878)*(E879=E$1:E878))))))</f>
        <v/>
      </c>
      <c r="K879" s="14" t="str">
        <f aca="false">IF(OR(E879="",E879="!!!",F879="NEW"),"",INDEX(J$1:J878,SUMPRODUCT(MAX(ROW(E$1:E878)*(E879=E$1:E878)))))</f>
        <v/>
      </c>
      <c r="L879" s="15"/>
    </row>
    <row r="880" customFormat="false" ht="12.75" hidden="false" customHeight="false" outlineLevel="0" collapsed="false">
      <c r="A880" s="0" t="s">
        <v>31</v>
      </c>
      <c r="E880" s="9" t="str">
        <f aca="false">IF(D880="?OLD","!!!","")</f>
        <v/>
      </c>
      <c r="F880" s="10" t="str">
        <f aca="false">IF(OR(E880="",E880="!!!"),"",IF(NOT(ISNA(VLOOKUP(E880,E$1:E879,1,FALSE()))),"OLD",IF(AND(E880&lt;&gt;"",E880&lt;&gt;"!!!"),"NEW","")))</f>
        <v/>
      </c>
      <c r="G880" s="11" t="str">
        <f aca="false">IF(OR(E880="",E880="!!!"),"",IF(OR(J880=0,AND(J880=1,K880=1),AND(J880=1,I880="SBJ"),AND(J880=1,I880=0)),"?IN_FOCUS",IF(J880&lt;=2,"?ACTIVATED",IF(J880&lt;&gt;"","?FAMILIAR",IF(F880="NEW",IF(ISNA(VLOOKUP(E880,#REF!,1,FALSE())),"?TYPE_IDENTIFIABLE","?REFERENTIAL"),"_")))))</f>
        <v/>
      </c>
      <c r="H880" s="12" t="str">
        <f aca="false">IF(J880&lt;&gt;1,"",IF(I880="SBJ","CB","?"))</f>
        <v/>
      </c>
      <c r="I880" s="13" t="str">
        <f aca="false">IF(OR(E880="",E880="!!!",F880="NEW"),"",INDEX(B$2:B879,-1+SUMPRODUCT(MAX(ROW(E$2:E879)*(E880=E$2:E879)))))</f>
        <v/>
      </c>
      <c r="J880" s="14" t="str">
        <f aca="true">IF(OR(E880="",E880="!!!",F880="NEW"),"",COUNTBLANK(OFFSET(A$1,,,SUMPRODUCT(MAX(ROW(E$2:E880)*(E880=E$2:E880)))))-COUNTBLANK(OFFSET(A$1,,,SUMPRODUCT(MAX(ROW(E$1:E879)*(E880=E$1:E879))))))</f>
        <v/>
      </c>
      <c r="K880" s="14" t="str">
        <f aca="false">IF(OR(E880="",E880="!!!",F880="NEW"),"",INDEX(J$1:J879,SUMPRODUCT(MAX(ROW(E$1:E879)*(E880=E$1:E879)))))</f>
        <v/>
      </c>
      <c r="L880" s="15"/>
    </row>
    <row r="881" customFormat="false" ht="12.75" hidden="false" customHeight="false" outlineLevel="0" collapsed="false">
      <c r="A881" s="0" t="s">
        <v>128</v>
      </c>
      <c r="E881" s="9" t="str">
        <f aca="false">IF(D881="?OLD","!!!","")</f>
        <v/>
      </c>
      <c r="F881" s="10" t="str">
        <f aca="false">IF(OR(E881="",E881="!!!"),"",IF(NOT(ISNA(VLOOKUP(E881,E$1:E880,1,FALSE()))),"OLD",IF(AND(E881&lt;&gt;"",E881&lt;&gt;"!!!"),"NEW","")))</f>
        <v/>
      </c>
      <c r="G881" s="11" t="str">
        <f aca="false">IF(OR(E881="",E881="!!!"),"",IF(OR(J881=0,AND(J881=1,K881=1),AND(J881=1,I881="SBJ"),AND(J881=1,I881=0)),"?IN_FOCUS",IF(J881&lt;=2,"?ACTIVATED",IF(J881&lt;&gt;"","?FAMILIAR",IF(F881="NEW",IF(ISNA(VLOOKUP(E881,#REF!,1,FALSE())),"?TYPE_IDENTIFIABLE","?REFERENTIAL"),"_")))))</f>
        <v/>
      </c>
      <c r="H881" s="12" t="str">
        <f aca="false">IF(J881&lt;&gt;1,"",IF(I881="SBJ","CB","?"))</f>
        <v/>
      </c>
      <c r="I881" s="13" t="str">
        <f aca="false">IF(OR(E881="",E881="!!!",F881="NEW"),"",INDEX(B$2:B880,-1+SUMPRODUCT(MAX(ROW(E$2:E880)*(E881=E$2:E880)))))</f>
        <v/>
      </c>
      <c r="J881" s="14" t="str">
        <f aca="true">IF(OR(E881="",E881="!!!",F881="NEW"),"",COUNTBLANK(OFFSET(A$1,,,SUMPRODUCT(MAX(ROW(E$2:E881)*(E881=E$2:E881)))))-COUNTBLANK(OFFSET(A$1,,,SUMPRODUCT(MAX(ROW(E$1:E880)*(E881=E$1:E880))))))</f>
        <v/>
      </c>
      <c r="K881" s="14" t="str">
        <f aca="false">IF(OR(E881="",E881="!!!",F881="NEW"),"",INDEX(J$1:J880,SUMPRODUCT(MAX(ROW(E$1:E880)*(E881=E$1:E880)))))</f>
        <v/>
      </c>
      <c r="L881" s="15"/>
    </row>
    <row r="882" customFormat="false" ht="12.75" hidden="false" customHeight="false" outlineLevel="0" collapsed="false">
      <c r="A882" s="0" t="s">
        <v>66</v>
      </c>
      <c r="E882" s="9" t="str">
        <f aca="false">IF(D882="?OLD","!!!","")</f>
        <v/>
      </c>
      <c r="F882" s="10" t="str">
        <f aca="false">IF(OR(E882="",E882="!!!"),"",IF(NOT(ISNA(VLOOKUP(E882,E$1:E881,1,FALSE()))),"OLD",IF(AND(E882&lt;&gt;"",E882&lt;&gt;"!!!"),"NEW","")))</f>
        <v/>
      </c>
      <c r="G882" s="11" t="str">
        <f aca="false">IF(OR(E882="",E882="!!!"),"",IF(OR(J882=0,AND(J882=1,K882=1),AND(J882=1,I882="SBJ"),AND(J882=1,I882=0)),"?IN_FOCUS",IF(J882&lt;=2,"?ACTIVATED",IF(J882&lt;&gt;"","?FAMILIAR",IF(F882="NEW",IF(ISNA(VLOOKUP(E882,#REF!,1,FALSE())),"?TYPE_IDENTIFIABLE","?REFERENTIAL"),"_")))))</f>
        <v/>
      </c>
      <c r="H882" s="12" t="str">
        <f aca="false">IF(J882&lt;&gt;1,"",IF(I882="SBJ","CB","?"))</f>
        <v/>
      </c>
      <c r="I882" s="13" t="str">
        <f aca="false">IF(OR(E882="",E882="!!!",F882="NEW"),"",INDEX(B$2:B881,-1+SUMPRODUCT(MAX(ROW(E$2:E881)*(E882=E$2:E881)))))</f>
        <v/>
      </c>
      <c r="J882" s="14" t="str">
        <f aca="true">IF(OR(E882="",E882="!!!",F882="NEW"),"",COUNTBLANK(OFFSET(A$1,,,SUMPRODUCT(MAX(ROW(E$2:E882)*(E882=E$2:E882)))))-COUNTBLANK(OFFSET(A$1,,,SUMPRODUCT(MAX(ROW(E$1:E881)*(E882=E$1:E881))))))</f>
        <v/>
      </c>
      <c r="K882" s="14" t="str">
        <f aca="false">IF(OR(E882="",E882="!!!",F882="NEW"),"",INDEX(J$1:J881,SUMPRODUCT(MAX(ROW(E$1:E881)*(E882=E$1:E881)))))</f>
        <v/>
      </c>
      <c r="L882" s="15"/>
    </row>
    <row r="883" customFormat="false" ht="12.75" hidden="false" customHeight="false" outlineLevel="0" collapsed="false">
      <c r="A883" s="0" t="s">
        <v>474</v>
      </c>
      <c r="B883" s="0" t="s">
        <v>42</v>
      </c>
      <c r="C883" s="0" t="s">
        <v>111</v>
      </c>
      <c r="D883" s="0" t="s">
        <v>29</v>
      </c>
      <c r="E883" s="9" t="str">
        <f aca="false">IF(D883="?OLD","!!!","")</f>
        <v>!!!</v>
      </c>
      <c r="F883" s="10" t="str">
        <f aca="false">IF(OR(E883="",E883="!!!"),"",IF(NOT(ISNA(VLOOKUP(E883,E$1:E882,1,FALSE()))),"OLD",IF(AND(E883&lt;&gt;"",E883&lt;&gt;"!!!"),"NEW","")))</f>
        <v/>
      </c>
      <c r="G883" s="11" t="str">
        <f aca="false">IF(OR(E883="",E883="!!!"),"",IF(OR(J883=0,AND(J883=1,K883=1),AND(J883=1,I883="SBJ"),AND(J883=1,I883=0)),"?IN_FOCUS",IF(J883&lt;=2,"?ACTIVATED",IF(J883&lt;&gt;"","?FAMILIAR",IF(F883="NEW",IF(ISNA(VLOOKUP(E883,#REF!,1,FALSE())),"?TYPE_IDENTIFIABLE","?REFERENTIAL"),"_")))))</f>
        <v/>
      </c>
      <c r="H883" s="12" t="str">
        <f aca="false">IF(J883&lt;&gt;1,"",IF(I883="SBJ","CB","?"))</f>
        <v/>
      </c>
      <c r="I883" s="13" t="str">
        <f aca="false">IF(OR(E883="",E883="!!!",F883="NEW"),"",INDEX(B$2:B882,-1+SUMPRODUCT(MAX(ROW(E$2:E882)*(E883=E$2:E882)))))</f>
        <v/>
      </c>
      <c r="J883" s="14" t="str">
        <f aca="true">IF(OR(E883="",E883="!!!",F883="NEW"),"",COUNTBLANK(OFFSET(A$1,,,SUMPRODUCT(MAX(ROW(E$2:E883)*(E883=E$2:E883)))))-COUNTBLANK(OFFSET(A$1,,,SUMPRODUCT(MAX(ROW(E$1:E882)*(E883=E$1:E882))))))</f>
        <v/>
      </c>
      <c r="K883" s="14" t="str">
        <f aca="false">IF(OR(E883="",E883="!!!",F883="NEW"),"",INDEX(J$1:J882,SUMPRODUCT(MAX(ROW(E$1:E882)*(E883=E$1:E882)))))</f>
        <v/>
      </c>
      <c r="L883" s="15"/>
    </row>
    <row r="884" customFormat="false" ht="12.75" hidden="false" customHeight="false" outlineLevel="0" collapsed="false">
      <c r="A884" s="0" t="s">
        <v>475</v>
      </c>
      <c r="E884" s="9" t="str">
        <f aca="false">IF(D884="?OLD","!!!","")</f>
        <v/>
      </c>
      <c r="F884" s="10" t="str">
        <f aca="false">IF(OR(E884="",E884="!!!"),"",IF(NOT(ISNA(VLOOKUP(E884,E$1:E883,1,FALSE()))),"OLD",IF(AND(E884&lt;&gt;"",E884&lt;&gt;"!!!"),"NEW","")))</f>
        <v/>
      </c>
      <c r="G884" s="11" t="str">
        <f aca="false">IF(OR(E884="",E884="!!!"),"",IF(OR(J884=0,AND(J884=1,K884=1),AND(J884=1,I884="SBJ"),AND(J884=1,I884=0)),"?IN_FOCUS",IF(J884&lt;=2,"?ACTIVATED",IF(J884&lt;&gt;"","?FAMILIAR",IF(F884="NEW",IF(ISNA(VLOOKUP(E884,#REF!,1,FALSE())),"?TYPE_IDENTIFIABLE","?REFERENTIAL"),"_")))))</f>
        <v/>
      </c>
      <c r="H884" s="12" t="str">
        <f aca="false">IF(J884&lt;&gt;1,"",IF(I884="SBJ","CB","?"))</f>
        <v/>
      </c>
      <c r="I884" s="13" t="str">
        <f aca="false">IF(OR(E884="",E884="!!!",F884="NEW"),"",INDEX(B$2:B883,-1+SUMPRODUCT(MAX(ROW(E$2:E883)*(E884=E$2:E883)))))</f>
        <v/>
      </c>
      <c r="J884" s="14" t="str">
        <f aca="true">IF(OR(E884="",E884="!!!",F884="NEW"),"",COUNTBLANK(OFFSET(A$1,,,SUMPRODUCT(MAX(ROW(E$2:E884)*(E884=E$2:E884)))))-COUNTBLANK(OFFSET(A$1,,,SUMPRODUCT(MAX(ROW(E$1:E883)*(E884=E$1:E883))))))</f>
        <v/>
      </c>
      <c r="K884" s="14" t="str">
        <f aca="false">IF(OR(E884="",E884="!!!",F884="NEW"),"",INDEX(J$1:J883,SUMPRODUCT(MAX(ROW(E$1:E883)*(E884=E$1:E883)))))</f>
        <v/>
      </c>
      <c r="L884" s="15"/>
    </row>
    <row r="885" customFormat="false" ht="12.75" hidden="false" customHeight="false" outlineLevel="0" collapsed="false">
      <c r="A885" s="0" t="s">
        <v>476</v>
      </c>
      <c r="B885" s="0" t="s">
        <v>103</v>
      </c>
      <c r="C885" s="0" t="s">
        <v>120</v>
      </c>
      <c r="E885" s="9" t="str">
        <f aca="false">IF(D885="?OLD","!!!","")</f>
        <v/>
      </c>
      <c r="F885" s="10" t="str">
        <f aca="false">IF(OR(E885="",E885="!!!"),"",IF(NOT(ISNA(VLOOKUP(E885,E$1:E884,1,FALSE()))),"OLD",IF(AND(E885&lt;&gt;"",E885&lt;&gt;"!!!"),"NEW","")))</f>
        <v/>
      </c>
      <c r="G885" s="11" t="str">
        <f aca="false">IF(OR(E885="",E885="!!!"),"",IF(OR(J885=0,AND(J885=1,K885=1),AND(J885=1,I885="SBJ"),AND(J885=1,I885=0)),"?IN_FOCUS",IF(J885&lt;=2,"?ACTIVATED",IF(J885&lt;&gt;"","?FAMILIAR",IF(F885="NEW",IF(ISNA(VLOOKUP(E885,#REF!,1,FALSE())),"?TYPE_IDENTIFIABLE","?REFERENTIAL"),"_")))))</f>
        <v/>
      </c>
      <c r="H885" s="12" t="str">
        <f aca="false">IF(J885&lt;&gt;1,"",IF(I885="SBJ","CB","?"))</f>
        <v/>
      </c>
      <c r="I885" s="13" t="str">
        <f aca="false">IF(OR(E885="",E885="!!!",F885="NEW"),"",INDEX(B$2:B884,-1+SUMPRODUCT(MAX(ROW(E$2:E884)*(E885=E$2:E884)))))</f>
        <v/>
      </c>
      <c r="J885" s="14" t="str">
        <f aca="true">IF(OR(E885="",E885="!!!",F885="NEW"),"",COUNTBLANK(OFFSET(A$1,,,SUMPRODUCT(MAX(ROW(E$2:E885)*(E885=E$2:E885)))))-COUNTBLANK(OFFSET(A$1,,,SUMPRODUCT(MAX(ROW(E$1:E884)*(E885=E$1:E884))))))</f>
        <v/>
      </c>
      <c r="K885" s="14" t="str">
        <f aca="false">IF(OR(E885="",E885="!!!",F885="NEW"),"",INDEX(J$1:J884,SUMPRODUCT(MAX(ROW(E$1:E884)*(E885=E$1:E884)))))</f>
        <v/>
      </c>
      <c r="L885" s="15"/>
    </row>
    <row r="886" customFormat="false" ht="12.75" hidden="false" customHeight="false" outlineLevel="0" collapsed="false">
      <c r="A886" s="0" t="s">
        <v>88</v>
      </c>
      <c r="E886" s="9" t="str">
        <f aca="false">IF(D886="?OLD","!!!","")</f>
        <v/>
      </c>
      <c r="F886" s="10" t="str">
        <f aca="false">IF(OR(E886="",E886="!!!"),"",IF(NOT(ISNA(VLOOKUP(E886,E$1:E885,1,FALSE()))),"OLD",IF(AND(E886&lt;&gt;"",E886&lt;&gt;"!!!"),"NEW","")))</f>
        <v/>
      </c>
      <c r="G886" s="11" t="str">
        <f aca="false">IF(OR(E886="",E886="!!!"),"",IF(OR(J886=0,AND(J886=1,K886=1),AND(J886=1,I886="SBJ"),AND(J886=1,I886=0)),"?IN_FOCUS",IF(J886&lt;=2,"?ACTIVATED",IF(J886&lt;&gt;"","?FAMILIAR",IF(F886="NEW",IF(ISNA(VLOOKUP(E886,#REF!,1,FALSE())),"?TYPE_IDENTIFIABLE","?REFERENTIAL"),"_")))))</f>
        <v/>
      </c>
      <c r="H886" s="12" t="str">
        <f aca="false">IF(J886&lt;&gt;1,"",IF(I886="SBJ","CB","?"))</f>
        <v/>
      </c>
      <c r="I886" s="13" t="str">
        <f aca="false">IF(OR(E886="",E886="!!!",F886="NEW"),"",INDEX(B$2:B885,-1+SUMPRODUCT(MAX(ROW(E$2:E885)*(E886=E$2:E885)))))</f>
        <v/>
      </c>
      <c r="J886" s="14" t="str">
        <f aca="true">IF(OR(E886="",E886="!!!",F886="NEW"),"",COUNTBLANK(OFFSET(A$1,,,SUMPRODUCT(MAX(ROW(E$2:E886)*(E886=E$2:E886)))))-COUNTBLANK(OFFSET(A$1,,,SUMPRODUCT(MAX(ROW(E$1:E885)*(E886=E$1:E885))))))</f>
        <v/>
      </c>
      <c r="K886" s="14" t="str">
        <f aca="false">IF(OR(E886="",E886="!!!",F886="NEW"),"",INDEX(J$1:J885,SUMPRODUCT(MAX(ROW(E$1:E885)*(E886=E$1:E885)))))</f>
        <v/>
      </c>
      <c r="L886" s="15"/>
    </row>
    <row r="887" customFormat="false" ht="12.75" hidden="false" customHeight="false" outlineLevel="0" collapsed="false">
      <c r="A887" s="0" t="s">
        <v>477</v>
      </c>
      <c r="B887" s="0" t="s">
        <v>22</v>
      </c>
      <c r="C887" s="0" t="s">
        <v>120</v>
      </c>
      <c r="E887" s="9" t="str">
        <f aca="false">IF(D887="?OLD","!!!","")</f>
        <v/>
      </c>
      <c r="F887" s="10" t="str">
        <f aca="false">IF(OR(E887="",E887="!!!"),"",IF(NOT(ISNA(VLOOKUP(E887,E$1:E886,1,FALSE()))),"OLD",IF(AND(E887&lt;&gt;"",E887&lt;&gt;"!!!"),"NEW","")))</f>
        <v/>
      </c>
      <c r="G887" s="11" t="str">
        <f aca="false">IF(OR(E887="",E887="!!!"),"",IF(OR(J887=0,AND(J887=1,K887=1),AND(J887=1,I887="SBJ"),AND(J887=1,I887=0)),"?IN_FOCUS",IF(J887&lt;=2,"?ACTIVATED",IF(J887&lt;&gt;"","?FAMILIAR",IF(F887="NEW",IF(ISNA(VLOOKUP(E887,#REF!,1,FALSE())),"?TYPE_IDENTIFIABLE","?REFERENTIAL"),"_")))))</f>
        <v/>
      </c>
      <c r="H887" s="12" t="str">
        <f aca="false">IF(J887&lt;&gt;1,"",IF(I887="SBJ","CB","?"))</f>
        <v/>
      </c>
      <c r="I887" s="13" t="str">
        <f aca="false">IF(OR(E887="",E887="!!!",F887="NEW"),"",INDEX(B$2:B886,-1+SUMPRODUCT(MAX(ROW(E$2:E886)*(E887=E$2:E886)))))</f>
        <v/>
      </c>
      <c r="J887" s="14" t="str">
        <f aca="true">IF(OR(E887="",E887="!!!",F887="NEW"),"",COUNTBLANK(OFFSET(A$1,,,SUMPRODUCT(MAX(ROW(E$2:E887)*(E887=E$2:E887)))))-COUNTBLANK(OFFSET(A$1,,,SUMPRODUCT(MAX(ROW(E$1:E886)*(E887=E$1:E886))))))</f>
        <v/>
      </c>
      <c r="K887" s="14" t="str">
        <f aca="false">IF(OR(E887="",E887="!!!",F887="NEW"),"",INDEX(J$1:J886,SUMPRODUCT(MAX(ROW(E$1:E886)*(E887=E$1:E886)))))</f>
        <v/>
      </c>
      <c r="L887" s="15"/>
    </row>
    <row r="888" customFormat="false" ht="12.75" hidden="false" customHeight="false" outlineLevel="0" collapsed="false">
      <c r="A888" s="0" t="s">
        <v>73</v>
      </c>
      <c r="E888" s="9" t="str">
        <f aca="false">IF(D888="?OLD","!!!","")</f>
        <v/>
      </c>
      <c r="F888" s="10" t="str">
        <f aca="false">IF(OR(E888="",E888="!!!"),"",IF(NOT(ISNA(VLOOKUP(E888,E$1:E887,1,FALSE()))),"OLD",IF(AND(E888&lt;&gt;"",E888&lt;&gt;"!!!"),"NEW","")))</f>
        <v/>
      </c>
      <c r="G888" s="11" t="str">
        <f aca="false">IF(OR(E888="",E888="!!!"),"",IF(OR(J888=0,AND(J888=1,K888=1),AND(J888=1,I888="SBJ"),AND(J888=1,I888=0)),"?IN_FOCUS",IF(J888&lt;=2,"?ACTIVATED",IF(J888&lt;&gt;"","?FAMILIAR",IF(F888="NEW",IF(ISNA(VLOOKUP(E888,#REF!,1,FALSE())),"?TYPE_IDENTIFIABLE","?REFERENTIAL"),"_")))))</f>
        <v/>
      </c>
      <c r="H888" s="12" t="str">
        <f aca="false">IF(J888&lt;&gt;1,"",IF(I888="SBJ","CB","?"))</f>
        <v/>
      </c>
      <c r="I888" s="13" t="str">
        <f aca="false">IF(OR(E888="",E888="!!!",F888="NEW"),"",INDEX(B$2:B887,-1+SUMPRODUCT(MAX(ROW(E$2:E887)*(E888=E$2:E887)))))</f>
        <v/>
      </c>
      <c r="J888" s="14" t="str">
        <f aca="true">IF(OR(E888="",E888="!!!",F888="NEW"),"",COUNTBLANK(OFFSET(A$1,,,SUMPRODUCT(MAX(ROW(E$2:E888)*(E888=E$2:E888)))))-COUNTBLANK(OFFSET(A$1,,,SUMPRODUCT(MAX(ROW(E$1:E887)*(E888=E$1:E887))))))</f>
        <v/>
      </c>
      <c r="K888" s="14" t="str">
        <f aca="false">IF(OR(E888="",E888="!!!",F888="NEW"),"",INDEX(J$1:J887,SUMPRODUCT(MAX(ROW(E$1:E887)*(E888=E$1:E887)))))</f>
        <v/>
      </c>
      <c r="L888" s="15"/>
    </row>
    <row r="889" customFormat="false" ht="12.75" hidden="false" customHeight="false" outlineLevel="0" collapsed="false">
      <c r="E889" s="9" t="str">
        <f aca="false">IF(D889="?OLD","!!!","")</f>
        <v/>
      </c>
      <c r="F889" s="10" t="str">
        <f aca="false">IF(OR(E889="",E889="!!!"),"",IF(NOT(ISNA(VLOOKUP(E889,E$1:E888,1,FALSE()))),"OLD",IF(AND(E889&lt;&gt;"",E889&lt;&gt;"!!!"),"NEW","")))</f>
        <v/>
      </c>
      <c r="G889" s="11" t="str">
        <f aca="false">IF(OR(E889="",E889="!!!"),"",IF(OR(J889=0,AND(J889=1,K889=1),AND(J889=1,I889="SBJ"),AND(J889=1,I889=0)),"?IN_FOCUS",IF(J889&lt;=2,"?ACTIVATED",IF(J889&lt;&gt;"","?FAMILIAR",IF(F889="NEW",IF(ISNA(VLOOKUP(E889,#REF!,1,FALSE())),"?TYPE_IDENTIFIABLE","?REFERENTIAL"),"_")))))</f>
        <v/>
      </c>
      <c r="H889" s="12" t="str">
        <f aca="false">IF(J889&lt;&gt;1,"",IF(I889="SBJ","CB","?"))</f>
        <v/>
      </c>
      <c r="I889" s="13" t="str">
        <f aca="false">IF(OR(E889="",E889="!!!",F889="NEW"),"",INDEX(B$2:B888,-1+SUMPRODUCT(MAX(ROW(E$2:E888)*(E889=E$2:E888)))))</f>
        <v/>
      </c>
      <c r="J889" s="14" t="str">
        <f aca="true">IF(OR(E889="",E889="!!!",F889="NEW"),"",COUNTBLANK(OFFSET(A$1,,,SUMPRODUCT(MAX(ROW(E$2:E889)*(E889=E$2:E889)))))-COUNTBLANK(OFFSET(A$1,,,SUMPRODUCT(MAX(ROW(E$1:E888)*(E889=E$1:E888))))))</f>
        <v/>
      </c>
      <c r="K889" s="14" t="str">
        <f aca="false">IF(OR(E889="",E889="!!!",F889="NEW"),"",INDEX(J$1:J888,SUMPRODUCT(MAX(ROW(E$1:E888)*(E889=E$1:E888)))))</f>
        <v/>
      </c>
      <c r="L889" s="15"/>
    </row>
    <row r="890" customFormat="false" ht="12.75" hidden="false" customHeight="false" outlineLevel="0" collapsed="false">
      <c r="A890" s="0" t="s">
        <v>478</v>
      </c>
      <c r="E890" s="9" t="str">
        <f aca="false">IF(D890="?OLD","!!!","")</f>
        <v/>
      </c>
      <c r="F890" s="10" t="str">
        <f aca="false">IF(OR(E890="",E890="!!!"),"",IF(NOT(ISNA(VLOOKUP(E890,E$1:E889,1,FALSE()))),"OLD",IF(AND(E890&lt;&gt;"",E890&lt;&gt;"!!!"),"NEW","")))</f>
        <v/>
      </c>
      <c r="G890" s="11" t="str">
        <f aca="false">IF(OR(E890="",E890="!!!"),"",IF(OR(J890=0,AND(J890=1,K890=1),AND(J890=1,I890="SBJ"),AND(J890=1,I890=0)),"?IN_FOCUS",IF(J890&lt;=2,"?ACTIVATED",IF(J890&lt;&gt;"","?FAMILIAR",IF(F890="NEW",IF(ISNA(VLOOKUP(E890,#REF!,1,FALSE())),"?TYPE_IDENTIFIABLE","?REFERENTIAL"),"_")))))</f>
        <v/>
      </c>
      <c r="H890" s="12" t="str">
        <f aca="false">IF(J890&lt;&gt;1,"",IF(I890="SBJ","CB","?"))</f>
        <v/>
      </c>
      <c r="I890" s="13" t="str">
        <f aca="false">IF(OR(E890="",E890="!!!",F890="NEW"),"",INDEX(B$2:B889,-1+SUMPRODUCT(MAX(ROW(E$2:E889)*(E890=E$2:E889)))))</f>
        <v/>
      </c>
      <c r="J890" s="14" t="str">
        <f aca="true">IF(OR(E890="",E890="!!!",F890="NEW"),"",COUNTBLANK(OFFSET(A$1,,,SUMPRODUCT(MAX(ROW(E$2:E890)*(E890=E$2:E890)))))-COUNTBLANK(OFFSET(A$1,,,SUMPRODUCT(MAX(ROW(E$1:E889)*(E890=E$1:E889))))))</f>
        <v/>
      </c>
      <c r="K890" s="14" t="str">
        <f aca="false">IF(OR(E890="",E890="!!!",F890="NEW"),"",INDEX(J$1:J889,SUMPRODUCT(MAX(ROW(E$1:E889)*(E890=E$1:E889)))))</f>
        <v/>
      </c>
      <c r="L890" s="15"/>
    </row>
    <row r="891" customFormat="false" ht="12.75" hidden="false" customHeight="false" outlineLevel="0" collapsed="false">
      <c r="A891" s="0" t="s">
        <v>479</v>
      </c>
      <c r="E891" s="9" t="str">
        <f aca="false">IF(D891="?OLD","!!!","")</f>
        <v/>
      </c>
      <c r="F891" s="10" t="str">
        <f aca="false">IF(OR(E891="",E891="!!!"),"",IF(NOT(ISNA(VLOOKUP(E891,E$1:E890,1,FALSE()))),"OLD",IF(AND(E891&lt;&gt;"",E891&lt;&gt;"!!!"),"NEW","")))</f>
        <v/>
      </c>
      <c r="G891" s="11" t="str">
        <f aca="false">IF(OR(E891="",E891="!!!"),"",IF(OR(J891=0,AND(J891=1,K891=1),AND(J891=1,I891="SBJ"),AND(J891=1,I891=0)),"?IN_FOCUS",IF(J891&lt;=2,"?ACTIVATED",IF(J891&lt;&gt;"","?FAMILIAR",IF(F891="NEW",IF(ISNA(VLOOKUP(E891,#REF!,1,FALSE())),"?TYPE_IDENTIFIABLE","?REFERENTIAL"),"_")))))</f>
        <v/>
      </c>
      <c r="H891" s="12" t="str">
        <f aca="false">IF(J891&lt;&gt;1,"",IF(I891="SBJ","CB","?"))</f>
        <v/>
      </c>
      <c r="I891" s="13" t="str">
        <f aca="false">IF(OR(E891="",E891="!!!",F891="NEW"),"",INDEX(B$2:B890,-1+SUMPRODUCT(MAX(ROW(E$2:E890)*(E891=E$2:E890)))))</f>
        <v/>
      </c>
      <c r="J891" s="14" t="str">
        <f aca="true">IF(OR(E891="",E891="!!!",F891="NEW"),"",COUNTBLANK(OFFSET(A$1,,,SUMPRODUCT(MAX(ROW(E$2:E891)*(E891=E$2:E891)))))-COUNTBLANK(OFFSET(A$1,,,SUMPRODUCT(MAX(ROW(E$1:E890)*(E891=E$1:E890))))))</f>
        <v/>
      </c>
      <c r="K891" s="14" t="str">
        <f aca="false">IF(OR(E891="",E891="!!!",F891="NEW"),"",INDEX(J$1:J890,SUMPRODUCT(MAX(ROW(E$1:E890)*(E891=E$1:E890)))))</f>
        <v/>
      </c>
      <c r="L891" s="15"/>
    </row>
    <row r="892" customFormat="false" ht="12.75" hidden="false" customHeight="false" outlineLevel="0" collapsed="false">
      <c r="A892" s="0" t="s">
        <v>66</v>
      </c>
      <c r="E892" s="9" t="str">
        <f aca="false">IF(D892="?OLD","!!!","")</f>
        <v/>
      </c>
      <c r="F892" s="10" t="str">
        <f aca="false">IF(OR(E892="",E892="!!!"),"",IF(NOT(ISNA(VLOOKUP(E892,E$1:E891,1,FALSE()))),"OLD",IF(AND(E892&lt;&gt;"",E892&lt;&gt;"!!!"),"NEW","")))</f>
        <v/>
      </c>
      <c r="G892" s="11" t="str">
        <f aca="false">IF(OR(E892="",E892="!!!"),"",IF(OR(J892=0,AND(J892=1,K892=1),AND(J892=1,I892="SBJ"),AND(J892=1,I892=0)),"?IN_FOCUS",IF(J892&lt;=2,"?ACTIVATED",IF(J892&lt;&gt;"","?FAMILIAR",IF(F892="NEW",IF(ISNA(VLOOKUP(E892,#REF!,1,FALSE())),"?TYPE_IDENTIFIABLE","?REFERENTIAL"),"_")))))</f>
        <v/>
      </c>
      <c r="H892" s="12" t="str">
        <f aca="false">IF(J892&lt;&gt;1,"",IF(I892="SBJ","CB","?"))</f>
        <v/>
      </c>
      <c r="I892" s="13" t="str">
        <f aca="false">IF(OR(E892="",E892="!!!",F892="NEW"),"",INDEX(B$2:B891,-1+SUMPRODUCT(MAX(ROW(E$2:E891)*(E892=E$2:E891)))))</f>
        <v/>
      </c>
      <c r="J892" s="14" t="str">
        <f aca="true">IF(OR(E892="",E892="!!!",F892="NEW"),"",COUNTBLANK(OFFSET(A$1,,,SUMPRODUCT(MAX(ROW(E$2:E892)*(E892=E$2:E892)))))-COUNTBLANK(OFFSET(A$1,,,SUMPRODUCT(MAX(ROW(E$1:E891)*(E892=E$1:E891))))))</f>
        <v/>
      </c>
      <c r="K892" s="14" t="str">
        <f aca="false">IF(OR(E892="",E892="!!!",F892="NEW"),"",INDEX(J$1:J891,SUMPRODUCT(MAX(ROW(E$1:E891)*(E892=E$1:E891)))))</f>
        <v/>
      </c>
      <c r="L892" s="15"/>
    </row>
    <row r="893" customFormat="false" ht="12.75" hidden="false" customHeight="false" outlineLevel="0" collapsed="false">
      <c r="A893" s="0" t="s">
        <v>480</v>
      </c>
      <c r="B893" s="0" t="s">
        <v>14</v>
      </c>
      <c r="C893" s="0" t="s">
        <v>15</v>
      </c>
      <c r="D893" s="0" t="s">
        <v>29</v>
      </c>
      <c r="E893" s="9" t="str">
        <f aca="false">IF(D893="?OLD","!!!","")</f>
        <v>!!!</v>
      </c>
      <c r="F893" s="10" t="str">
        <f aca="false">IF(OR(E893="",E893="!!!"),"",IF(NOT(ISNA(VLOOKUP(E893,E$1:E892,1,FALSE()))),"OLD",IF(AND(E893&lt;&gt;"",E893&lt;&gt;"!!!"),"NEW","")))</f>
        <v/>
      </c>
      <c r="G893" s="11" t="str">
        <f aca="false">IF(OR(E893="",E893="!!!"),"",IF(OR(J893=0,AND(J893=1,K893=1),AND(J893=1,I893="SBJ"),AND(J893=1,I893=0)),"?IN_FOCUS",IF(J893&lt;=2,"?ACTIVATED",IF(J893&lt;&gt;"","?FAMILIAR",IF(F893="NEW",IF(ISNA(VLOOKUP(E893,#REF!,1,FALSE())),"?TYPE_IDENTIFIABLE","?REFERENTIAL"),"_")))))</f>
        <v/>
      </c>
      <c r="H893" s="12" t="str">
        <f aca="false">IF(J893&lt;&gt;1,"",IF(I893="SBJ","CB","?"))</f>
        <v/>
      </c>
      <c r="I893" s="13" t="str">
        <f aca="false">IF(OR(E893="",E893="!!!",F893="NEW"),"",INDEX(B$2:B892,-1+SUMPRODUCT(MAX(ROW(E$2:E892)*(E893=E$2:E892)))))</f>
        <v/>
      </c>
      <c r="J893" s="14" t="str">
        <f aca="true">IF(OR(E893="",E893="!!!",F893="NEW"),"",COUNTBLANK(OFFSET(A$1,,,SUMPRODUCT(MAX(ROW(E$2:E893)*(E893=E$2:E893)))))-COUNTBLANK(OFFSET(A$1,,,SUMPRODUCT(MAX(ROW(E$1:E892)*(E893=E$1:E892))))))</f>
        <v/>
      </c>
      <c r="K893" s="14" t="str">
        <f aca="false">IF(OR(E893="",E893="!!!",F893="NEW"),"",INDEX(J$1:J892,SUMPRODUCT(MAX(ROW(E$1:E892)*(E893=E$1:E892)))))</f>
        <v/>
      </c>
      <c r="L893" s="15"/>
    </row>
    <row r="894" customFormat="false" ht="12.75" hidden="false" customHeight="false" outlineLevel="0" collapsed="false">
      <c r="A894" s="0" t="s">
        <v>19</v>
      </c>
      <c r="E894" s="9" t="str">
        <f aca="false">IF(D894="?OLD","!!!","")</f>
        <v/>
      </c>
      <c r="F894" s="10" t="str">
        <f aca="false">IF(OR(E894="",E894="!!!"),"",IF(NOT(ISNA(VLOOKUP(E894,E$1:E893,1,FALSE()))),"OLD",IF(AND(E894&lt;&gt;"",E894&lt;&gt;"!!!"),"NEW","")))</f>
        <v/>
      </c>
      <c r="G894" s="11" t="str">
        <f aca="false">IF(OR(E894="",E894="!!!"),"",IF(OR(J894=0,AND(J894=1,K894=1),AND(J894=1,I894="SBJ"),AND(J894=1,I894=0)),"?IN_FOCUS",IF(J894&lt;=2,"?ACTIVATED",IF(J894&lt;&gt;"","?FAMILIAR",IF(F894="NEW",IF(ISNA(VLOOKUP(E894,#REF!,1,FALSE())),"?TYPE_IDENTIFIABLE","?REFERENTIAL"),"_")))))</f>
        <v/>
      </c>
      <c r="H894" s="12" t="str">
        <f aca="false">IF(J894&lt;&gt;1,"",IF(I894="SBJ","CB","?"))</f>
        <v/>
      </c>
      <c r="I894" s="13" t="str">
        <f aca="false">IF(OR(E894="",E894="!!!",F894="NEW"),"",INDEX(B$2:B893,-1+SUMPRODUCT(MAX(ROW(E$2:E893)*(E894=E$2:E893)))))</f>
        <v/>
      </c>
      <c r="J894" s="14" t="str">
        <f aca="true">IF(OR(E894="",E894="!!!",F894="NEW"),"",COUNTBLANK(OFFSET(A$1,,,SUMPRODUCT(MAX(ROW(E$2:E894)*(E894=E$2:E894)))))-COUNTBLANK(OFFSET(A$1,,,SUMPRODUCT(MAX(ROW(E$1:E893)*(E894=E$1:E893))))))</f>
        <v/>
      </c>
      <c r="K894" s="14" t="str">
        <f aca="false">IF(OR(E894="",E894="!!!",F894="NEW"),"",INDEX(J$1:J893,SUMPRODUCT(MAX(ROW(E$1:E893)*(E894=E$1:E893)))))</f>
        <v/>
      </c>
      <c r="L894" s="15"/>
    </row>
    <row r="895" customFormat="false" ht="12.75" hidden="false" customHeight="false" outlineLevel="0" collapsed="false">
      <c r="A895" s="0" t="s">
        <v>45</v>
      </c>
      <c r="E895" s="9" t="str">
        <f aca="false">IF(D895="?OLD","!!!","")</f>
        <v/>
      </c>
      <c r="F895" s="10" t="str">
        <f aca="false">IF(OR(E895="",E895="!!!"),"",IF(NOT(ISNA(VLOOKUP(E895,E$1:E894,1,FALSE()))),"OLD",IF(AND(E895&lt;&gt;"",E895&lt;&gt;"!!!"),"NEW","")))</f>
        <v/>
      </c>
      <c r="G895" s="11" t="str">
        <f aca="false">IF(OR(E895="",E895="!!!"),"",IF(OR(J895=0,AND(J895=1,K895=1),AND(J895=1,I895="SBJ"),AND(J895=1,I895=0)),"?IN_FOCUS",IF(J895&lt;=2,"?ACTIVATED",IF(J895&lt;&gt;"","?FAMILIAR",IF(F895="NEW",IF(ISNA(VLOOKUP(E895,#REF!,1,FALSE())),"?TYPE_IDENTIFIABLE","?REFERENTIAL"),"_")))))</f>
        <v/>
      </c>
      <c r="H895" s="12" t="str">
        <f aca="false">IF(J895&lt;&gt;1,"",IF(I895="SBJ","CB","?"))</f>
        <v/>
      </c>
      <c r="I895" s="13" t="str">
        <f aca="false">IF(OR(E895="",E895="!!!",F895="NEW"),"",INDEX(B$2:B894,-1+SUMPRODUCT(MAX(ROW(E$2:E894)*(E895=E$2:E894)))))</f>
        <v/>
      </c>
      <c r="J895" s="14" t="str">
        <f aca="true">IF(OR(E895="",E895="!!!",F895="NEW"),"",COUNTBLANK(OFFSET(A$1,,,SUMPRODUCT(MAX(ROW(E$2:E895)*(E895=E$2:E895)))))-COUNTBLANK(OFFSET(A$1,,,SUMPRODUCT(MAX(ROW(E$1:E894)*(E895=E$1:E894))))))</f>
        <v/>
      </c>
      <c r="K895" s="14" t="str">
        <f aca="false">IF(OR(E895="",E895="!!!",F895="NEW"),"",INDEX(J$1:J894,SUMPRODUCT(MAX(ROW(E$1:E894)*(E895=E$1:E894)))))</f>
        <v/>
      </c>
      <c r="L895" s="15"/>
    </row>
    <row r="896" customFormat="false" ht="12.75" hidden="false" customHeight="false" outlineLevel="0" collapsed="false">
      <c r="A896" s="0" t="s">
        <v>481</v>
      </c>
      <c r="E896" s="9" t="str">
        <f aca="false">IF(D896="?OLD","!!!","")</f>
        <v/>
      </c>
      <c r="F896" s="10" t="str">
        <f aca="false">IF(OR(E896="",E896="!!!"),"",IF(NOT(ISNA(VLOOKUP(E896,E$1:E895,1,FALSE()))),"OLD",IF(AND(E896&lt;&gt;"",E896&lt;&gt;"!!!"),"NEW","")))</f>
        <v/>
      </c>
      <c r="G896" s="11" t="str">
        <f aca="false">IF(OR(E896="",E896="!!!"),"",IF(OR(J896=0,AND(J896=1,K896=1),AND(J896=1,I896="SBJ"),AND(J896=1,I896=0)),"?IN_FOCUS",IF(J896&lt;=2,"?ACTIVATED",IF(J896&lt;&gt;"","?FAMILIAR",IF(F896="NEW",IF(ISNA(VLOOKUP(E896,#REF!,1,FALSE())),"?TYPE_IDENTIFIABLE","?REFERENTIAL"),"_")))))</f>
        <v/>
      </c>
      <c r="H896" s="12" t="str">
        <f aca="false">IF(J896&lt;&gt;1,"",IF(I896="SBJ","CB","?"))</f>
        <v/>
      </c>
      <c r="I896" s="13" t="str">
        <f aca="false">IF(OR(E896="",E896="!!!",F896="NEW"),"",INDEX(B$2:B895,-1+SUMPRODUCT(MAX(ROW(E$2:E895)*(E896=E$2:E895)))))</f>
        <v/>
      </c>
      <c r="J896" s="14" t="str">
        <f aca="true">IF(OR(E896="",E896="!!!",F896="NEW"),"",COUNTBLANK(OFFSET(A$1,,,SUMPRODUCT(MAX(ROW(E$2:E896)*(E896=E$2:E896)))))-COUNTBLANK(OFFSET(A$1,,,SUMPRODUCT(MAX(ROW(E$1:E895)*(E896=E$1:E895))))))</f>
        <v/>
      </c>
      <c r="K896" s="14" t="str">
        <f aca="false">IF(OR(E896="",E896="!!!",F896="NEW"),"",INDEX(J$1:J895,SUMPRODUCT(MAX(ROW(E$1:E895)*(E896=E$1:E895)))))</f>
        <v/>
      </c>
      <c r="L896" s="15"/>
    </row>
    <row r="897" customFormat="false" ht="12.75" hidden="false" customHeight="false" outlineLevel="0" collapsed="false">
      <c r="A897" s="0" t="s">
        <v>257</v>
      </c>
      <c r="B897" s="0" t="s">
        <v>28</v>
      </c>
      <c r="C897" s="0" t="s">
        <v>135</v>
      </c>
      <c r="D897" s="0" t="s">
        <v>29</v>
      </c>
      <c r="E897" s="9" t="str">
        <f aca="false">IF(D897="?OLD","!!!","")</f>
        <v>!!!</v>
      </c>
      <c r="F897" s="10" t="str">
        <f aca="false">IF(OR(E897="",E897="!!!"),"",IF(NOT(ISNA(VLOOKUP(E897,E$1:E896,1,FALSE()))),"OLD",IF(AND(E897&lt;&gt;"",E897&lt;&gt;"!!!"),"NEW","")))</f>
        <v/>
      </c>
      <c r="G897" s="11" t="str">
        <f aca="false">IF(OR(E897="",E897="!!!"),"",IF(OR(J897=0,AND(J897=1,K897=1),AND(J897=1,I897="SBJ"),AND(J897=1,I897=0)),"?IN_FOCUS",IF(J897&lt;=2,"?ACTIVATED",IF(J897&lt;&gt;"","?FAMILIAR",IF(F897="NEW",IF(ISNA(VLOOKUP(E897,#REF!,1,FALSE())),"?TYPE_IDENTIFIABLE","?REFERENTIAL"),"_")))))</f>
        <v/>
      </c>
      <c r="H897" s="12" t="str">
        <f aca="false">IF(J897&lt;&gt;1,"",IF(I897="SBJ","CB","?"))</f>
        <v/>
      </c>
      <c r="I897" s="13" t="str">
        <f aca="false">IF(OR(E897="",E897="!!!",F897="NEW"),"",INDEX(B$2:B896,-1+SUMPRODUCT(MAX(ROW(E$2:E896)*(E897=E$2:E896)))))</f>
        <v/>
      </c>
      <c r="J897" s="14" t="str">
        <f aca="true">IF(OR(E897="",E897="!!!",F897="NEW"),"",COUNTBLANK(OFFSET(A$1,,,SUMPRODUCT(MAX(ROW(E$2:E897)*(E897=E$2:E897)))))-COUNTBLANK(OFFSET(A$1,,,SUMPRODUCT(MAX(ROW(E$1:E896)*(E897=E$1:E896))))))</f>
        <v/>
      </c>
      <c r="K897" s="14" t="str">
        <f aca="false">IF(OR(E897="",E897="!!!",F897="NEW"),"",INDEX(J$1:J896,SUMPRODUCT(MAX(ROW(E$1:E896)*(E897=E$1:E896)))))</f>
        <v/>
      </c>
      <c r="L897" s="15"/>
    </row>
    <row r="898" customFormat="false" ht="12.75" hidden="false" customHeight="false" outlineLevel="0" collapsed="false">
      <c r="A898" s="0" t="s">
        <v>482</v>
      </c>
      <c r="E898" s="9" t="str">
        <f aca="false">IF(D898="?OLD","!!!","")</f>
        <v/>
      </c>
      <c r="F898" s="10" t="str">
        <f aca="false">IF(OR(E898="",E898="!!!"),"",IF(NOT(ISNA(VLOOKUP(E898,E$1:E897,1,FALSE()))),"OLD",IF(AND(E898&lt;&gt;"",E898&lt;&gt;"!!!"),"NEW","")))</f>
        <v/>
      </c>
      <c r="G898" s="11" t="str">
        <f aca="false">IF(OR(E898="",E898="!!!"),"",IF(OR(J898=0,AND(J898=1,K898=1),AND(J898=1,I898="SBJ"),AND(J898=1,I898=0)),"?IN_FOCUS",IF(J898&lt;=2,"?ACTIVATED",IF(J898&lt;&gt;"","?FAMILIAR",IF(F898="NEW",IF(ISNA(VLOOKUP(E898,#REF!,1,FALSE())),"?TYPE_IDENTIFIABLE","?REFERENTIAL"),"_")))))</f>
        <v/>
      </c>
      <c r="H898" s="12" t="str">
        <f aca="false">IF(J898&lt;&gt;1,"",IF(I898="SBJ","CB","?"))</f>
        <v/>
      </c>
      <c r="I898" s="13" t="str">
        <f aca="false">IF(OR(E898="",E898="!!!",F898="NEW"),"",INDEX(B$2:B897,-1+SUMPRODUCT(MAX(ROW(E$2:E897)*(E898=E$2:E897)))))</f>
        <v/>
      </c>
      <c r="J898" s="14" t="str">
        <f aca="true">IF(OR(E898="",E898="!!!",F898="NEW"),"",COUNTBLANK(OFFSET(A$1,,,SUMPRODUCT(MAX(ROW(E$2:E898)*(E898=E$2:E898)))))-COUNTBLANK(OFFSET(A$1,,,SUMPRODUCT(MAX(ROW(E$1:E897)*(E898=E$1:E897))))))</f>
        <v/>
      </c>
      <c r="K898" s="14" t="str">
        <f aca="false">IF(OR(E898="",E898="!!!",F898="NEW"),"",INDEX(J$1:J897,SUMPRODUCT(MAX(ROW(E$1:E897)*(E898=E$1:E897)))))</f>
        <v/>
      </c>
      <c r="L898" s="15"/>
    </row>
    <row r="899" customFormat="false" ht="12.75" hidden="false" customHeight="false" outlineLevel="0" collapsed="false">
      <c r="A899" s="0" t="s">
        <v>66</v>
      </c>
      <c r="E899" s="9" t="str">
        <f aca="false">IF(D899="?OLD","!!!","")</f>
        <v/>
      </c>
      <c r="F899" s="10" t="str">
        <f aca="false">IF(OR(E899="",E899="!!!"),"",IF(NOT(ISNA(VLOOKUP(E899,E$1:E898,1,FALSE()))),"OLD",IF(AND(E899&lt;&gt;"",E899&lt;&gt;"!!!"),"NEW","")))</f>
        <v/>
      </c>
      <c r="G899" s="11" t="str">
        <f aca="false">IF(OR(E899="",E899="!!!"),"",IF(OR(J899=0,AND(J899=1,K899=1),AND(J899=1,I899="SBJ"),AND(J899=1,I899=0)),"?IN_FOCUS",IF(J899&lt;=2,"?ACTIVATED",IF(J899&lt;&gt;"","?FAMILIAR",IF(F899="NEW",IF(ISNA(VLOOKUP(E899,#REF!,1,FALSE())),"?TYPE_IDENTIFIABLE","?REFERENTIAL"),"_")))))</f>
        <v/>
      </c>
      <c r="H899" s="12" t="str">
        <f aca="false">IF(J899&lt;&gt;1,"",IF(I899="SBJ","CB","?"))</f>
        <v/>
      </c>
      <c r="I899" s="13" t="str">
        <f aca="false">IF(OR(E899="",E899="!!!",F899="NEW"),"",INDEX(B$2:B898,-1+SUMPRODUCT(MAX(ROW(E$2:E898)*(E899=E$2:E898)))))</f>
        <v/>
      </c>
      <c r="J899" s="14" t="str">
        <f aca="true">IF(OR(E899="",E899="!!!",F899="NEW"),"",COUNTBLANK(OFFSET(A$1,,,SUMPRODUCT(MAX(ROW(E$2:E899)*(E899=E$2:E899)))))-COUNTBLANK(OFFSET(A$1,,,SUMPRODUCT(MAX(ROW(E$1:E898)*(E899=E$1:E898))))))</f>
        <v/>
      </c>
      <c r="K899" s="14" t="str">
        <f aca="false">IF(OR(E899="",E899="!!!",F899="NEW"),"",INDEX(J$1:J898,SUMPRODUCT(MAX(ROW(E$1:E898)*(E899=E$1:E898)))))</f>
        <v/>
      </c>
      <c r="L899" s="15"/>
    </row>
    <row r="900" customFormat="false" ht="12.75" hidden="false" customHeight="false" outlineLevel="0" collapsed="false">
      <c r="A900" s="0" t="s">
        <v>483</v>
      </c>
      <c r="E900" s="9" t="str">
        <f aca="false">IF(D900="?OLD","!!!","")</f>
        <v/>
      </c>
      <c r="F900" s="10" t="str">
        <f aca="false">IF(OR(E900="",E900="!!!"),"",IF(NOT(ISNA(VLOOKUP(E900,E$1:E899,1,FALSE()))),"OLD",IF(AND(E900&lt;&gt;"",E900&lt;&gt;"!!!"),"NEW","")))</f>
        <v/>
      </c>
      <c r="G900" s="11" t="str">
        <f aca="false">IF(OR(E900="",E900="!!!"),"",IF(OR(J900=0,AND(J900=1,K900=1),AND(J900=1,I900="SBJ"),AND(J900=1,I900=0)),"?IN_FOCUS",IF(J900&lt;=2,"?ACTIVATED",IF(J900&lt;&gt;"","?FAMILIAR",IF(F900="NEW",IF(ISNA(VLOOKUP(E900,#REF!,1,FALSE())),"?TYPE_IDENTIFIABLE","?REFERENTIAL"),"_")))))</f>
        <v/>
      </c>
      <c r="H900" s="12" t="str">
        <f aca="false">IF(J900&lt;&gt;1,"",IF(I900="SBJ","CB","?"))</f>
        <v/>
      </c>
      <c r="I900" s="13" t="str">
        <f aca="false">IF(OR(E900="",E900="!!!",F900="NEW"),"",INDEX(B$2:B899,-1+SUMPRODUCT(MAX(ROW(E$2:E899)*(E900=E$2:E899)))))</f>
        <v/>
      </c>
      <c r="J900" s="14" t="str">
        <f aca="true">IF(OR(E900="",E900="!!!",F900="NEW"),"",COUNTBLANK(OFFSET(A$1,,,SUMPRODUCT(MAX(ROW(E$2:E900)*(E900=E$2:E900)))))-COUNTBLANK(OFFSET(A$1,,,SUMPRODUCT(MAX(ROW(E$1:E899)*(E900=E$1:E899))))))</f>
        <v/>
      </c>
      <c r="K900" s="14" t="str">
        <f aca="false">IF(OR(E900="",E900="!!!",F900="NEW"),"",INDEX(J$1:J899,SUMPRODUCT(MAX(ROW(E$1:E899)*(E900=E$1:E899)))))</f>
        <v/>
      </c>
      <c r="L900" s="15"/>
    </row>
    <row r="901" customFormat="false" ht="12.75" hidden="false" customHeight="false" outlineLevel="0" collapsed="false">
      <c r="A901" s="0" t="s">
        <v>68</v>
      </c>
      <c r="E901" s="9" t="str">
        <f aca="false">IF(D901="?OLD","!!!","")</f>
        <v/>
      </c>
      <c r="F901" s="10" t="str">
        <f aca="false">IF(OR(E901="",E901="!!!"),"",IF(NOT(ISNA(VLOOKUP(E901,E$1:E900,1,FALSE()))),"OLD",IF(AND(E901&lt;&gt;"",E901&lt;&gt;"!!!"),"NEW","")))</f>
        <v/>
      </c>
      <c r="G901" s="11" t="str">
        <f aca="false">IF(OR(E901="",E901="!!!"),"",IF(OR(J901=0,AND(J901=1,K901=1),AND(J901=1,I901="SBJ"),AND(J901=1,I901=0)),"?IN_FOCUS",IF(J901&lt;=2,"?ACTIVATED",IF(J901&lt;&gt;"","?FAMILIAR",IF(F901="NEW",IF(ISNA(VLOOKUP(E901,#REF!,1,FALSE())),"?TYPE_IDENTIFIABLE","?REFERENTIAL"),"_")))))</f>
        <v/>
      </c>
      <c r="H901" s="12" t="str">
        <f aca="false">IF(J901&lt;&gt;1,"",IF(I901="SBJ","CB","?"))</f>
        <v/>
      </c>
      <c r="I901" s="13" t="str">
        <f aca="false">IF(OR(E901="",E901="!!!",F901="NEW"),"",INDEX(B$2:B900,-1+SUMPRODUCT(MAX(ROW(E$2:E900)*(E901=E$2:E900)))))</f>
        <v/>
      </c>
      <c r="J901" s="14" t="str">
        <f aca="true">IF(OR(E901="",E901="!!!",F901="NEW"),"",COUNTBLANK(OFFSET(A$1,,,SUMPRODUCT(MAX(ROW(E$2:E901)*(E901=E$2:E901)))))-COUNTBLANK(OFFSET(A$1,,,SUMPRODUCT(MAX(ROW(E$1:E900)*(E901=E$1:E900))))))</f>
        <v/>
      </c>
      <c r="K901" s="14" t="str">
        <f aca="false">IF(OR(E901="",E901="!!!",F901="NEW"),"",INDEX(J$1:J900,SUMPRODUCT(MAX(ROW(E$1:E900)*(E901=E$1:E900)))))</f>
        <v/>
      </c>
      <c r="L901" s="15"/>
    </row>
    <row r="902" customFormat="false" ht="12.75" hidden="false" customHeight="false" outlineLevel="0" collapsed="false">
      <c r="A902" s="0" t="s">
        <v>484</v>
      </c>
      <c r="E902" s="9" t="str">
        <f aca="false">IF(D902="?OLD","!!!","")</f>
        <v/>
      </c>
      <c r="F902" s="10" t="str">
        <f aca="false">IF(OR(E902="",E902="!!!"),"",IF(NOT(ISNA(VLOOKUP(E902,E$1:E901,1,FALSE()))),"OLD",IF(AND(E902&lt;&gt;"",E902&lt;&gt;"!!!"),"NEW","")))</f>
        <v/>
      </c>
      <c r="G902" s="11" t="str">
        <f aca="false">IF(OR(E902="",E902="!!!"),"",IF(OR(J902=0,AND(J902=1,K902=1),AND(J902=1,I902="SBJ"),AND(J902=1,I902=0)),"?IN_FOCUS",IF(J902&lt;=2,"?ACTIVATED",IF(J902&lt;&gt;"","?FAMILIAR",IF(F902="NEW",IF(ISNA(VLOOKUP(E902,#REF!,1,FALSE())),"?TYPE_IDENTIFIABLE","?REFERENTIAL"),"_")))))</f>
        <v/>
      </c>
      <c r="H902" s="12" t="str">
        <f aca="false">IF(J902&lt;&gt;1,"",IF(I902="SBJ","CB","?"))</f>
        <v/>
      </c>
      <c r="I902" s="13" t="str">
        <f aca="false">IF(OR(E902="",E902="!!!",F902="NEW"),"",INDEX(B$2:B901,-1+SUMPRODUCT(MAX(ROW(E$2:E901)*(E902=E$2:E901)))))</f>
        <v/>
      </c>
      <c r="J902" s="14" t="str">
        <f aca="true">IF(OR(E902="",E902="!!!",F902="NEW"),"",COUNTBLANK(OFFSET(A$1,,,SUMPRODUCT(MAX(ROW(E$2:E902)*(E902=E$2:E902)))))-COUNTBLANK(OFFSET(A$1,,,SUMPRODUCT(MAX(ROW(E$1:E901)*(E902=E$1:E901))))))</f>
        <v/>
      </c>
      <c r="K902" s="14" t="str">
        <f aca="false">IF(OR(E902="",E902="!!!",F902="NEW"),"",INDEX(J$1:J901,SUMPRODUCT(MAX(ROW(E$1:E901)*(E902=E$1:E901)))))</f>
        <v/>
      </c>
      <c r="L902" s="15"/>
    </row>
    <row r="903" customFormat="false" ht="12.75" hidden="false" customHeight="false" outlineLevel="0" collapsed="false">
      <c r="A903" s="0" t="s">
        <v>192</v>
      </c>
      <c r="B903" s="0" t="s">
        <v>28</v>
      </c>
      <c r="C903" s="0" t="s">
        <v>111</v>
      </c>
      <c r="D903" s="0" t="s">
        <v>29</v>
      </c>
      <c r="E903" s="9" t="str">
        <f aca="false">IF(D903="?OLD","!!!","")</f>
        <v>!!!</v>
      </c>
      <c r="F903" s="10" t="str">
        <f aca="false">IF(OR(E903="",E903="!!!"),"",IF(NOT(ISNA(VLOOKUP(E903,E$1:E902,1,FALSE()))),"OLD",IF(AND(E903&lt;&gt;"",E903&lt;&gt;"!!!"),"NEW","")))</f>
        <v/>
      </c>
      <c r="G903" s="11" t="str">
        <f aca="false">IF(OR(E903="",E903="!!!"),"",IF(OR(J903=0,AND(J903=1,K903=1),AND(J903=1,I903="SBJ"),AND(J903=1,I903=0)),"?IN_FOCUS",IF(J903&lt;=2,"?ACTIVATED",IF(J903&lt;&gt;"","?FAMILIAR",IF(F903="NEW",IF(ISNA(VLOOKUP(E903,#REF!,1,FALSE())),"?TYPE_IDENTIFIABLE","?REFERENTIAL"),"_")))))</f>
        <v/>
      </c>
      <c r="H903" s="12" t="str">
        <f aca="false">IF(J903&lt;&gt;1,"",IF(I903="SBJ","CB","?"))</f>
        <v/>
      </c>
      <c r="I903" s="13" t="str">
        <f aca="false">IF(OR(E903="",E903="!!!",F903="NEW"),"",INDEX(B$2:B902,-1+SUMPRODUCT(MAX(ROW(E$2:E902)*(E903=E$2:E902)))))</f>
        <v/>
      </c>
      <c r="J903" s="14" t="str">
        <f aca="true">IF(OR(E903="",E903="!!!",F903="NEW"),"",COUNTBLANK(OFFSET(A$1,,,SUMPRODUCT(MAX(ROW(E$2:E903)*(E903=E$2:E903)))))-COUNTBLANK(OFFSET(A$1,,,SUMPRODUCT(MAX(ROW(E$1:E902)*(E903=E$1:E902))))))</f>
        <v/>
      </c>
      <c r="K903" s="14" t="str">
        <f aca="false">IF(OR(E903="",E903="!!!",F903="NEW"),"",INDEX(J$1:J902,SUMPRODUCT(MAX(ROW(E$1:E902)*(E903=E$1:E902)))))</f>
        <v/>
      </c>
      <c r="L903" s="15"/>
    </row>
    <row r="904" customFormat="false" ht="12.75" hidden="false" customHeight="false" outlineLevel="0" collapsed="false">
      <c r="A904" s="0" t="s">
        <v>48</v>
      </c>
      <c r="E904" s="9" t="str">
        <f aca="false">IF(D904="?OLD","!!!","")</f>
        <v/>
      </c>
      <c r="F904" s="10" t="str">
        <f aca="false">IF(OR(E904="",E904="!!!"),"",IF(NOT(ISNA(VLOOKUP(E904,E$1:E903,1,FALSE()))),"OLD",IF(AND(E904&lt;&gt;"",E904&lt;&gt;"!!!"),"NEW","")))</f>
        <v/>
      </c>
      <c r="G904" s="11" t="str">
        <f aca="false">IF(OR(E904="",E904="!!!"),"",IF(OR(J904=0,AND(J904=1,K904=1),AND(J904=1,I904="SBJ"),AND(J904=1,I904=0)),"?IN_FOCUS",IF(J904&lt;=2,"?ACTIVATED",IF(J904&lt;&gt;"","?FAMILIAR",IF(F904="NEW",IF(ISNA(VLOOKUP(E904,#REF!,1,FALSE())),"?TYPE_IDENTIFIABLE","?REFERENTIAL"),"_")))))</f>
        <v/>
      </c>
      <c r="H904" s="12" t="str">
        <f aca="false">IF(J904&lt;&gt;1,"",IF(I904="SBJ","CB","?"))</f>
        <v/>
      </c>
      <c r="I904" s="13" t="str">
        <f aca="false">IF(OR(E904="",E904="!!!",F904="NEW"),"",INDEX(B$2:B903,-1+SUMPRODUCT(MAX(ROW(E$2:E903)*(E904=E$2:E903)))))</f>
        <v/>
      </c>
      <c r="J904" s="14" t="str">
        <f aca="true">IF(OR(E904="",E904="!!!",F904="NEW"),"",COUNTBLANK(OFFSET(A$1,,,SUMPRODUCT(MAX(ROW(E$2:E904)*(E904=E$2:E904)))))-COUNTBLANK(OFFSET(A$1,,,SUMPRODUCT(MAX(ROW(E$1:E903)*(E904=E$1:E903))))))</f>
        <v/>
      </c>
      <c r="K904" s="14" t="str">
        <f aca="false">IF(OR(E904="",E904="!!!",F904="NEW"),"",INDEX(J$1:J903,SUMPRODUCT(MAX(ROW(E$1:E903)*(E904=E$1:E903)))))</f>
        <v/>
      </c>
      <c r="L904" s="15"/>
    </row>
    <row r="905" customFormat="false" ht="12.75" hidden="false" customHeight="false" outlineLevel="0" collapsed="false">
      <c r="A905" s="0" t="s">
        <v>485</v>
      </c>
      <c r="E905" s="9" t="str">
        <f aca="false">IF(D905="?OLD","!!!","")</f>
        <v/>
      </c>
      <c r="F905" s="10" t="str">
        <f aca="false">IF(OR(E905="",E905="!!!"),"",IF(NOT(ISNA(VLOOKUP(E905,E$1:E904,1,FALSE()))),"OLD",IF(AND(E905&lt;&gt;"",E905&lt;&gt;"!!!"),"NEW","")))</f>
        <v/>
      </c>
      <c r="G905" s="11" t="str">
        <f aca="false">IF(OR(E905="",E905="!!!"),"",IF(OR(J905=0,AND(J905=1,K905=1),AND(J905=1,I905="SBJ"),AND(J905=1,I905=0)),"?IN_FOCUS",IF(J905&lt;=2,"?ACTIVATED",IF(J905&lt;&gt;"","?FAMILIAR",IF(F905="NEW",IF(ISNA(VLOOKUP(E905,#REF!,1,FALSE())),"?TYPE_IDENTIFIABLE","?REFERENTIAL"),"_")))))</f>
        <v/>
      </c>
      <c r="H905" s="12" t="str">
        <f aca="false">IF(J905&lt;&gt;1,"",IF(I905="SBJ","CB","?"))</f>
        <v/>
      </c>
      <c r="I905" s="13" t="str">
        <f aca="false">IF(OR(E905="",E905="!!!",F905="NEW"),"",INDEX(B$2:B904,-1+SUMPRODUCT(MAX(ROW(E$2:E904)*(E905=E$2:E904)))))</f>
        <v/>
      </c>
      <c r="J905" s="14" t="str">
        <f aca="true">IF(OR(E905="",E905="!!!",F905="NEW"),"",COUNTBLANK(OFFSET(A$1,,,SUMPRODUCT(MAX(ROW(E$2:E905)*(E905=E$2:E905)))))-COUNTBLANK(OFFSET(A$1,,,SUMPRODUCT(MAX(ROW(E$1:E904)*(E905=E$1:E904))))))</f>
        <v/>
      </c>
      <c r="K905" s="14" t="str">
        <f aca="false">IF(OR(E905="",E905="!!!",F905="NEW"),"",INDEX(J$1:J904,SUMPRODUCT(MAX(ROW(E$1:E904)*(E905=E$1:E904)))))</f>
        <v/>
      </c>
      <c r="L905" s="15"/>
    </row>
    <row r="906" customFormat="false" ht="12.75" hidden="false" customHeight="false" outlineLevel="0" collapsed="false">
      <c r="A906" s="0" t="s">
        <v>486</v>
      </c>
      <c r="E906" s="9" t="str">
        <f aca="false">IF(D906="?OLD","!!!","")</f>
        <v/>
      </c>
      <c r="F906" s="10" t="str">
        <f aca="false">IF(OR(E906="",E906="!!!"),"",IF(NOT(ISNA(VLOOKUP(E906,E$1:E905,1,FALSE()))),"OLD",IF(AND(E906&lt;&gt;"",E906&lt;&gt;"!!!"),"NEW","")))</f>
        <v/>
      </c>
      <c r="G906" s="11" t="str">
        <f aca="false">IF(OR(E906="",E906="!!!"),"",IF(OR(J906=0,AND(J906=1,K906=1),AND(J906=1,I906="SBJ"),AND(J906=1,I906=0)),"?IN_FOCUS",IF(J906&lt;=2,"?ACTIVATED",IF(J906&lt;&gt;"","?FAMILIAR",IF(F906="NEW",IF(ISNA(VLOOKUP(E906,#REF!,1,FALSE())),"?TYPE_IDENTIFIABLE","?REFERENTIAL"),"_")))))</f>
        <v/>
      </c>
      <c r="H906" s="12" t="str">
        <f aca="false">IF(J906&lt;&gt;1,"",IF(I906="SBJ","CB","?"))</f>
        <v/>
      </c>
      <c r="I906" s="13" t="str">
        <f aca="false">IF(OR(E906="",E906="!!!",F906="NEW"),"",INDEX(B$2:B905,-1+SUMPRODUCT(MAX(ROW(E$2:E905)*(E906=E$2:E905)))))</f>
        <v/>
      </c>
      <c r="J906" s="14" t="str">
        <f aca="true">IF(OR(E906="",E906="!!!",F906="NEW"),"",COUNTBLANK(OFFSET(A$1,,,SUMPRODUCT(MAX(ROW(E$2:E906)*(E906=E$2:E906)))))-COUNTBLANK(OFFSET(A$1,,,SUMPRODUCT(MAX(ROW(E$1:E905)*(E906=E$1:E905))))))</f>
        <v/>
      </c>
      <c r="K906" s="14" t="str">
        <f aca="false">IF(OR(E906="",E906="!!!",F906="NEW"),"",INDEX(J$1:J905,SUMPRODUCT(MAX(ROW(E$1:E905)*(E906=E$1:E905)))))</f>
        <v/>
      </c>
      <c r="L906" s="15"/>
    </row>
    <row r="907" customFormat="false" ht="12.75" hidden="false" customHeight="false" outlineLevel="0" collapsed="false">
      <c r="A907" s="0" t="s">
        <v>178</v>
      </c>
      <c r="E907" s="9" t="str">
        <f aca="false">IF(D907="?OLD","!!!","")</f>
        <v/>
      </c>
      <c r="F907" s="10" t="str">
        <f aca="false">IF(OR(E907="",E907="!!!"),"",IF(NOT(ISNA(VLOOKUP(E907,E$1:E906,1,FALSE()))),"OLD",IF(AND(E907&lt;&gt;"",E907&lt;&gt;"!!!"),"NEW","")))</f>
        <v/>
      </c>
      <c r="G907" s="11" t="str">
        <f aca="false">IF(OR(E907="",E907="!!!"),"",IF(OR(J907=0,AND(J907=1,K907=1),AND(J907=1,I907="SBJ"),AND(J907=1,I907=0)),"?IN_FOCUS",IF(J907&lt;=2,"?ACTIVATED",IF(J907&lt;&gt;"","?FAMILIAR",IF(F907="NEW",IF(ISNA(VLOOKUP(E907,#REF!,1,FALSE())),"?TYPE_IDENTIFIABLE","?REFERENTIAL"),"_")))))</f>
        <v/>
      </c>
      <c r="H907" s="12" t="str">
        <f aca="false">IF(J907&lt;&gt;1,"",IF(I907="SBJ","CB","?"))</f>
        <v/>
      </c>
      <c r="I907" s="13" t="str">
        <f aca="false">IF(OR(E907="",E907="!!!",F907="NEW"),"",INDEX(B$2:B906,-1+SUMPRODUCT(MAX(ROW(E$2:E906)*(E907=E$2:E906)))))</f>
        <v/>
      </c>
      <c r="J907" s="14" t="str">
        <f aca="true">IF(OR(E907="",E907="!!!",F907="NEW"),"",COUNTBLANK(OFFSET(A$1,,,SUMPRODUCT(MAX(ROW(E$2:E907)*(E907=E$2:E907)))))-COUNTBLANK(OFFSET(A$1,,,SUMPRODUCT(MAX(ROW(E$1:E906)*(E907=E$1:E906))))))</f>
        <v/>
      </c>
      <c r="K907" s="14" t="str">
        <f aca="false">IF(OR(E907="",E907="!!!",F907="NEW"),"",INDEX(J$1:J906,SUMPRODUCT(MAX(ROW(E$1:E906)*(E907=E$1:E906)))))</f>
        <v/>
      </c>
      <c r="L907" s="15"/>
    </row>
    <row r="908" customFormat="false" ht="12.75" hidden="false" customHeight="false" outlineLevel="0" collapsed="false">
      <c r="A908" s="0" t="s">
        <v>53</v>
      </c>
      <c r="B908" s="0" t="s">
        <v>28</v>
      </c>
      <c r="C908" s="0" t="s">
        <v>55</v>
      </c>
      <c r="D908" s="0" t="s">
        <v>29</v>
      </c>
      <c r="E908" s="9" t="str">
        <f aca="false">IF(D908="?OLD","!!!","")</f>
        <v>!!!</v>
      </c>
      <c r="F908" s="10" t="str">
        <f aca="false">IF(OR(E908="",E908="!!!"),"",IF(NOT(ISNA(VLOOKUP(E908,E$1:E907,1,FALSE()))),"OLD",IF(AND(E908&lt;&gt;"",E908&lt;&gt;"!!!"),"NEW","")))</f>
        <v/>
      </c>
      <c r="G908" s="11" t="str">
        <f aca="false">IF(OR(E908="",E908="!!!"),"",IF(OR(J908=0,AND(J908=1,K908=1),AND(J908=1,I908="SBJ"),AND(J908=1,I908=0)),"?IN_FOCUS",IF(J908&lt;=2,"?ACTIVATED",IF(J908&lt;&gt;"","?FAMILIAR",IF(F908="NEW",IF(ISNA(VLOOKUP(E908,#REF!,1,FALSE())),"?TYPE_IDENTIFIABLE","?REFERENTIAL"),"_")))))</f>
        <v/>
      </c>
      <c r="H908" s="12" t="str">
        <f aca="false">IF(J908&lt;&gt;1,"",IF(I908="SBJ","CB","?"))</f>
        <v/>
      </c>
      <c r="I908" s="13" t="str">
        <f aca="false">IF(OR(E908="",E908="!!!",F908="NEW"),"",INDEX(B$2:B907,-1+SUMPRODUCT(MAX(ROW(E$2:E907)*(E908=E$2:E907)))))</f>
        <v/>
      </c>
      <c r="J908" s="14" t="str">
        <f aca="true">IF(OR(E908="",E908="!!!",F908="NEW"),"",COUNTBLANK(OFFSET(A$1,,,SUMPRODUCT(MAX(ROW(E$2:E908)*(E908=E$2:E908)))))-COUNTBLANK(OFFSET(A$1,,,SUMPRODUCT(MAX(ROW(E$1:E907)*(E908=E$1:E907))))))</f>
        <v/>
      </c>
      <c r="K908" s="14" t="str">
        <f aca="false">IF(OR(E908="",E908="!!!",F908="NEW"),"",INDEX(J$1:J907,SUMPRODUCT(MAX(ROW(E$1:E907)*(E908=E$1:E907)))))</f>
        <v/>
      </c>
      <c r="L908" s="15"/>
    </row>
    <row r="909" customFormat="false" ht="12.75" hidden="false" customHeight="false" outlineLevel="0" collapsed="false">
      <c r="A909" s="0" t="s">
        <v>487</v>
      </c>
      <c r="B909" s="0" t="s">
        <v>62</v>
      </c>
      <c r="C909" s="0" t="s">
        <v>15</v>
      </c>
      <c r="D909" s="0" t="s">
        <v>29</v>
      </c>
      <c r="E909" s="9" t="str">
        <f aca="false">IF(D909="?OLD","!!!","")</f>
        <v>!!!</v>
      </c>
      <c r="F909" s="10" t="str">
        <f aca="false">IF(OR(E909="",E909="!!!"),"",IF(NOT(ISNA(VLOOKUP(E909,E$1:E908,1,FALSE()))),"OLD",IF(AND(E909&lt;&gt;"",E909&lt;&gt;"!!!"),"NEW","")))</f>
        <v/>
      </c>
      <c r="G909" s="11" t="str">
        <f aca="false">IF(OR(E909="",E909="!!!"),"",IF(OR(J909=0,AND(J909=1,K909=1),AND(J909=1,I909="SBJ"),AND(J909=1,I909=0)),"?IN_FOCUS",IF(J909&lt;=2,"?ACTIVATED",IF(J909&lt;&gt;"","?FAMILIAR",IF(F909="NEW",IF(ISNA(VLOOKUP(E909,#REF!,1,FALSE())),"?TYPE_IDENTIFIABLE","?REFERENTIAL"),"_")))))</f>
        <v/>
      </c>
      <c r="H909" s="12" t="str">
        <f aca="false">IF(J909&lt;&gt;1,"",IF(I909="SBJ","CB","?"))</f>
        <v/>
      </c>
      <c r="I909" s="13" t="str">
        <f aca="false">IF(OR(E909="",E909="!!!",F909="NEW"),"",INDEX(B$2:B908,-1+SUMPRODUCT(MAX(ROW(E$2:E908)*(E909=E$2:E908)))))</f>
        <v/>
      </c>
      <c r="J909" s="14" t="str">
        <f aca="true">IF(OR(E909="",E909="!!!",F909="NEW"),"",COUNTBLANK(OFFSET(A$1,,,SUMPRODUCT(MAX(ROW(E$2:E909)*(E909=E$2:E909)))))-COUNTBLANK(OFFSET(A$1,,,SUMPRODUCT(MAX(ROW(E$1:E908)*(E909=E$1:E908))))))</f>
        <v/>
      </c>
      <c r="K909" s="14" t="str">
        <f aca="false">IF(OR(E909="",E909="!!!",F909="NEW"),"",INDEX(J$1:J908,SUMPRODUCT(MAX(ROW(E$1:E908)*(E909=E$1:E908)))))</f>
        <v/>
      </c>
      <c r="L909" s="15"/>
    </row>
    <row r="910" customFormat="false" ht="12.75" hidden="false" customHeight="false" outlineLevel="0" collapsed="false">
      <c r="A910" s="0" t="s">
        <v>73</v>
      </c>
      <c r="E910" s="9" t="str">
        <f aca="false">IF(D910="?OLD","!!!","")</f>
        <v/>
      </c>
      <c r="F910" s="10" t="str">
        <f aca="false">IF(OR(E910="",E910="!!!"),"",IF(NOT(ISNA(VLOOKUP(E910,E$1:E909,1,FALSE()))),"OLD",IF(AND(E910&lt;&gt;"",E910&lt;&gt;"!!!"),"NEW","")))</f>
        <v/>
      </c>
      <c r="G910" s="11" t="str">
        <f aca="false">IF(OR(E910="",E910="!!!"),"",IF(OR(J910=0,AND(J910=1,K910=1),AND(J910=1,I910="SBJ"),AND(J910=1,I910=0)),"?IN_FOCUS",IF(J910&lt;=2,"?ACTIVATED",IF(J910&lt;&gt;"","?FAMILIAR",IF(F910="NEW",IF(ISNA(VLOOKUP(E910,#REF!,1,FALSE())),"?TYPE_IDENTIFIABLE","?REFERENTIAL"),"_")))))</f>
        <v/>
      </c>
      <c r="H910" s="12" t="str">
        <f aca="false">IF(J910&lt;&gt;1,"",IF(I910="SBJ","CB","?"))</f>
        <v/>
      </c>
      <c r="I910" s="13" t="str">
        <f aca="false">IF(OR(E910="",E910="!!!",F910="NEW"),"",INDEX(B$2:B909,-1+SUMPRODUCT(MAX(ROW(E$2:E909)*(E910=E$2:E909)))))</f>
        <v/>
      </c>
      <c r="J910" s="14" t="str">
        <f aca="true">IF(OR(E910="",E910="!!!",F910="NEW"),"",COUNTBLANK(OFFSET(A$1,,,SUMPRODUCT(MAX(ROW(E$2:E910)*(E910=E$2:E910)))))-COUNTBLANK(OFFSET(A$1,,,SUMPRODUCT(MAX(ROW(E$1:E909)*(E910=E$1:E909))))))</f>
        <v/>
      </c>
      <c r="K910" s="14" t="str">
        <f aca="false">IF(OR(E910="",E910="!!!",F910="NEW"),"",INDEX(J$1:J909,SUMPRODUCT(MAX(ROW(E$1:E909)*(E910=E$1:E909)))))</f>
        <v/>
      </c>
      <c r="L910" s="15"/>
    </row>
    <row r="911" customFormat="false" ht="12.75" hidden="false" customHeight="false" outlineLevel="0" collapsed="false">
      <c r="E911" s="9" t="str">
        <f aca="false">IF(D911="?OLD","!!!","")</f>
        <v/>
      </c>
      <c r="F911" s="10" t="str">
        <f aca="false">IF(OR(E911="",E911="!!!"),"",IF(NOT(ISNA(VLOOKUP(E911,E$1:E910,1,FALSE()))),"OLD",IF(AND(E911&lt;&gt;"",E911&lt;&gt;"!!!"),"NEW","")))</f>
        <v/>
      </c>
      <c r="G911" s="11" t="str">
        <f aca="false">IF(OR(E911="",E911="!!!"),"",IF(OR(J911=0,AND(J911=1,K911=1),AND(J911=1,I911="SBJ"),AND(J911=1,I911=0)),"?IN_FOCUS",IF(J911&lt;=2,"?ACTIVATED",IF(J911&lt;&gt;"","?FAMILIAR",IF(F911="NEW",IF(ISNA(VLOOKUP(E911,#REF!,1,FALSE())),"?TYPE_IDENTIFIABLE","?REFERENTIAL"),"_")))))</f>
        <v/>
      </c>
      <c r="H911" s="12" t="str">
        <f aca="false">IF(J911&lt;&gt;1,"",IF(I911="SBJ","CB","?"))</f>
        <v/>
      </c>
      <c r="I911" s="13" t="str">
        <f aca="false">IF(OR(E911="",E911="!!!",F911="NEW"),"",INDEX(B$2:B910,-1+SUMPRODUCT(MAX(ROW(E$2:E910)*(E911=E$2:E910)))))</f>
        <v/>
      </c>
      <c r="J911" s="14" t="str">
        <f aca="true">IF(OR(E911="",E911="!!!",F911="NEW"),"",COUNTBLANK(OFFSET(A$1,,,SUMPRODUCT(MAX(ROW(E$2:E911)*(E911=E$2:E911)))))-COUNTBLANK(OFFSET(A$1,,,SUMPRODUCT(MAX(ROW(E$1:E910)*(E911=E$1:E910))))))</f>
        <v/>
      </c>
      <c r="K911" s="14" t="str">
        <f aca="false">IF(OR(E911="",E911="!!!",F911="NEW"),"",INDEX(J$1:J910,SUMPRODUCT(MAX(ROW(E$1:E910)*(E911=E$1:E910)))))</f>
        <v/>
      </c>
      <c r="L911" s="15"/>
    </row>
    <row r="912" customFormat="false" ht="12.75" hidden="false" customHeight="false" outlineLevel="0" collapsed="false">
      <c r="A912" s="0" t="s">
        <v>488</v>
      </c>
      <c r="E912" s="9" t="str">
        <f aca="false">IF(D912="?OLD","!!!","")</f>
        <v/>
      </c>
      <c r="F912" s="10" t="str">
        <f aca="false">IF(OR(E912="",E912="!!!"),"",IF(NOT(ISNA(VLOOKUP(E912,E$1:E911,1,FALSE()))),"OLD",IF(AND(E912&lt;&gt;"",E912&lt;&gt;"!!!"),"NEW","")))</f>
        <v/>
      </c>
      <c r="G912" s="11" t="str">
        <f aca="false">IF(OR(E912="",E912="!!!"),"",IF(OR(J912=0,AND(J912=1,K912=1),AND(J912=1,I912="SBJ"),AND(J912=1,I912=0)),"?IN_FOCUS",IF(J912&lt;=2,"?ACTIVATED",IF(J912&lt;&gt;"","?FAMILIAR",IF(F912="NEW",IF(ISNA(VLOOKUP(E912,#REF!,1,FALSE())),"?TYPE_IDENTIFIABLE","?REFERENTIAL"),"_")))))</f>
        <v/>
      </c>
      <c r="H912" s="12" t="str">
        <f aca="false">IF(J912&lt;&gt;1,"",IF(I912="SBJ","CB","?"))</f>
        <v/>
      </c>
      <c r="I912" s="13" t="str">
        <f aca="false">IF(OR(E912="",E912="!!!",F912="NEW"),"",INDEX(B$2:B911,-1+SUMPRODUCT(MAX(ROW(E$2:E911)*(E912=E$2:E911)))))</f>
        <v/>
      </c>
      <c r="J912" s="14" t="str">
        <f aca="true">IF(OR(E912="",E912="!!!",F912="NEW"),"",COUNTBLANK(OFFSET(A$1,,,SUMPRODUCT(MAX(ROW(E$2:E912)*(E912=E$2:E912)))))-COUNTBLANK(OFFSET(A$1,,,SUMPRODUCT(MAX(ROW(E$1:E911)*(E912=E$1:E911))))))</f>
        <v/>
      </c>
      <c r="K912" s="14" t="str">
        <f aca="false">IF(OR(E912="",E912="!!!",F912="NEW"),"",INDEX(J$1:J911,SUMPRODUCT(MAX(ROW(E$1:E911)*(E912=E$1:E911)))))</f>
        <v/>
      </c>
      <c r="L912" s="15"/>
    </row>
    <row r="913" customFormat="false" ht="12.75" hidden="false" customHeight="false" outlineLevel="0" collapsed="false">
      <c r="A913" s="0" t="s">
        <v>275</v>
      </c>
      <c r="E913" s="9" t="str">
        <f aca="false">IF(D913="?OLD","!!!","")</f>
        <v/>
      </c>
      <c r="F913" s="10" t="str">
        <f aca="false">IF(OR(E913="",E913="!!!"),"",IF(NOT(ISNA(VLOOKUP(E913,E$1:E912,1,FALSE()))),"OLD",IF(AND(E913&lt;&gt;"",E913&lt;&gt;"!!!"),"NEW","")))</f>
        <v/>
      </c>
      <c r="G913" s="11" t="str">
        <f aca="false">IF(OR(E913="",E913="!!!"),"",IF(OR(J913=0,AND(J913=1,K913=1),AND(J913=1,I913="SBJ"),AND(J913=1,I913=0)),"?IN_FOCUS",IF(J913&lt;=2,"?ACTIVATED",IF(J913&lt;&gt;"","?FAMILIAR",IF(F913="NEW",IF(ISNA(VLOOKUP(E913,#REF!,1,FALSE())),"?TYPE_IDENTIFIABLE","?REFERENTIAL"),"_")))))</f>
        <v/>
      </c>
      <c r="H913" s="12" t="str">
        <f aca="false">IF(J913&lt;&gt;1,"",IF(I913="SBJ","CB","?"))</f>
        <v/>
      </c>
      <c r="I913" s="13" t="str">
        <f aca="false">IF(OR(E913="",E913="!!!",F913="NEW"),"",INDEX(B$2:B912,-1+SUMPRODUCT(MAX(ROW(E$2:E912)*(E913=E$2:E912)))))</f>
        <v/>
      </c>
      <c r="J913" s="14" t="str">
        <f aca="true">IF(OR(E913="",E913="!!!",F913="NEW"),"",COUNTBLANK(OFFSET(A$1,,,SUMPRODUCT(MAX(ROW(E$2:E913)*(E913=E$2:E913)))))-COUNTBLANK(OFFSET(A$1,,,SUMPRODUCT(MAX(ROW(E$1:E912)*(E913=E$1:E912))))))</f>
        <v/>
      </c>
      <c r="K913" s="14" t="str">
        <f aca="false">IF(OR(E913="",E913="!!!",F913="NEW"),"",INDEX(J$1:J912,SUMPRODUCT(MAX(ROW(E$1:E912)*(E913=E$1:E912)))))</f>
        <v/>
      </c>
      <c r="L913" s="15"/>
    </row>
    <row r="914" customFormat="false" ht="12.75" hidden="false" customHeight="false" outlineLevel="0" collapsed="false">
      <c r="A914" s="0" t="s">
        <v>122</v>
      </c>
      <c r="B914" s="0" t="s">
        <v>14</v>
      </c>
      <c r="C914" s="0" t="s">
        <v>38</v>
      </c>
      <c r="D914" s="0" t="s">
        <v>29</v>
      </c>
      <c r="E914" s="9" t="str">
        <f aca="false">IF(D914="?OLD","!!!","")</f>
        <v>!!!</v>
      </c>
      <c r="F914" s="10" t="str">
        <f aca="false">IF(OR(E914="",E914="!!!"),"",IF(NOT(ISNA(VLOOKUP(E914,E$1:E913,1,FALSE()))),"OLD",IF(AND(E914&lt;&gt;"",E914&lt;&gt;"!!!"),"NEW","")))</f>
        <v/>
      </c>
      <c r="G914" s="11" t="str">
        <f aca="false">IF(OR(E914="",E914="!!!"),"",IF(OR(J914=0,AND(J914=1,K914=1),AND(J914=1,I914="SBJ"),AND(J914=1,I914=0)),"?IN_FOCUS",IF(J914&lt;=2,"?ACTIVATED",IF(J914&lt;&gt;"","?FAMILIAR",IF(F914="NEW",IF(ISNA(VLOOKUP(E914,#REF!,1,FALSE())),"?TYPE_IDENTIFIABLE","?REFERENTIAL"),"_")))))</f>
        <v/>
      </c>
      <c r="H914" s="12" t="str">
        <f aca="false">IF(J914&lt;&gt;1,"",IF(I914="SBJ","CB","?"))</f>
        <v/>
      </c>
      <c r="I914" s="13" t="str">
        <f aca="false">IF(OR(E914="",E914="!!!",F914="NEW"),"",INDEX(B$2:B913,-1+SUMPRODUCT(MAX(ROW(E$2:E913)*(E914=E$2:E913)))))</f>
        <v/>
      </c>
      <c r="J914" s="14" t="str">
        <f aca="true">IF(OR(E914="",E914="!!!",F914="NEW"),"",COUNTBLANK(OFFSET(A$1,,,SUMPRODUCT(MAX(ROW(E$2:E914)*(E914=E$2:E914)))))-COUNTBLANK(OFFSET(A$1,,,SUMPRODUCT(MAX(ROW(E$1:E913)*(E914=E$1:E913))))))</f>
        <v/>
      </c>
      <c r="K914" s="14" t="str">
        <f aca="false">IF(OR(E914="",E914="!!!",F914="NEW"),"",INDEX(J$1:J913,SUMPRODUCT(MAX(ROW(E$1:E913)*(E914=E$1:E913)))))</f>
        <v/>
      </c>
      <c r="L914" s="15"/>
    </row>
    <row r="915" customFormat="false" ht="12.75" hidden="false" customHeight="false" outlineLevel="0" collapsed="false">
      <c r="A915" s="0" t="s">
        <v>430</v>
      </c>
      <c r="E915" s="9" t="str">
        <f aca="false">IF(D915="?OLD","!!!","")</f>
        <v/>
      </c>
      <c r="F915" s="10" t="str">
        <f aca="false">IF(OR(E915="",E915="!!!"),"",IF(NOT(ISNA(VLOOKUP(E915,E$1:E914,1,FALSE()))),"OLD",IF(AND(E915&lt;&gt;"",E915&lt;&gt;"!!!"),"NEW","")))</f>
        <v/>
      </c>
      <c r="G915" s="11" t="str">
        <f aca="false">IF(OR(E915="",E915="!!!"),"",IF(OR(J915=0,AND(J915=1,K915=1),AND(J915=1,I915="SBJ"),AND(J915=1,I915=0)),"?IN_FOCUS",IF(J915&lt;=2,"?ACTIVATED",IF(J915&lt;&gt;"","?FAMILIAR",IF(F915="NEW",IF(ISNA(VLOOKUP(E915,#REF!,1,FALSE())),"?TYPE_IDENTIFIABLE","?REFERENTIAL"),"_")))))</f>
        <v/>
      </c>
      <c r="H915" s="12" t="str">
        <f aca="false">IF(J915&lt;&gt;1,"",IF(I915="SBJ","CB","?"))</f>
        <v/>
      </c>
      <c r="I915" s="13" t="str">
        <f aca="false">IF(OR(E915="",E915="!!!",F915="NEW"),"",INDEX(B$2:B914,-1+SUMPRODUCT(MAX(ROW(E$2:E914)*(E915=E$2:E914)))))</f>
        <v/>
      </c>
      <c r="J915" s="14" t="str">
        <f aca="true">IF(OR(E915="",E915="!!!",F915="NEW"),"",COUNTBLANK(OFFSET(A$1,,,SUMPRODUCT(MAX(ROW(E$2:E915)*(E915=E$2:E915)))))-COUNTBLANK(OFFSET(A$1,,,SUMPRODUCT(MAX(ROW(E$1:E914)*(E915=E$1:E914))))))</f>
        <v/>
      </c>
      <c r="K915" s="14" t="str">
        <f aca="false">IF(OR(E915="",E915="!!!",F915="NEW"),"",INDEX(J$1:J914,SUMPRODUCT(MAX(ROW(E$1:E914)*(E915=E$1:E914)))))</f>
        <v/>
      </c>
      <c r="L915" s="15"/>
    </row>
    <row r="916" customFormat="false" ht="12.75" hidden="false" customHeight="false" outlineLevel="0" collapsed="false">
      <c r="A916" s="0" t="s">
        <v>429</v>
      </c>
      <c r="B916" s="0" t="s">
        <v>37</v>
      </c>
      <c r="C916" s="0" t="s">
        <v>38</v>
      </c>
      <c r="D916" s="0" t="s">
        <v>29</v>
      </c>
      <c r="E916" s="9" t="str">
        <f aca="false">IF(D916="?OLD","!!!","")</f>
        <v>!!!</v>
      </c>
      <c r="F916" s="10" t="str">
        <f aca="false">IF(OR(E916="",E916="!!!"),"",IF(NOT(ISNA(VLOOKUP(E916,E$1:E915,1,FALSE()))),"OLD",IF(AND(E916&lt;&gt;"",E916&lt;&gt;"!!!"),"NEW","")))</f>
        <v/>
      </c>
      <c r="G916" s="11" t="str">
        <f aca="false">IF(OR(E916="",E916="!!!"),"",IF(OR(J916=0,AND(J916=1,K916=1),AND(J916=1,I916="SBJ"),AND(J916=1,I916=0)),"?IN_FOCUS",IF(J916&lt;=2,"?ACTIVATED",IF(J916&lt;&gt;"","?FAMILIAR",IF(F916="NEW",IF(ISNA(VLOOKUP(E916,#REF!,1,FALSE())),"?TYPE_IDENTIFIABLE","?REFERENTIAL"),"_")))))</f>
        <v/>
      </c>
      <c r="H916" s="12" t="str">
        <f aca="false">IF(J916&lt;&gt;1,"",IF(I916="SBJ","CB","?"))</f>
        <v/>
      </c>
      <c r="I916" s="13" t="str">
        <f aca="false">IF(OR(E916="",E916="!!!",F916="NEW"),"",INDEX(B$2:B915,-1+SUMPRODUCT(MAX(ROW(E$2:E915)*(E916=E$2:E915)))))</f>
        <v/>
      </c>
      <c r="J916" s="14" t="str">
        <f aca="true">IF(OR(E916="",E916="!!!",F916="NEW"),"",COUNTBLANK(OFFSET(A$1,,,SUMPRODUCT(MAX(ROW(E$2:E916)*(E916=E$2:E916)))))-COUNTBLANK(OFFSET(A$1,,,SUMPRODUCT(MAX(ROW(E$1:E915)*(E916=E$1:E915))))))</f>
        <v/>
      </c>
      <c r="K916" s="14" t="str">
        <f aca="false">IF(OR(E916="",E916="!!!",F916="NEW"),"",INDEX(J$1:J915,SUMPRODUCT(MAX(ROW(E$1:E915)*(E916=E$1:E915)))))</f>
        <v/>
      </c>
      <c r="L916" s="15"/>
    </row>
    <row r="917" customFormat="false" ht="12.75" hidden="false" customHeight="false" outlineLevel="0" collapsed="false">
      <c r="A917" s="0" t="s">
        <v>458</v>
      </c>
      <c r="B917" s="0" t="s">
        <v>42</v>
      </c>
      <c r="C917" s="0" t="s">
        <v>23</v>
      </c>
      <c r="D917" s="0" t="s">
        <v>29</v>
      </c>
      <c r="E917" s="9" t="str">
        <f aca="false">IF(D917="?OLD","!!!","")</f>
        <v>!!!</v>
      </c>
      <c r="F917" s="10" t="str">
        <f aca="false">IF(OR(E917="",E917="!!!"),"",IF(NOT(ISNA(VLOOKUP(E917,E$1:E916,1,FALSE()))),"OLD",IF(AND(E917&lt;&gt;"",E917&lt;&gt;"!!!"),"NEW","")))</f>
        <v/>
      </c>
      <c r="G917" s="11" t="str">
        <f aca="false">IF(OR(E917="",E917="!!!"),"",IF(OR(J917=0,AND(J917=1,K917=1),AND(J917=1,I917="SBJ"),AND(J917=1,I917=0)),"?IN_FOCUS",IF(J917&lt;=2,"?ACTIVATED",IF(J917&lt;&gt;"","?FAMILIAR",IF(F917="NEW",IF(ISNA(VLOOKUP(E917,#REF!,1,FALSE())),"?TYPE_IDENTIFIABLE","?REFERENTIAL"),"_")))))</f>
        <v/>
      </c>
      <c r="H917" s="12" t="str">
        <f aca="false">IF(J917&lt;&gt;1,"",IF(I917="SBJ","CB","?"))</f>
        <v/>
      </c>
      <c r="I917" s="13" t="str">
        <f aca="false">IF(OR(E917="",E917="!!!",F917="NEW"),"",INDEX(B$2:B916,-1+SUMPRODUCT(MAX(ROW(E$2:E916)*(E917=E$2:E916)))))</f>
        <v/>
      </c>
      <c r="J917" s="14" t="str">
        <f aca="true">IF(OR(E917="",E917="!!!",F917="NEW"),"",COUNTBLANK(OFFSET(A$1,,,SUMPRODUCT(MAX(ROW(E$2:E917)*(E917=E$2:E917)))))-COUNTBLANK(OFFSET(A$1,,,SUMPRODUCT(MAX(ROW(E$1:E916)*(E917=E$1:E916))))))</f>
        <v/>
      </c>
      <c r="K917" s="14" t="str">
        <f aca="false">IF(OR(E917="",E917="!!!",F917="NEW"),"",INDEX(J$1:J916,SUMPRODUCT(MAX(ROW(E$1:E916)*(E917=E$1:E916)))))</f>
        <v/>
      </c>
      <c r="L917" s="15"/>
    </row>
    <row r="918" customFormat="false" ht="12.75" hidden="false" customHeight="false" outlineLevel="0" collapsed="false">
      <c r="A918" s="0" t="s">
        <v>489</v>
      </c>
      <c r="E918" s="9" t="str">
        <f aca="false">IF(D918="?OLD","!!!","")</f>
        <v/>
      </c>
      <c r="F918" s="10" t="str">
        <f aca="false">IF(OR(E918="",E918="!!!"),"",IF(NOT(ISNA(VLOOKUP(E918,E$1:E917,1,FALSE()))),"OLD",IF(AND(E918&lt;&gt;"",E918&lt;&gt;"!!!"),"NEW","")))</f>
        <v/>
      </c>
      <c r="G918" s="11" t="str">
        <f aca="false">IF(OR(E918="",E918="!!!"),"",IF(OR(J918=0,AND(J918=1,K918=1),AND(J918=1,I918="SBJ"),AND(J918=1,I918=0)),"?IN_FOCUS",IF(J918&lt;=2,"?ACTIVATED",IF(J918&lt;&gt;"","?FAMILIAR",IF(F918="NEW",IF(ISNA(VLOOKUP(E918,#REF!,1,FALSE())),"?TYPE_IDENTIFIABLE","?REFERENTIAL"),"_")))))</f>
        <v/>
      </c>
      <c r="H918" s="12" t="str">
        <f aca="false">IF(J918&lt;&gt;1,"",IF(I918="SBJ","CB","?"))</f>
        <v/>
      </c>
      <c r="I918" s="13" t="str">
        <f aca="false">IF(OR(E918="",E918="!!!",F918="NEW"),"",INDEX(B$2:B917,-1+SUMPRODUCT(MAX(ROW(E$2:E917)*(E918=E$2:E917)))))</f>
        <v/>
      </c>
      <c r="J918" s="14" t="str">
        <f aca="true">IF(OR(E918="",E918="!!!",F918="NEW"),"",COUNTBLANK(OFFSET(A$1,,,SUMPRODUCT(MAX(ROW(E$2:E918)*(E918=E$2:E918)))))-COUNTBLANK(OFFSET(A$1,,,SUMPRODUCT(MAX(ROW(E$1:E917)*(E918=E$1:E917))))))</f>
        <v/>
      </c>
      <c r="K918" s="14" t="str">
        <f aca="false">IF(OR(E918="",E918="!!!",F918="NEW"),"",INDEX(J$1:J917,SUMPRODUCT(MAX(ROW(E$1:E917)*(E918=E$1:E917)))))</f>
        <v/>
      </c>
      <c r="L918" s="15"/>
    </row>
    <row r="919" customFormat="false" ht="12.75" hidden="false" customHeight="false" outlineLevel="0" collapsed="false">
      <c r="A919" s="0" t="s">
        <v>88</v>
      </c>
      <c r="E919" s="9" t="str">
        <f aca="false">IF(D919="?OLD","!!!","")</f>
        <v/>
      </c>
      <c r="F919" s="10" t="str">
        <f aca="false">IF(OR(E919="",E919="!!!"),"",IF(NOT(ISNA(VLOOKUP(E919,E$1:E918,1,FALSE()))),"OLD",IF(AND(E919&lt;&gt;"",E919&lt;&gt;"!!!"),"NEW","")))</f>
        <v/>
      </c>
      <c r="G919" s="11" t="str">
        <f aca="false">IF(OR(E919="",E919="!!!"),"",IF(OR(J919=0,AND(J919=1,K919=1),AND(J919=1,I919="SBJ"),AND(J919=1,I919=0)),"?IN_FOCUS",IF(J919&lt;=2,"?ACTIVATED",IF(J919&lt;&gt;"","?FAMILIAR",IF(F919="NEW",IF(ISNA(VLOOKUP(E919,#REF!,1,FALSE())),"?TYPE_IDENTIFIABLE","?REFERENTIAL"),"_")))))</f>
        <v/>
      </c>
      <c r="H919" s="12" t="str">
        <f aca="false">IF(J919&lt;&gt;1,"",IF(I919="SBJ","CB","?"))</f>
        <v/>
      </c>
      <c r="I919" s="13" t="str">
        <f aca="false">IF(OR(E919="",E919="!!!",F919="NEW"),"",INDEX(B$2:B918,-1+SUMPRODUCT(MAX(ROW(E$2:E918)*(E919=E$2:E918)))))</f>
        <v/>
      </c>
      <c r="J919" s="14" t="str">
        <f aca="true">IF(OR(E919="",E919="!!!",F919="NEW"),"",COUNTBLANK(OFFSET(A$1,,,SUMPRODUCT(MAX(ROW(E$2:E919)*(E919=E$2:E919)))))-COUNTBLANK(OFFSET(A$1,,,SUMPRODUCT(MAX(ROW(E$1:E918)*(E919=E$1:E918))))))</f>
        <v/>
      </c>
      <c r="K919" s="14" t="str">
        <f aca="false">IF(OR(E919="",E919="!!!",F919="NEW"),"",INDEX(J$1:J918,SUMPRODUCT(MAX(ROW(E$1:E918)*(E919=E$1:E918)))))</f>
        <v/>
      </c>
      <c r="L919" s="15"/>
    </row>
    <row r="920" customFormat="false" ht="12.75" hidden="false" customHeight="false" outlineLevel="0" collapsed="false">
      <c r="A920" s="0" t="s">
        <v>490</v>
      </c>
      <c r="E920" s="9" t="str">
        <f aca="false">IF(D920="?OLD","!!!","")</f>
        <v/>
      </c>
      <c r="F920" s="10" t="str">
        <f aca="false">IF(OR(E920="",E920="!!!"),"",IF(NOT(ISNA(VLOOKUP(E920,E$1:E919,1,FALSE()))),"OLD",IF(AND(E920&lt;&gt;"",E920&lt;&gt;"!!!"),"NEW","")))</f>
        <v/>
      </c>
      <c r="G920" s="11" t="str">
        <f aca="false">IF(OR(E920="",E920="!!!"),"",IF(OR(J920=0,AND(J920=1,K920=1),AND(J920=1,I920="SBJ"),AND(J920=1,I920=0)),"?IN_FOCUS",IF(J920&lt;=2,"?ACTIVATED",IF(J920&lt;&gt;"","?FAMILIAR",IF(F920="NEW",IF(ISNA(VLOOKUP(E920,#REF!,1,FALSE())),"?TYPE_IDENTIFIABLE","?REFERENTIAL"),"_")))))</f>
        <v/>
      </c>
      <c r="H920" s="12" t="str">
        <f aca="false">IF(J920&lt;&gt;1,"",IF(I920="SBJ","CB","?"))</f>
        <v/>
      </c>
      <c r="I920" s="13" t="str">
        <f aca="false">IF(OR(E920="",E920="!!!",F920="NEW"),"",INDEX(B$2:B919,-1+SUMPRODUCT(MAX(ROW(E$2:E919)*(E920=E$2:E919)))))</f>
        <v/>
      </c>
      <c r="J920" s="14" t="str">
        <f aca="true">IF(OR(E920="",E920="!!!",F920="NEW"),"",COUNTBLANK(OFFSET(A$1,,,SUMPRODUCT(MAX(ROW(E$2:E920)*(E920=E$2:E920)))))-COUNTBLANK(OFFSET(A$1,,,SUMPRODUCT(MAX(ROW(E$1:E919)*(E920=E$1:E919))))))</f>
        <v/>
      </c>
      <c r="K920" s="14" t="str">
        <f aca="false">IF(OR(E920="",E920="!!!",F920="NEW"),"",INDEX(J$1:J919,SUMPRODUCT(MAX(ROW(E$1:E919)*(E920=E$1:E919)))))</f>
        <v/>
      </c>
      <c r="L920" s="15"/>
    </row>
    <row r="921" customFormat="false" ht="12.75" hidden="false" customHeight="false" outlineLevel="0" collapsed="false">
      <c r="A921" s="0" t="s">
        <v>66</v>
      </c>
      <c r="E921" s="9" t="str">
        <f aca="false">IF(D921="?OLD","!!!","")</f>
        <v/>
      </c>
      <c r="F921" s="10" t="str">
        <f aca="false">IF(OR(E921="",E921="!!!"),"",IF(NOT(ISNA(VLOOKUP(E921,E$1:E920,1,FALSE()))),"OLD",IF(AND(E921&lt;&gt;"",E921&lt;&gt;"!!!"),"NEW","")))</f>
        <v/>
      </c>
      <c r="G921" s="11" t="str">
        <f aca="false">IF(OR(E921="",E921="!!!"),"",IF(OR(J921=0,AND(J921=1,K921=1),AND(J921=1,I921="SBJ"),AND(J921=1,I921=0)),"?IN_FOCUS",IF(J921&lt;=2,"?ACTIVATED",IF(J921&lt;&gt;"","?FAMILIAR",IF(F921="NEW",IF(ISNA(VLOOKUP(E921,#REF!,1,FALSE())),"?TYPE_IDENTIFIABLE","?REFERENTIAL"),"_")))))</f>
        <v/>
      </c>
      <c r="H921" s="12" t="str">
        <f aca="false">IF(J921&lt;&gt;1,"",IF(I921="SBJ","CB","?"))</f>
        <v/>
      </c>
      <c r="I921" s="13" t="str">
        <f aca="false">IF(OR(E921="",E921="!!!",F921="NEW"),"",INDEX(B$2:B920,-1+SUMPRODUCT(MAX(ROW(E$2:E920)*(E921=E$2:E920)))))</f>
        <v/>
      </c>
      <c r="J921" s="14" t="str">
        <f aca="true">IF(OR(E921="",E921="!!!",F921="NEW"),"",COUNTBLANK(OFFSET(A$1,,,SUMPRODUCT(MAX(ROW(E$2:E921)*(E921=E$2:E921)))))-COUNTBLANK(OFFSET(A$1,,,SUMPRODUCT(MAX(ROW(E$1:E920)*(E921=E$1:E920))))))</f>
        <v/>
      </c>
      <c r="K921" s="14" t="str">
        <f aca="false">IF(OR(E921="",E921="!!!",F921="NEW"),"",INDEX(J$1:J920,SUMPRODUCT(MAX(ROW(E$1:E920)*(E921=E$1:E920)))))</f>
        <v/>
      </c>
      <c r="L921" s="15"/>
    </row>
    <row r="922" customFormat="false" ht="12.75" hidden="false" customHeight="false" outlineLevel="0" collapsed="false">
      <c r="A922" s="0" t="s">
        <v>411</v>
      </c>
      <c r="B922" s="0" t="s">
        <v>103</v>
      </c>
      <c r="C922" s="0" t="s">
        <v>111</v>
      </c>
      <c r="D922" s="0" t="s">
        <v>29</v>
      </c>
      <c r="E922" s="9" t="str">
        <f aca="false">IF(D922="?OLD","!!!","")</f>
        <v>!!!</v>
      </c>
      <c r="F922" s="10" t="str">
        <f aca="false">IF(OR(E922="",E922="!!!"),"",IF(NOT(ISNA(VLOOKUP(E922,E$1:E921,1,FALSE()))),"OLD",IF(AND(E922&lt;&gt;"",E922&lt;&gt;"!!!"),"NEW","")))</f>
        <v/>
      </c>
      <c r="G922" s="11" t="str">
        <f aca="false">IF(OR(E922="",E922="!!!"),"",IF(OR(J922=0,AND(J922=1,K922=1),AND(J922=1,I922="SBJ"),AND(J922=1,I922=0)),"?IN_FOCUS",IF(J922&lt;=2,"?ACTIVATED",IF(J922&lt;&gt;"","?FAMILIAR",IF(F922="NEW",IF(ISNA(VLOOKUP(E922,#REF!,1,FALSE())),"?TYPE_IDENTIFIABLE","?REFERENTIAL"),"_")))))</f>
        <v/>
      </c>
      <c r="H922" s="12" t="str">
        <f aca="false">IF(J922&lt;&gt;1,"",IF(I922="SBJ","CB","?"))</f>
        <v/>
      </c>
      <c r="I922" s="13" t="str">
        <f aca="false">IF(OR(E922="",E922="!!!",F922="NEW"),"",INDEX(B$2:B921,-1+SUMPRODUCT(MAX(ROW(E$2:E921)*(E922=E$2:E921)))))</f>
        <v/>
      </c>
      <c r="J922" s="14" t="str">
        <f aca="true">IF(OR(E922="",E922="!!!",F922="NEW"),"",COUNTBLANK(OFFSET(A$1,,,SUMPRODUCT(MAX(ROW(E$2:E922)*(E922=E$2:E922)))))-COUNTBLANK(OFFSET(A$1,,,SUMPRODUCT(MAX(ROW(E$1:E921)*(E922=E$1:E921))))))</f>
        <v/>
      </c>
      <c r="K922" s="14" t="str">
        <f aca="false">IF(OR(E922="",E922="!!!",F922="NEW"),"",INDEX(J$1:J921,SUMPRODUCT(MAX(ROW(E$1:E921)*(E922=E$1:E921)))))</f>
        <v/>
      </c>
      <c r="L922" s="15"/>
    </row>
    <row r="923" customFormat="false" ht="12.75" hidden="false" customHeight="false" outlineLevel="0" collapsed="false">
      <c r="A923" s="0" t="s">
        <v>31</v>
      </c>
      <c r="E923" s="9" t="str">
        <f aca="false">IF(D923="?OLD","!!!","")</f>
        <v/>
      </c>
      <c r="F923" s="10" t="str">
        <f aca="false">IF(OR(E923="",E923="!!!"),"",IF(NOT(ISNA(VLOOKUP(E923,E$1:E922,1,FALSE()))),"OLD",IF(AND(E923&lt;&gt;"",E923&lt;&gt;"!!!"),"NEW","")))</f>
        <v/>
      </c>
      <c r="G923" s="11" t="str">
        <f aca="false">IF(OR(E923="",E923="!!!"),"",IF(OR(J923=0,AND(J923=1,K923=1),AND(J923=1,I923="SBJ"),AND(J923=1,I923=0)),"?IN_FOCUS",IF(J923&lt;=2,"?ACTIVATED",IF(J923&lt;&gt;"","?FAMILIAR",IF(F923="NEW",IF(ISNA(VLOOKUP(E923,#REF!,1,FALSE())),"?TYPE_IDENTIFIABLE","?REFERENTIAL"),"_")))))</f>
        <v/>
      </c>
      <c r="H923" s="12" t="str">
        <f aca="false">IF(J923&lt;&gt;1,"",IF(I923="SBJ","CB","?"))</f>
        <v/>
      </c>
      <c r="I923" s="13" t="str">
        <f aca="false">IF(OR(E923="",E923="!!!",F923="NEW"),"",INDEX(B$2:B922,-1+SUMPRODUCT(MAX(ROW(E$2:E922)*(E923=E$2:E922)))))</f>
        <v/>
      </c>
      <c r="J923" s="14" t="str">
        <f aca="true">IF(OR(E923="",E923="!!!",F923="NEW"),"",COUNTBLANK(OFFSET(A$1,,,SUMPRODUCT(MAX(ROW(E$2:E923)*(E923=E$2:E923)))))-COUNTBLANK(OFFSET(A$1,,,SUMPRODUCT(MAX(ROW(E$1:E922)*(E923=E$1:E922))))))</f>
        <v/>
      </c>
      <c r="K923" s="14" t="str">
        <f aca="false">IF(OR(E923="",E923="!!!",F923="NEW"),"",INDEX(J$1:J922,SUMPRODUCT(MAX(ROW(E$1:E922)*(E923=E$1:E922)))))</f>
        <v/>
      </c>
      <c r="L923" s="15"/>
    </row>
    <row r="924" customFormat="false" ht="12.75" hidden="false" customHeight="false" outlineLevel="0" collapsed="false">
      <c r="A924" s="0" t="s">
        <v>255</v>
      </c>
      <c r="E924" s="9" t="str">
        <f aca="false">IF(D924="?OLD","!!!","")</f>
        <v/>
      </c>
      <c r="F924" s="10" t="str">
        <f aca="false">IF(OR(E924="",E924="!!!"),"",IF(NOT(ISNA(VLOOKUP(E924,E$1:E923,1,FALSE()))),"OLD",IF(AND(E924&lt;&gt;"",E924&lt;&gt;"!!!"),"NEW","")))</f>
        <v/>
      </c>
      <c r="G924" s="11" t="str">
        <f aca="false">IF(OR(E924="",E924="!!!"),"",IF(OR(J924=0,AND(J924=1,K924=1),AND(J924=1,I924="SBJ"),AND(J924=1,I924=0)),"?IN_FOCUS",IF(J924&lt;=2,"?ACTIVATED",IF(J924&lt;&gt;"","?FAMILIAR",IF(F924="NEW",IF(ISNA(VLOOKUP(E924,#REF!,1,FALSE())),"?TYPE_IDENTIFIABLE","?REFERENTIAL"),"_")))))</f>
        <v/>
      </c>
      <c r="H924" s="12" t="str">
        <f aca="false">IF(J924&lt;&gt;1,"",IF(I924="SBJ","CB","?"))</f>
        <v/>
      </c>
      <c r="I924" s="13" t="str">
        <f aca="false">IF(OR(E924="",E924="!!!",F924="NEW"),"",INDEX(B$2:B923,-1+SUMPRODUCT(MAX(ROW(E$2:E923)*(E924=E$2:E923)))))</f>
        <v/>
      </c>
      <c r="J924" s="14" t="str">
        <f aca="true">IF(OR(E924="",E924="!!!",F924="NEW"),"",COUNTBLANK(OFFSET(A$1,,,SUMPRODUCT(MAX(ROW(E$2:E924)*(E924=E$2:E924)))))-COUNTBLANK(OFFSET(A$1,,,SUMPRODUCT(MAX(ROW(E$1:E923)*(E924=E$1:E923))))))</f>
        <v/>
      </c>
      <c r="K924" s="14" t="str">
        <f aca="false">IF(OR(E924="",E924="!!!",F924="NEW"),"",INDEX(J$1:J923,SUMPRODUCT(MAX(ROW(E$1:E923)*(E924=E$1:E923)))))</f>
        <v/>
      </c>
      <c r="L924" s="15"/>
    </row>
    <row r="925" customFormat="false" ht="12.75" hidden="false" customHeight="false" outlineLevel="0" collapsed="false">
      <c r="A925" s="0" t="s">
        <v>456</v>
      </c>
      <c r="B925" s="0" t="s">
        <v>42</v>
      </c>
      <c r="C925" s="0" t="s">
        <v>23</v>
      </c>
      <c r="D925" s="0" t="s">
        <v>29</v>
      </c>
      <c r="E925" s="9" t="str">
        <f aca="false">IF(D925="?OLD","!!!","")</f>
        <v>!!!</v>
      </c>
      <c r="F925" s="10" t="str">
        <f aca="false">IF(OR(E925="",E925="!!!"),"",IF(NOT(ISNA(VLOOKUP(E925,E$1:E924,1,FALSE()))),"OLD",IF(AND(E925&lt;&gt;"",E925&lt;&gt;"!!!"),"NEW","")))</f>
        <v/>
      </c>
      <c r="G925" s="11" t="str">
        <f aca="false">IF(OR(E925="",E925="!!!"),"",IF(OR(J925=0,AND(J925=1,K925=1),AND(J925=1,I925="SBJ"),AND(J925=1,I925=0)),"?IN_FOCUS",IF(J925&lt;=2,"?ACTIVATED",IF(J925&lt;&gt;"","?FAMILIAR",IF(F925="NEW",IF(ISNA(VLOOKUP(E925,#REF!,1,FALSE())),"?TYPE_IDENTIFIABLE","?REFERENTIAL"),"_")))))</f>
        <v/>
      </c>
      <c r="H925" s="12" t="str">
        <f aca="false">IF(J925&lt;&gt;1,"",IF(I925="SBJ","CB","?"))</f>
        <v/>
      </c>
      <c r="I925" s="13" t="str">
        <f aca="false">IF(OR(E925="",E925="!!!",F925="NEW"),"",INDEX(B$2:B924,-1+SUMPRODUCT(MAX(ROW(E$2:E924)*(E925=E$2:E924)))))</f>
        <v/>
      </c>
      <c r="J925" s="14" t="str">
        <f aca="true">IF(OR(E925="",E925="!!!",F925="NEW"),"",COUNTBLANK(OFFSET(A$1,,,SUMPRODUCT(MAX(ROW(E$2:E925)*(E925=E$2:E925)))))-COUNTBLANK(OFFSET(A$1,,,SUMPRODUCT(MAX(ROW(E$1:E924)*(E925=E$1:E924))))))</f>
        <v/>
      </c>
      <c r="K925" s="14" t="str">
        <f aca="false">IF(OR(E925="",E925="!!!",F925="NEW"),"",INDEX(J$1:J924,SUMPRODUCT(MAX(ROW(E$1:E924)*(E925=E$1:E924)))))</f>
        <v/>
      </c>
      <c r="L925" s="15"/>
    </row>
    <row r="926" customFormat="false" ht="12.75" hidden="false" customHeight="false" outlineLevel="0" collapsed="false">
      <c r="A926" s="0" t="s">
        <v>457</v>
      </c>
      <c r="E926" s="9" t="str">
        <f aca="false">IF(D926="?OLD","!!!","")</f>
        <v/>
      </c>
      <c r="F926" s="10" t="str">
        <f aca="false">IF(OR(E926="",E926="!!!"),"",IF(NOT(ISNA(VLOOKUP(E926,E$1:E925,1,FALSE()))),"OLD",IF(AND(E926&lt;&gt;"",E926&lt;&gt;"!!!"),"NEW","")))</f>
        <v/>
      </c>
      <c r="G926" s="11" t="str">
        <f aca="false">IF(OR(E926="",E926="!!!"),"",IF(OR(J926=0,AND(J926=1,K926=1),AND(J926=1,I926="SBJ"),AND(J926=1,I926=0)),"?IN_FOCUS",IF(J926&lt;=2,"?ACTIVATED",IF(J926&lt;&gt;"","?FAMILIAR",IF(F926="NEW",IF(ISNA(VLOOKUP(E926,#REF!,1,FALSE())),"?TYPE_IDENTIFIABLE","?REFERENTIAL"),"_")))))</f>
        <v/>
      </c>
      <c r="H926" s="12" t="str">
        <f aca="false">IF(J926&lt;&gt;1,"",IF(I926="SBJ","CB","?"))</f>
        <v/>
      </c>
      <c r="I926" s="13" t="str">
        <f aca="false">IF(OR(E926="",E926="!!!",F926="NEW"),"",INDEX(B$2:B925,-1+SUMPRODUCT(MAX(ROW(E$2:E925)*(E926=E$2:E925)))))</f>
        <v/>
      </c>
      <c r="J926" s="14" t="str">
        <f aca="true">IF(OR(E926="",E926="!!!",F926="NEW"),"",COUNTBLANK(OFFSET(A$1,,,SUMPRODUCT(MAX(ROW(E$2:E926)*(E926=E$2:E926)))))-COUNTBLANK(OFFSET(A$1,,,SUMPRODUCT(MAX(ROW(E$1:E925)*(E926=E$1:E925))))))</f>
        <v/>
      </c>
      <c r="K926" s="14" t="str">
        <f aca="false">IF(OR(E926="",E926="!!!",F926="NEW"),"",INDEX(J$1:J925,SUMPRODUCT(MAX(ROW(E$1:E925)*(E926=E$1:E925)))))</f>
        <v/>
      </c>
      <c r="L926" s="15"/>
    </row>
    <row r="927" customFormat="false" ht="12.75" hidden="false" customHeight="false" outlineLevel="0" collapsed="false">
      <c r="A927" s="0" t="s">
        <v>491</v>
      </c>
      <c r="E927" s="9" t="str">
        <f aca="false">IF(D927="?OLD","!!!","")</f>
        <v/>
      </c>
      <c r="F927" s="10" t="str">
        <f aca="false">IF(OR(E927="",E927="!!!"),"",IF(NOT(ISNA(VLOOKUP(E927,E$1:E926,1,FALSE()))),"OLD",IF(AND(E927&lt;&gt;"",E927&lt;&gt;"!!!"),"NEW","")))</f>
        <v/>
      </c>
      <c r="G927" s="11" t="str">
        <f aca="false">IF(OR(E927="",E927="!!!"),"",IF(OR(J927=0,AND(J927=1,K927=1),AND(J927=1,I927="SBJ"),AND(J927=1,I927=0)),"?IN_FOCUS",IF(J927&lt;=2,"?ACTIVATED",IF(J927&lt;&gt;"","?FAMILIAR",IF(F927="NEW",IF(ISNA(VLOOKUP(E927,#REF!,1,FALSE())),"?TYPE_IDENTIFIABLE","?REFERENTIAL"),"_")))))</f>
        <v/>
      </c>
      <c r="H927" s="12" t="str">
        <f aca="false">IF(J927&lt;&gt;1,"",IF(I927="SBJ","CB","?"))</f>
        <v/>
      </c>
      <c r="I927" s="13" t="str">
        <f aca="false">IF(OR(E927="",E927="!!!",F927="NEW"),"",INDEX(B$2:B926,-1+SUMPRODUCT(MAX(ROW(E$2:E926)*(E927=E$2:E926)))))</f>
        <v/>
      </c>
      <c r="J927" s="14" t="str">
        <f aca="true">IF(OR(E927="",E927="!!!",F927="NEW"),"",COUNTBLANK(OFFSET(A$1,,,SUMPRODUCT(MAX(ROW(E$2:E927)*(E927=E$2:E927)))))-COUNTBLANK(OFFSET(A$1,,,SUMPRODUCT(MAX(ROW(E$1:E926)*(E927=E$1:E926))))))</f>
        <v/>
      </c>
      <c r="K927" s="14" t="str">
        <f aca="false">IF(OR(E927="",E927="!!!",F927="NEW"),"",INDEX(J$1:J926,SUMPRODUCT(MAX(ROW(E$1:E926)*(E927=E$1:E926)))))</f>
        <v/>
      </c>
      <c r="L927" s="15"/>
    </row>
    <row r="928" customFormat="false" ht="12.75" hidden="false" customHeight="false" outlineLevel="0" collapsed="false">
      <c r="A928" s="0" t="s">
        <v>53</v>
      </c>
      <c r="B928" s="0" t="s">
        <v>22</v>
      </c>
      <c r="C928" s="0" t="s">
        <v>55</v>
      </c>
      <c r="D928" s="0" t="s">
        <v>29</v>
      </c>
      <c r="E928" s="9" t="str">
        <f aca="false">IF(D928="?OLD","!!!","")</f>
        <v>!!!</v>
      </c>
      <c r="F928" s="10" t="str">
        <f aca="false">IF(OR(E928="",E928="!!!"),"",IF(NOT(ISNA(VLOOKUP(E928,E$1:E927,1,FALSE()))),"OLD",IF(AND(E928&lt;&gt;"",E928&lt;&gt;"!!!"),"NEW","")))</f>
        <v/>
      </c>
      <c r="G928" s="11" t="str">
        <f aca="false">IF(OR(E928="",E928="!!!"),"",IF(OR(J928=0,AND(J928=1,K928=1),AND(J928=1,I928="SBJ"),AND(J928=1,I928=0)),"?IN_FOCUS",IF(J928&lt;=2,"?ACTIVATED",IF(J928&lt;&gt;"","?FAMILIAR",IF(F928="NEW",IF(ISNA(VLOOKUP(E928,#REF!,1,FALSE())),"?TYPE_IDENTIFIABLE","?REFERENTIAL"),"_")))))</f>
        <v/>
      </c>
      <c r="H928" s="12" t="str">
        <f aca="false">IF(J928&lt;&gt;1,"",IF(I928="SBJ","CB","?"))</f>
        <v/>
      </c>
      <c r="I928" s="13" t="str">
        <f aca="false">IF(OR(E928="",E928="!!!",F928="NEW"),"",INDEX(B$2:B927,-1+SUMPRODUCT(MAX(ROW(E$2:E927)*(E928=E$2:E927)))))</f>
        <v/>
      </c>
      <c r="J928" s="14" t="str">
        <f aca="true">IF(OR(E928="",E928="!!!",F928="NEW"),"",COUNTBLANK(OFFSET(A$1,,,SUMPRODUCT(MAX(ROW(E$2:E928)*(E928=E$2:E928)))))-COUNTBLANK(OFFSET(A$1,,,SUMPRODUCT(MAX(ROW(E$1:E927)*(E928=E$1:E927))))))</f>
        <v/>
      </c>
      <c r="K928" s="14" t="str">
        <f aca="false">IF(OR(E928="",E928="!!!",F928="NEW"),"",INDEX(J$1:J927,SUMPRODUCT(MAX(ROW(E$1:E927)*(E928=E$1:E927)))))</f>
        <v/>
      </c>
      <c r="L928" s="15"/>
    </row>
    <row r="929" customFormat="false" ht="12.75" hidden="false" customHeight="false" outlineLevel="0" collapsed="false">
      <c r="A929" s="0" t="s">
        <v>492</v>
      </c>
      <c r="B929" s="0" t="s">
        <v>103</v>
      </c>
      <c r="C929" s="0" t="s">
        <v>15</v>
      </c>
      <c r="D929" s="0" t="s">
        <v>29</v>
      </c>
      <c r="E929" s="9" t="str">
        <f aca="false">IF(D929="?OLD","!!!","")</f>
        <v>!!!</v>
      </c>
      <c r="F929" s="10" t="str">
        <f aca="false">IF(OR(E929="",E929="!!!"),"",IF(NOT(ISNA(VLOOKUP(E929,E$1:E928,1,FALSE()))),"OLD",IF(AND(E929&lt;&gt;"",E929&lt;&gt;"!!!"),"NEW","")))</f>
        <v/>
      </c>
      <c r="G929" s="11" t="str">
        <f aca="false">IF(OR(E929="",E929="!!!"),"",IF(OR(J929=0,AND(J929=1,K929=1),AND(J929=1,I929="SBJ"),AND(J929=1,I929=0)),"?IN_FOCUS",IF(J929&lt;=2,"?ACTIVATED",IF(J929&lt;&gt;"","?FAMILIAR",IF(F929="NEW",IF(ISNA(VLOOKUP(E929,#REF!,1,FALSE())),"?TYPE_IDENTIFIABLE","?REFERENTIAL"),"_")))))</f>
        <v/>
      </c>
      <c r="H929" s="12" t="str">
        <f aca="false">IF(J929&lt;&gt;1,"",IF(I929="SBJ","CB","?"))</f>
        <v/>
      </c>
      <c r="I929" s="13" t="str">
        <f aca="false">IF(OR(E929="",E929="!!!",F929="NEW"),"",INDEX(B$2:B928,-1+SUMPRODUCT(MAX(ROW(E$2:E928)*(E929=E$2:E928)))))</f>
        <v/>
      </c>
      <c r="J929" s="14" t="str">
        <f aca="true">IF(OR(E929="",E929="!!!",F929="NEW"),"",COUNTBLANK(OFFSET(A$1,,,SUMPRODUCT(MAX(ROW(E$2:E929)*(E929=E$2:E929)))))-COUNTBLANK(OFFSET(A$1,,,SUMPRODUCT(MAX(ROW(E$1:E928)*(E929=E$1:E928))))))</f>
        <v/>
      </c>
      <c r="K929" s="14" t="str">
        <f aca="false">IF(OR(E929="",E929="!!!",F929="NEW"),"",INDEX(J$1:J928,SUMPRODUCT(MAX(ROW(E$1:E928)*(E929=E$1:E928)))))</f>
        <v/>
      </c>
      <c r="L929" s="15"/>
    </row>
    <row r="930" customFormat="false" ht="12.75" hidden="false" customHeight="false" outlineLevel="0" collapsed="false">
      <c r="A930" s="0" t="s">
        <v>195</v>
      </c>
      <c r="E930" s="9" t="str">
        <f aca="false">IF(D930="?OLD","!!!","")</f>
        <v/>
      </c>
      <c r="F930" s="10" t="str">
        <f aca="false">IF(OR(E930="",E930="!!!"),"",IF(NOT(ISNA(VLOOKUP(E930,E$1:E929,1,FALSE()))),"OLD",IF(AND(E930&lt;&gt;"",E930&lt;&gt;"!!!"),"NEW","")))</f>
        <v/>
      </c>
      <c r="G930" s="11" t="str">
        <f aca="false">IF(OR(E930="",E930="!!!"),"",IF(OR(J930=0,AND(J930=1,K930=1),AND(J930=1,I930="SBJ"),AND(J930=1,I930=0)),"?IN_FOCUS",IF(J930&lt;=2,"?ACTIVATED",IF(J930&lt;&gt;"","?FAMILIAR",IF(F930="NEW",IF(ISNA(VLOOKUP(E930,#REF!,1,FALSE())),"?TYPE_IDENTIFIABLE","?REFERENTIAL"),"_")))))</f>
        <v/>
      </c>
      <c r="H930" s="12" t="str">
        <f aca="false">IF(J930&lt;&gt;1,"",IF(I930="SBJ","CB","?"))</f>
        <v/>
      </c>
      <c r="I930" s="13" t="str">
        <f aca="false">IF(OR(E930="",E930="!!!",F930="NEW"),"",INDEX(B$2:B929,-1+SUMPRODUCT(MAX(ROW(E$2:E929)*(E930=E$2:E929)))))</f>
        <v/>
      </c>
      <c r="J930" s="14" t="str">
        <f aca="true">IF(OR(E930="",E930="!!!",F930="NEW"),"",COUNTBLANK(OFFSET(A$1,,,SUMPRODUCT(MAX(ROW(E$2:E930)*(E930=E$2:E930)))))-COUNTBLANK(OFFSET(A$1,,,SUMPRODUCT(MAX(ROW(E$1:E929)*(E930=E$1:E929))))))</f>
        <v/>
      </c>
      <c r="K930" s="14" t="str">
        <f aca="false">IF(OR(E930="",E930="!!!",F930="NEW"),"",INDEX(J$1:J929,SUMPRODUCT(MAX(ROW(E$1:E929)*(E930=E$1:E929)))))</f>
        <v/>
      </c>
      <c r="L930" s="15"/>
    </row>
    <row r="931" customFormat="false" ht="12.75" hidden="false" customHeight="false" outlineLevel="0" collapsed="false">
      <c r="A931" s="0" t="s">
        <v>88</v>
      </c>
      <c r="E931" s="9" t="str">
        <f aca="false">IF(D931="?OLD","!!!","")</f>
        <v/>
      </c>
      <c r="F931" s="10" t="str">
        <f aca="false">IF(OR(E931="",E931="!!!"),"",IF(NOT(ISNA(VLOOKUP(E931,E$1:E930,1,FALSE()))),"OLD",IF(AND(E931&lt;&gt;"",E931&lt;&gt;"!!!"),"NEW","")))</f>
        <v/>
      </c>
      <c r="G931" s="11" t="str">
        <f aca="false">IF(OR(E931="",E931="!!!"),"",IF(OR(J931=0,AND(J931=1,K931=1),AND(J931=1,I931="SBJ"),AND(J931=1,I931=0)),"?IN_FOCUS",IF(J931&lt;=2,"?ACTIVATED",IF(J931&lt;&gt;"","?FAMILIAR",IF(F931="NEW",IF(ISNA(VLOOKUP(E931,#REF!,1,FALSE())),"?TYPE_IDENTIFIABLE","?REFERENTIAL"),"_")))))</f>
        <v/>
      </c>
      <c r="H931" s="12" t="str">
        <f aca="false">IF(J931&lt;&gt;1,"",IF(I931="SBJ","CB","?"))</f>
        <v/>
      </c>
      <c r="I931" s="13" t="str">
        <f aca="false">IF(OR(E931="",E931="!!!",F931="NEW"),"",INDEX(B$2:B930,-1+SUMPRODUCT(MAX(ROW(E$2:E930)*(E931=E$2:E930)))))</f>
        <v/>
      </c>
      <c r="J931" s="14" t="str">
        <f aca="true">IF(OR(E931="",E931="!!!",F931="NEW"),"",COUNTBLANK(OFFSET(A$1,,,SUMPRODUCT(MAX(ROW(E$2:E931)*(E931=E$2:E931)))))-COUNTBLANK(OFFSET(A$1,,,SUMPRODUCT(MAX(ROW(E$1:E930)*(E931=E$1:E930))))))</f>
        <v/>
      </c>
      <c r="K931" s="14" t="str">
        <f aca="false">IF(OR(E931="",E931="!!!",F931="NEW"),"",INDEX(J$1:J930,SUMPRODUCT(MAX(ROW(E$1:E930)*(E931=E$1:E930)))))</f>
        <v/>
      </c>
      <c r="L931" s="15"/>
    </row>
    <row r="932" customFormat="false" ht="12.75" hidden="false" customHeight="false" outlineLevel="0" collapsed="false">
      <c r="A932" s="0" t="s">
        <v>493</v>
      </c>
      <c r="E932" s="9" t="str">
        <f aca="false">IF(D932="?OLD","!!!","")</f>
        <v/>
      </c>
      <c r="F932" s="10" t="str">
        <f aca="false">IF(OR(E932="",E932="!!!"),"",IF(NOT(ISNA(VLOOKUP(E932,E$1:E931,1,FALSE()))),"OLD",IF(AND(E932&lt;&gt;"",E932&lt;&gt;"!!!"),"NEW","")))</f>
        <v/>
      </c>
      <c r="G932" s="11" t="str">
        <f aca="false">IF(OR(E932="",E932="!!!"),"",IF(OR(J932=0,AND(J932=1,K932=1),AND(J932=1,I932="SBJ"),AND(J932=1,I932=0)),"?IN_FOCUS",IF(J932&lt;=2,"?ACTIVATED",IF(J932&lt;&gt;"","?FAMILIAR",IF(F932="NEW",IF(ISNA(VLOOKUP(E932,#REF!,1,FALSE())),"?TYPE_IDENTIFIABLE","?REFERENTIAL"),"_")))))</f>
        <v/>
      </c>
      <c r="H932" s="12" t="str">
        <f aca="false">IF(J932&lt;&gt;1,"",IF(I932="SBJ","CB","?"))</f>
        <v/>
      </c>
      <c r="I932" s="13" t="str">
        <f aca="false">IF(OR(E932="",E932="!!!",F932="NEW"),"",INDEX(B$2:B931,-1+SUMPRODUCT(MAX(ROW(E$2:E931)*(E932=E$2:E931)))))</f>
        <v/>
      </c>
      <c r="J932" s="14" t="str">
        <f aca="true">IF(OR(E932="",E932="!!!",F932="NEW"),"",COUNTBLANK(OFFSET(A$1,,,SUMPRODUCT(MAX(ROW(E$2:E932)*(E932=E$2:E932)))))-COUNTBLANK(OFFSET(A$1,,,SUMPRODUCT(MAX(ROW(E$1:E931)*(E932=E$1:E931))))))</f>
        <v/>
      </c>
      <c r="K932" s="14" t="str">
        <f aca="false">IF(OR(E932="",E932="!!!",F932="NEW"),"",INDEX(J$1:J931,SUMPRODUCT(MAX(ROW(E$1:E931)*(E932=E$1:E931)))))</f>
        <v/>
      </c>
      <c r="L932" s="15"/>
    </row>
    <row r="933" customFormat="false" ht="12.75" hidden="false" customHeight="false" outlineLevel="0" collapsed="false">
      <c r="A933" s="0" t="s">
        <v>191</v>
      </c>
      <c r="E933" s="9" t="str">
        <f aca="false">IF(D933="?OLD","!!!","")</f>
        <v/>
      </c>
      <c r="F933" s="10" t="str">
        <f aca="false">IF(OR(E933="",E933="!!!"),"",IF(NOT(ISNA(VLOOKUP(E933,E$1:E932,1,FALSE()))),"OLD",IF(AND(E933&lt;&gt;"",E933&lt;&gt;"!!!"),"NEW","")))</f>
        <v/>
      </c>
      <c r="G933" s="11" t="str">
        <f aca="false">IF(OR(E933="",E933="!!!"),"",IF(OR(J933=0,AND(J933=1,K933=1),AND(J933=1,I933="SBJ"),AND(J933=1,I933=0)),"?IN_FOCUS",IF(J933&lt;=2,"?ACTIVATED",IF(J933&lt;&gt;"","?FAMILIAR",IF(F933="NEW",IF(ISNA(VLOOKUP(E933,#REF!,1,FALSE())),"?TYPE_IDENTIFIABLE","?REFERENTIAL"),"_")))))</f>
        <v/>
      </c>
      <c r="H933" s="12" t="str">
        <f aca="false">IF(J933&lt;&gt;1,"",IF(I933="SBJ","CB","?"))</f>
        <v/>
      </c>
      <c r="I933" s="13" t="str">
        <f aca="false">IF(OR(E933="",E933="!!!",F933="NEW"),"",INDEX(B$2:B932,-1+SUMPRODUCT(MAX(ROW(E$2:E932)*(E933=E$2:E932)))))</f>
        <v/>
      </c>
      <c r="J933" s="14" t="str">
        <f aca="true">IF(OR(E933="",E933="!!!",F933="NEW"),"",COUNTBLANK(OFFSET(A$1,,,SUMPRODUCT(MAX(ROW(E$2:E933)*(E933=E$2:E933)))))-COUNTBLANK(OFFSET(A$1,,,SUMPRODUCT(MAX(ROW(E$1:E932)*(E933=E$1:E932))))))</f>
        <v/>
      </c>
      <c r="K933" s="14" t="str">
        <f aca="false">IF(OR(E933="",E933="!!!",F933="NEW"),"",INDEX(J$1:J932,SUMPRODUCT(MAX(ROW(E$1:E932)*(E933=E$1:E932)))))</f>
        <v/>
      </c>
      <c r="L933" s="15"/>
    </row>
    <row r="934" customFormat="false" ht="12.75" hidden="false" customHeight="false" outlineLevel="0" collapsed="false">
      <c r="A934" s="0" t="s">
        <v>136</v>
      </c>
      <c r="E934" s="9" t="str">
        <f aca="false">IF(D934="?OLD","!!!","")</f>
        <v/>
      </c>
      <c r="F934" s="10" t="str">
        <f aca="false">IF(OR(E934="",E934="!!!"),"",IF(NOT(ISNA(VLOOKUP(E934,E$1:E933,1,FALSE()))),"OLD",IF(AND(E934&lt;&gt;"",E934&lt;&gt;"!!!"),"NEW","")))</f>
        <v/>
      </c>
      <c r="G934" s="11" t="str">
        <f aca="false">IF(OR(E934="",E934="!!!"),"",IF(OR(J934=0,AND(J934=1,K934=1),AND(J934=1,I934="SBJ"),AND(J934=1,I934=0)),"?IN_FOCUS",IF(J934&lt;=2,"?ACTIVATED",IF(J934&lt;&gt;"","?FAMILIAR",IF(F934="NEW",IF(ISNA(VLOOKUP(E934,#REF!,1,FALSE())),"?TYPE_IDENTIFIABLE","?REFERENTIAL"),"_")))))</f>
        <v/>
      </c>
      <c r="H934" s="12" t="str">
        <f aca="false">IF(J934&lt;&gt;1,"",IF(I934="SBJ","CB","?"))</f>
        <v/>
      </c>
      <c r="I934" s="13" t="str">
        <f aca="false">IF(OR(E934="",E934="!!!",F934="NEW"),"",INDEX(B$2:B933,-1+SUMPRODUCT(MAX(ROW(E$2:E933)*(E934=E$2:E933)))))</f>
        <v/>
      </c>
      <c r="J934" s="14" t="str">
        <f aca="true">IF(OR(E934="",E934="!!!",F934="NEW"),"",COUNTBLANK(OFFSET(A$1,,,SUMPRODUCT(MAX(ROW(E$2:E934)*(E934=E$2:E934)))))-COUNTBLANK(OFFSET(A$1,,,SUMPRODUCT(MAX(ROW(E$1:E933)*(E934=E$1:E933))))))</f>
        <v/>
      </c>
      <c r="K934" s="14" t="str">
        <f aca="false">IF(OR(E934="",E934="!!!",F934="NEW"),"",INDEX(J$1:J933,SUMPRODUCT(MAX(ROW(E$1:E933)*(E934=E$1:E933)))))</f>
        <v/>
      </c>
      <c r="L934" s="15"/>
    </row>
    <row r="935" customFormat="false" ht="12.75" hidden="false" customHeight="false" outlineLevel="0" collapsed="false">
      <c r="A935" s="0" t="s">
        <v>53</v>
      </c>
      <c r="B935" s="0" t="s">
        <v>64</v>
      </c>
      <c r="C935" s="0" t="s">
        <v>55</v>
      </c>
      <c r="D935" s="0" t="s">
        <v>29</v>
      </c>
      <c r="E935" s="9" t="str">
        <f aca="false">IF(D935="?OLD","!!!","")</f>
        <v>!!!</v>
      </c>
      <c r="F935" s="10" t="str">
        <f aca="false">IF(OR(E935="",E935="!!!"),"",IF(NOT(ISNA(VLOOKUP(E935,E$1:E934,1,FALSE()))),"OLD",IF(AND(E935&lt;&gt;"",E935&lt;&gt;"!!!"),"NEW","")))</f>
        <v/>
      </c>
      <c r="G935" s="11" t="str">
        <f aca="false">IF(OR(E935="",E935="!!!"),"",IF(OR(J935=0,AND(J935=1,K935=1),AND(J935=1,I935="SBJ"),AND(J935=1,I935=0)),"?IN_FOCUS",IF(J935&lt;=2,"?ACTIVATED",IF(J935&lt;&gt;"","?FAMILIAR",IF(F935="NEW",IF(ISNA(VLOOKUP(E935,#REF!,1,FALSE())),"?TYPE_IDENTIFIABLE","?REFERENTIAL"),"_")))))</f>
        <v/>
      </c>
      <c r="H935" s="12" t="str">
        <f aca="false">IF(J935&lt;&gt;1,"",IF(I935="SBJ","CB","?"))</f>
        <v/>
      </c>
      <c r="I935" s="13" t="str">
        <f aca="false">IF(OR(E935="",E935="!!!",F935="NEW"),"",INDEX(B$2:B934,-1+SUMPRODUCT(MAX(ROW(E$2:E934)*(E935=E$2:E934)))))</f>
        <v/>
      </c>
      <c r="J935" s="14" t="str">
        <f aca="true">IF(OR(E935="",E935="!!!",F935="NEW"),"",COUNTBLANK(OFFSET(A$1,,,SUMPRODUCT(MAX(ROW(E$2:E935)*(E935=E$2:E935)))))-COUNTBLANK(OFFSET(A$1,,,SUMPRODUCT(MAX(ROW(E$1:E934)*(E935=E$1:E934))))))</f>
        <v/>
      </c>
      <c r="K935" s="14" t="str">
        <f aca="false">IF(OR(E935="",E935="!!!",F935="NEW"),"",INDEX(J$1:J934,SUMPRODUCT(MAX(ROW(E$1:E934)*(E935=E$1:E934)))))</f>
        <v/>
      </c>
      <c r="L935" s="15"/>
    </row>
    <row r="936" customFormat="false" ht="12.75" hidden="false" customHeight="false" outlineLevel="0" collapsed="false">
      <c r="A936" s="0" t="s">
        <v>494</v>
      </c>
      <c r="B936" s="0" t="s">
        <v>22</v>
      </c>
      <c r="C936" s="0" t="s">
        <v>15</v>
      </c>
      <c r="D936" s="0" t="s">
        <v>29</v>
      </c>
      <c r="E936" s="9" t="str">
        <f aca="false">IF(D936="?OLD","!!!","")</f>
        <v>!!!</v>
      </c>
      <c r="F936" s="10" t="str">
        <f aca="false">IF(OR(E936="",E936="!!!"),"",IF(NOT(ISNA(VLOOKUP(E936,E$1:E935,1,FALSE()))),"OLD",IF(AND(E936&lt;&gt;"",E936&lt;&gt;"!!!"),"NEW","")))</f>
        <v/>
      </c>
      <c r="G936" s="11" t="str">
        <f aca="false">IF(OR(E936="",E936="!!!"),"",IF(OR(J936=0,AND(J936=1,K936=1),AND(J936=1,I936="SBJ"),AND(J936=1,I936=0)),"?IN_FOCUS",IF(J936&lt;=2,"?ACTIVATED",IF(J936&lt;&gt;"","?FAMILIAR",IF(F936="NEW",IF(ISNA(VLOOKUP(E936,#REF!,1,FALSE())),"?TYPE_IDENTIFIABLE","?REFERENTIAL"),"_")))))</f>
        <v/>
      </c>
      <c r="H936" s="12" t="str">
        <f aca="false">IF(J936&lt;&gt;1,"",IF(I936="SBJ","CB","?"))</f>
        <v/>
      </c>
      <c r="I936" s="13" t="str">
        <f aca="false">IF(OR(E936="",E936="!!!",F936="NEW"),"",INDEX(B$2:B935,-1+SUMPRODUCT(MAX(ROW(E$2:E935)*(E936=E$2:E935)))))</f>
        <v/>
      </c>
      <c r="J936" s="14" t="str">
        <f aca="true">IF(OR(E936="",E936="!!!",F936="NEW"),"",COUNTBLANK(OFFSET(A$1,,,SUMPRODUCT(MAX(ROW(E$2:E936)*(E936=E$2:E936)))))-COUNTBLANK(OFFSET(A$1,,,SUMPRODUCT(MAX(ROW(E$1:E935)*(E936=E$1:E935))))))</f>
        <v/>
      </c>
      <c r="K936" s="14" t="str">
        <f aca="false">IF(OR(E936="",E936="!!!",F936="NEW"),"",INDEX(J$1:J935,SUMPRODUCT(MAX(ROW(E$1:E935)*(E936=E$1:E935)))))</f>
        <v/>
      </c>
      <c r="L936" s="15"/>
    </row>
    <row r="937" customFormat="false" ht="12.75" hidden="false" customHeight="false" outlineLevel="0" collapsed="false">
      <c r="A937" s="0" t="s">
        <v>31</v>
      </c>
      <c r="E937" s="9" t="str">
        <f aca="false">IF(D937="?OLD","!!!","")</f>
        <v/>
      </c>
      <c r="F937" s="10" t="str">
        <f aca="false">IF(OR(E937="",E937="!!!"),"",IF(NOT(ISNA(VLOOKUP(E937,E$1:E936,1,FALSE()))),"OLD",IF(AND(E937&lt;&gt;"",E937&lt;&gt;"!!!"),"NEW","")))</f>
        <v/>
      </c>
      <c r="G937" s="11" t="str">
        <f aca="false">IF(OR(E937="",E937="!!!"),"",IF(OR(J937=0,AND(J937=1,K937=1),AND(J937=1,I937="SBJ"),AND(J937=1,I937=0)),"?IN_FOCUS",IF(J937&lt;=2,"?ACTIVATED",IF(J937&lt;&gt;"","?FAMILIAR",IF(F937="NEW",IF(ISNA(VLOOKUP(E937,#REF!,1,FALSE())),"?TYPE_IDENTIFIABLE","?REFERENTIAL"),"_")))))</f>
        <v/>
      </c>
      <c r="H937" s="12" t="str">
        <f aca="false">IF(J937&lt;&gt;1,"",IF(I937="SBJ","CB","?"))</f>
        <v/>
      </c>
      <c r="I937" s="13" t="str">
        <f aca="false">IF(OR(E937="",E937="!!!",F937="NEW"),"",INDEX(B$2:B936,-1+SUMPRODUCT(MAX(ROW(E$2:E936)*(E937=E$2:E936)))))</f>
        <v/>
      </c>
      <c r="J937" s="14" t="str">
        <f aca="true">IF(OR(E937="",E937="!!!",F937="NEW"),"",COUNTBLANK(OFFSET(A$1,,,SUMPRODUCT(MAX(ROW(E$2:E937)*(E937=E$2:E937)))))-COUNTBLANK(OFFSET(A$1,,,SUMPRODUCT(MAX(ROW(E$1:E936)*(E937=E$1:E936))))))</f>
        <v/>
      </c>
      <c r="K937" s="14" t="str">
        <f aca="false">IF(OR(E937="",E937="!!!",F937="NEW"),"",INDEX(J$1:J936,SUMPRODUCT(MAX(ROW(E$1:E936)*(E937=E$1:E936)))))</f>
        <v/>
      </c>
      <c r="L937" s="15"/>
    </row>
    <row r="938" customFormat="false" ht="12.75" hidden="false" customHeight="false" outlineLevel="0" collapsed="false">
      <c r="A938" s="0" t="s">
        <v>495</v>
      </c>
      <c r="E938" s="9" t="str">
        <f aca="false">IF(D938="?OLD","!!!","")</f>
        <v/>
      </c>
      <c r="F938" s="10" t="str">
        <f aca="false">IF(OR(E938="",E938="!!!"),"",IF(NOT(ISNA(VLOOKUP(E938,E$1:E937,1,FALSE()))),"OLD",IF(AND(E938&lt;&gt;"",E938&lt;&gt;"!!!"),"NEW","")))</f>
        <v/>
      </c>
      <c r="G938" s="11" t="str">
        <f aca="false">IF(OR(E938="",E938="!!!"),"",IF(OR(J938=0,AND(J938=1,K938=1),AND(J938=1,I938="SBJ"),AND(J938=1,I938=0)),"?IN_FOCUS",IF(J938&lt;=2,"?ACTIVATED",IF(J938&lt;&gt;"","?FAMILIAR",IF(F938="NEW",IF(ISNA(VLOOKUP(E938,#REF!,1,FALSE())),"?TYPE_IDENTIFIABLE","?REFERENTIAL"),"_")))))</f>
        <v/>
      </c>
      <c r="H938" s="12" t="str">
        <f aca="false">IF(J938&lt;&gt;1,"",IF(I938="SBJ","CB","?"))</f>
        <v/>
      </c>
      <c r="I938" s="13" t="str">
        <f aca="false">IF(OR(E938="",E938="!!!",F938="NEW"),"",INDEX(B$2:B937,-1+SUMPRODUCT(MAX(ROW(E$2:E937)*(E938=E$2:E937)))))</f>
        <v/>
      </c>
      <c r="J938" s="14" t="str">
        <f aca="true">IF(OR(E938="",E938="!!!",F938="NEW"),"",COUNTBLANK(OFFSET(A$1,,,SUMPRODUCT(MAX(ROW(E$2:E938)*(E938=E$2:E938)))))-COUNTBLANK(OFFSET(A$1,,,SUMPRODUCT(MAX(ROW(E$1:E937)*(E938=E$1:E937))))))</f>
        <v/>
      </c>
      <c r="K938" s="14" t="str">
        <f aca="false">IF(OR(E938="",E938="!!!",F938="NEW"),"",INDEX(J$1:J937,SUMPRODUCT(MAX(ROW(E$1:E937)*(E938=E$1:E937)))))</f>
        <v/>
      </c>
      <c r="L938" s="15"/>
    </row>
    <row r="939" customFormat="false" ht="12.75" hidden="false" customHeight="false" outlineLevel="0" collapsed="false">
      <c r="A939" s="0" t="s">
        <v>145</v>
      </c>
      <c r="E939" s="9" t="str">
        <f aca="false">IF(D939="?OLD","!!!","")</f>
        <v/>
      </c>
      <c r="F939" s="10" t="str">
        <f aca="false">IF(OR(E939="",E939="!!!"),"",IF(NOT(ISNA(VLOOKUP(E939,E$1:E938,1,FALSE()))),"OLD",IF(AND(E939&lt;&gt;"",E939&lt;&gt;"!!!"),"NEW","")))</f>
        <v/>
      </c>
      <c r="G939" s="11" t="str">
        <f aca="false">IF(OR(E939="",E939="!!!"),"",IF(OR(J939=0,AND(J939=1,K939=1),AND(J939=1,I939="SBJ"),AND(J939=1,I939=0)),"?IN_FOCUS",IF(J939&lt;=2,"?ACTIVATED",IF(J939&lt;&gt;"","?FAMILIAR",IF(F939="NEW",IF(ISNA(VLOOKUP(E939,#REF!,1,FALSE())),"?TYPE_IDENTIFIABLE","?REFERENTIAL"),"_")))))</f>
        <v/>
      </c>
      <c r="H939" s="12" t="str">
        <f aca="false">IF(J939&lt;&gt;1,"",IF(I939="SBJ","CB","?"))</f>
        <v/>
      </c>
      <c r="I939" s="13" t="str">
        <f aca="false">IF(OR(E939="",E939="!!!",F939="NEW"),"",INDEX(B$2:B938,-1+SUMPRODUCT(MAX(ROW(E$2:E938)*(E939=E$2:E938)))))</f>
        <v/>
      </c>
      <c r="J939" s="14" t="str">
        <f aca="true">IF(OR(E939="",E939="!!!",F939="NEW"),"",COUNTBLANK(OFFSET(A$1,,,SUMPRODUCT(MAX(ROW(E$2:E939)*(E939=E$2:E939)))))-COUNTBLANK(OFFSET(A$1,,,SUMPRODUCT(MAX(ROW(E$1:E938)*(E939=E$1:E938))))))</f>
        <v/>
      </c>
      <c r="K939" s="14" t="str">
        <f aca="false">IF(OR(E939="",E939="!!!",F939="NEW"),"",INDEX(J$1:J938,SUMPRODUCT(MAX(ROW(E$1:E938)*(E939=E$1:E938)))))</f>
        <v/>
      </c>
      <c r="L939" s="15"/>
    </row>
    <row r="940" customFormat="false" ht="12.75" hidden="false" customHeight="false" outlineLevel="0" collapsed="false">
      <c r="A940" s="0" t="s">
        <v>53</v>
      </c>
      <c r="B940" s="0" t="s">
        <v>64</v>
      </c>
      <c r="C940" s="0" t="s">
        <v>55</v>
      </c>
      <c r="D940" s="0" t="s">
        <v>29</v>
      </c>
      <c r="E940" s="9" t="str">
        <f aca="false">IF(D940="?OLD","!!!","")</f>
        <v>!!!</v>
      </c>
      <c r="F940" s="10" t="str">
        <f aca="false">IF(OR(E940="",E940="!!!"),"",IF(NOT(ISNA(VLOOKUP(E940,E$1:E939,1,FALSE()))),"OLD",IF(AND(E940&lt;&gt;"",E940&lt;&gt;"!!!"),"NEW","")))</f>
        <v/>
      </c>
      <c r="G940" s="11" t="str">
        <f aca="false">IF(OR(E940="",E940="!!!"),"",IF(OR(J940=0,AND(J940=1,K940=1),AND(J940=1,I940="SBJ"),AND(J940=1,I940=0)),"?IN_FOCUS",IF(J940&lt;=2,"?ACTIVATED",IF(J940&lt;&gt;"","?FAMILIAR",IF(F940="NEW",IF(ISNA(VLOOKUP(E940,#REF!,1,FALSE())),"?TYPE_IDENTIFIABLE","?REFERENTIAL"),"_")))))</f>
        <v/>
      </c>
      <c r="H940" s="12" t="str">
        <f aca="false">IF(J940&lt;&gt;1,"",IF(I940="SBJ","CB","?"))</f>
        <v/>
      </c>
      <c r="I940" s="13" t="str">
        <f aca="false">IF(OR(E940="",E940="!!!",F940="NEW"),"",INDEX(B$2:B939,-1+SUMPRODUCT(MAX(ROW(E$2:E939)*(E940=E$2:E939)))))</f>
        <v/>
      </c>
      <c r="J940" s="14" t="str">
        <f aca="true">IF(OR(E940="",E940="!!!",F940="NEW"),"",COUNTBLANK(OFFSET(A$1,,,SUMPRODUCT(MAX(ROW(E$2:E940)*(E940=E$2:E940)))))-COUNTBLANK(OFFSET(A$1,,,SUMPRODUCT(MAX(ROW(E$1:E939)*(E940=E$1:E939))))))</f>
        <v/>
      </c>
      <c r="K940" s="14" t="str">
        <f aca="false">IF(OR(E940="",E940="!!!",F940="NEW"),"",INDEX(J$1:J939,SUMPRODUCT(MAX(ROW(E$1:E939)*(E940=E$1:E939)))))</f>
        <v/>
      </c>
      <c r="L940" s="15"/>
    </row>
    <row r="941" customFormat="false" ht="12.75" hidden="false" customHeight="false" outlineLevel="0" collapsed="false">
      <c r="A941" s="0" t="s">
        <v>496</v>
      </c>
      <c r="B941" s="0" t="s">
        <v>22</v>
      </c>
      <c r="C941" s="0" t="s">
        <v>15</v>
      </c>
      <c r="D941" s="0" t="s">
        <v>29</v>
      </c>
      <c r="E941" s="9" t="str">
        <f aca="false">IF(D941="?OLD","!!!","")</f>
        <v>!!!</v>
      </c>
      <c r="F941" s="10" t="str">
        <f aca="false">IF(OR(E941="",E941="!!!"),"",IF(NOT(ISNA(VLOOKUP(E941,E$1:E940,1,FALSE()))),"OLD",IF(AND(E941&lt;&gt;"",E941&lt;&gt;"!!!"),"NEW","")))</f>
        <v/>
      </c>
      <c r="G941" s="11" t="str">
        <f aca="false">IF(OR(E941="",E941="!!!"),"",IF(OR(J941=0,AND(J941=1,K941=1),AND(J941=1,I941="SBJ"),AND(J941=1,I941=0)),"?IN_FOCUS",IF(J941&lt;=2,"?ACTIVATED",IF(J941&lt;&gt;"","?FAMILIAR",IF(F941="NEW",IF(ISNA(VLOOKUP(E941,#REF!,1,FALSE())),"?TYPE_IDENTIFIABLE","?REFERENTIAL"),"_")))))</f>
        <v/>
      </c>
      <c r="H941" s="12" t="str">
        <f aca="false">IF(J941&lt;&gt;1,"",IF(I941="SBJ","CB","?"))</f>
        <v/>
      </c>
      <c r="I941" s="13" t="str">
        <f aca="false">IF(OR(E941="",E941="!!!",F941="NEW"),"",INDEX(B$2:B940,-1+SUMPRODUCT(MAX(ROW(E$2:E940)*(E941=E$2:E940)))))</f>
        <v/>
      </c>
      <c r="J941" s="14" t="str">
        <f aca="true">IF(OR(E941="",E941="!!!",F941="NEW"),"",COUNTBLANK(OFFSET(A$1,,,SUMPRODUCT(MAX(ROW(E$2:E941)*(E941=E$2:E941)))))-COUNTBLANK(OFFSET(A$1,,,SUMPRODUCT(MAX(ROW(E$1:E940)*(E941=E$1:E940))))))</f>
        <v/>
      </c>
      <c r="K941" s="14" t="str">
        <f aca="false">IF(OR(E941="",E941="!!!",F941="NEW"),"",INDEX(J$1:J940,SUMPRODUCT(MAX(ROW(E$1:E940)*(E941=E$1:E940)))))</f>
        <v/>
      </c>
      <c r="L941" s="15"/>
    </row>
    <row r="942" customFormat="false" ht="12.75" hidden="false" customHeight="false" outlineLevel="0" collapsed="false">
      <c r="A942" s="0" t="s">
        <v>73</v>
      </c>
      <c r="E942" s="9" t="str">
        <f aca="false">IF(D942="?OLD","!!!","")</f>
        <v/>
      </c>
      <c r="F942" s="10" t="str">
        <f aca="false">IF(OR(E942="",E942="!!!"),"",IF(NOT(ISNA(VLOOKUP(E942,E$1:E941,1,FALSE()))),"OLD",IF(AND(E942&lt;&gt;"",E942&lt;&gt;"!!!"),"NEW","")))</f>
        <v/>
      </c>
      <c r="G942" s="11" t="str">
        <f aca="false">IF(OR(E942="",E942="!!!"),"",IF(OR(J942=0,AND(J942=1,K942=1),AND(J942=1,I942="SBJ"),AND(J942=1,I942=0)),"?IN_FOCUS",IF(J942&lt;=2,"?ACTIVATED",IF(J942&lt;&gt;"","?FAMILIAR",IF(F942="NEW",IF(ISNA(VLOOKUP(E942,#REF!,1,FALSE())),"?TYPE_IDENTIFIABLE","?REFERENTIAL"),"_")))))</f>
        <v/>
      </c>
      <c r="H942" s="12" t="str">
        <f aca="false">IF(J942&lt;&gt;1,"",IF(I942="SBJ","CB","?"))</f>
        <v/>
      </c>
      <c r="I942" s="13" t="str">
        <f aca="false">IF(OR(E942="",E942="!!!",F942="NEW"),"",INDEX(B$2:B941,-1+SUMPRODUCT(MAX(ROW(E$2:E941)*(E942=E$2:E941)))))</f>
        <v/>
      </c>
      <c r="J942" s="14" t="str">
        <f aca="true">IF(OR(E942="",E942="!!!",F942="NEW"),"",COUNTBLANK(OFFSET(A$1,,,SUMPRODUCT(MAX(ROW(E$2:E942)*(E942=E$2:E942)))))-COUNTBLANK(OFFSET(A$1,,,SUMPRODUCT(MAX(ROW(E$1:E941)*(E942=E$1:E941))))))</f>
        <v/>
      </c>
      <c r="K942" s="14" t="str">
        <f aca="false">IF(OR(E942="",E942="!!!",F942="NEW"),"",INDEX(J$1:J941,SUMPRODUCT(MAX(ROW(E$1:E941)*(E942=E$1:E941)))))</f>
        <v/>
      </c>
      <c r="L942" s="15"/>
    </row>
    <row r="943" customFormat="false" ht="12.75" hidden="false" customHeight="false" outlineLevel="0" collapsed="false">
      <c r="E943" s="9" t="str">
        <f aca="false">IF(D943="?OLD","!!!","")</f>
        <v/>
      </c>
      <c r="F943" s="10" t="str">
        <f aca="false">IF(OR(E943="",E943="!!!"),"",IF(NOT(ISNA(VLOOKUP(E943,E$1:E942,1,FALSE()))),"OLD",IF(AND(E943&lt;&gt;"",E943&lt;&gt;"!!!"),"NEW","")))</f>
        <v/>
      </c>
      <c r="G943" s="11" t="str">
        <f aca="false">IF(OR(E943="",E943="!!!"),"",IF(OR(J943=0,AND(J943=1,K943=1),AND(J943=1,I943="SBJ"),AND(J943=1,I943=0)),"?IN_FOCUS",IF(J943&lt;=2,"?ACTIVATED",IF(J943&lt;&gt;"","?FAMILIAR",IF(F943="NEW",IF(ISNA(VLOOKUP(E943,#REF!,1,FALSE())),"?TYPE_IDENTIFIABLE","?REFERENTIAL"),"_")))))</f>
        <v/>
      </c>
      <c r="H943" s="12" t="str">
        <f aca="false">IF(J943&lt;&gt;1,"",IF(I943="SBJ","CB","?"))</f>
        <v/>
      </c>
      <c r="I943" s="13" t="str">
        <f aca="false">IF(OR(E943="",E943="!!!",F943="NEW"),"",INDEX(B$2:B942,-1+SUMPRODUCT(MAX(ROW(E$2:E942)*(E943=E$2:E942)))))</f>
        <v/>
      </c>
      <c r="J943" s="14" t="str">
        <f aca="true">IF(OR(E943="",E943="!!!",F943="NEW"),"",COUNTBLANK(OFFSET(A$1,,,SUMPRODUCT(MAX(ROW(E$2:E943)*(E943=E$2:E943)))))-COUNTBLANK(OFFSET(A$1,,,SUMPRODUCT(MAX(ROW(E$1:E942)*(E943=E$1:E942))))))</f>
        <v/>
      </c>
      <c r="K943" s="14" t="str">
        <f aca="false">IF(OR(E943="",E943="!!!",F943="NEW"),"",INDEX(J$1:J942,SUMPRODUCT(MAX(ROW(E$1:E942)*(E943=E$1:E942)))))</f>
        <v/>
      </c>
      <c r="L943" s="15"/>
    </row>
    <row r="944" customFormat="false" ht="12.75" hidden="false" customHeight="false" outlineLevel="0" collapsed="false">
      <c r="A944" s="0" t="s">
        <v>497</v>
      </c>
      <c r="E944" s="9" t="str">
        <f aca="false">IF(D944="?OLD","!!!","")</f>
        <v/>
      </c>
      <c r="F944" s="10" t="str">
        <f aca="false">IF(OR(E944="",E944="!!!"),"",IF(NOT(ISNA(VLOOKUP(E944,E$1:E943,1,FALSE()))),"OLD",IF(AND(E944&lt;&gt;"",E944&lt;&gt;"!!!"),"NEW","")))</f>
        <v/>
      </c>
      <c r="G944" s="11" t="str">
        <f aca="false">IF(OR(E944="",E944="!!!"),"",IF(OR(J944=0,AND(J944=1,K944=1),AND(J944=1,I944="SBJ"),AND(J944=1,I944=0)),"?IN_FOCUS",IF(J944&lt;=2,"?ACTIVATED",IF(J944&lt;&gt;"","?FAMILIAR",IF(F944="NEW",IF(ISNA(VLOOKUP(E944,#REF!,1,FALSE())),"?TYPE_IDENTIFIABLE","?REFERENTIAL"),"_")))))</f>
        <v/>
      </c>
      <c r="H944" s="12" t="str">
        <f aca="false">IF(J944&lt;&gt;1,"",IF(I944="SBJ","CB","?"))</f>
        <v/>
      </c>
      <c r="I944" s="13" t="str">
        <f aca="false">IF(OR(E944="",E944="!!!",F944="NEW"),"",INDEX(B$2:B943,-1+SUMPRODUCT(MAX(ROW(E$2:E943)*(E944=E$2:E943)))))</f>
        <v/>
      </c>
      <c r="J944" s="14" t="str">
        <f aca="true">IF(OR(E944="",E944="!!!",F944="NEW"),"",COUNTBLANK(OFFSET(A$1,,,SUMPRODUCT(MAX(ROW(E$2:E944)*(E944=E$2:E944)))))-COUNTBLANK(OFFSET(A$1,,,SUMPRODUCT(MAX(ROW(E$1:E943)*(E944=E$1:E943))))))</f>
        <v/>
      </c>
      <c r="K944" s="14" t="str">
        <f aca="false">IF(OR(E944="",E944="!!!",F944="NEW"),"",INDEX(J$1:J943,SUMPRODUCT(MAX(ROW(E$1:E943)*(E944=E$1:E943)))))</f>
        <v/>
      </c>
      <c r="L944" s="15"/>
    </row>
    <row r="945" customFormat="false" ht="12.75" hidden="false" customHeight="false" outlineLevel="0" collapsed="false">
      <c r="A945" s="0" t="s">
        <v>122</v>
      </c>
      <c r="B945" s="0" t="s">
        <v>14</v>
      </c>
      <c r="C945" s="0" t="s">
        <v>38</v>
      </c>
      <c r="D945" s="0" t="s">
        <v>29</v>
      </c>
      <c r="E945" s="9" t="str">
        <f aca="false">IF(D945="?OLD","!!!","")</f>
        <v>!!!</v>
      </c>
      <c r="F945" s="10" t="str">
        <f aca="false">IF(OR(E945="",E945="!!!"),"",IF(NOT(ISNA(VLOOKUP(E945,E$1:E944,1,FALSE()))),"OLD",IF(AND(E945&lt;&gt;"",E945&lt;&gt;"!!!"),"NEW","")))</f>
        <v/>
      </c>
      <c r="G945" s="11" t="str">
        <f aca="false">IF(OR(E945="",E945="!!!"),"",IF(OR(J945=0,AND(J945=1,K945=1),AND(J945=1,I945="SBJ"),AND(J945=1,I945=0)),"?IN_FOCUS",IF(J945&lt;=2,"?ACTIVATED",IF(J945&lt;&gt;"","?FAMILIAR",IF(F945="NEW",IF(ISNA(VLOOKUP(E945,#REF!,1,FALSE())),"?TYPE_IDENTIFIABLE","?REFERENTIAL"),"_")))))</f>
        <v/>
      </c>
      <c r="H945" s="12" t="str">
        <f aca="false">IF(J945&lt;&gt;1,"",IF(I945="SBJ","CB","?"))</f>
        <v/>
      </c>
      <c r="I945" s="13" t="str">
        <f aca="false">IF(OR(E945="",E945="!!!",F945="NEW"),"",INDEX(B$2:B944,-1+SUMPRODUCT(MAX(ROW(E$2:E944)*(E945=E$2:E944)))))</f>
        <v/>
      </c>
      <c r="J945" s="14" t="str">
        <f aca="true">IF(OR(E945="",E945="!!!",F945="NEW"),"",COUNTBLANK(OFFSET(A$1,,,SUMPRODUCT(MAX(ROW(E$2:E945)*(E945=E$2:E945)))))-COUNTBLANK(OFFSET(A$1,,,SUMPRODUCT(MAX(ROW(E$1:E944)*(E945=E$1:E944))))))</f>
        <v/>
      </c>
      <c r="K945" s="14" t="str">
        <f aca="false">IF(OR(E945="",E945="!!!",F945="NEW"),"",INDEX(J$1:J944,SUMPRODUCT(MAX(ROW(E$1:E944)*(E945=E$1:E944)))))</f>
        <v/>
      </c>
      <c r="L945" s="15"/>
    </row>
    <row r="946" customFormat="false" ht="12.75" hidden="false" customHeight="false" outlineLevel="0" collapsed="false">
      <c r="A946" s="0" t="s">
        <v>498</v>
      </c>
      <c r="E946" s="9" t="str">
        <f aca="false">IF(D946="?OLD","!!!","")</f>
        <v/>
      </c>
      <c r="F946" s="10" t="str">
        <f aca="false">IF(OR(E946="",E946="!!!"),"",IF(NOT(ISNA(VLOOKUP(E946,E$1:E945,1,FALSE()))),"OLD",IF(AND(E946&lt;&gt;"",E946&lt;&gt;"!!!"),"NEW","")))</f>
        <v/>
      </c>
      <c r="G946" s="11" t="str">
        <f aca="false">IF(OR(E946="",E946="!!!"),"",IF(OR(J946=0,AND(J946=1,K946=1),AND(J946=1,I946="SBJ"),AND(J946=1,I946=0)),"?IN_FOCUS",IF(J946&lt;=2,"?ACTIVATED",IF(J946&lt;&gt;"","?FAMILIAR",IF(F946="NEW",IF(ISNA(VLOOKUP(E946,#REF!,1,FALSE())),"?TYPE_IDENTIFIABLE","?REFERENTIAL"),"_")))))</f>
        <v/>
      </c>
      <c r="H946" s="12" t="str">
        <f aca="false">IF(J946&lt;&gt;1,"",IF(I946="SBJ","CB","?"))</f>
        <v/>
      </c>
      <c r="I946" s="13" t="str">
        <f aca="false">IF(OR(E946="",E946="!!!",F946="NEW"),"",INDEX(B$2:B945,-1+SUMPRODUCT(MAX(ROW(E$2:E945)*(E946=E$2:E945)))))</f>
        <v/>
      </c>
      <c r="J946" s="14" t="str">
        <f aca="true">IF(OR(E946="",E946="!!!",F946="NEW"),"",COUNTBLANK(OFFSET(A$1,,,SUMPRODUCT(MAX(ROW(E$2:E946)*(E946=E$2:E946)))))-COUNTBLANK(OFFSET(A$1,,,SUMPRODUCT(MAX(ROW(E$1:E945)*(E946=E$1:E945))))))</f>
        <v/>
      </c>
      <c r="K946" s="14" t="str">
        <f aca="false">IF(OR(E946="",E946="!!!",F946="NEW"),"",INDEX(J$1:J945,SUMPRODUCT(MAX(ROW(E$1:E945)*(E946=E$1:E945)))))</f>
        <v/>
      </c>
      <c r="L946" s="15"/>
    </row>
    <row r="947" customFormat="false" ht="12.75" hidden="false" customHeight="false" outlineLevel="0" collapsed="false">
      <c r="A947" s="0" t="s">
        <v>66</v>
      </c>
      <c r="E947" s="9" t="str">
        <f aca="false">IF(D947="?OLD","!!!","")</f>
        <v/>
      </c>
      <c r="F947" s="10" t="str">
        <f aca="false">IF(OR(E947="",E947="!!!"),"",IF(NOT(ISNA(VLOOKUP(E947,E$1:E946,1,FALSE()))),"OLD",IF(AND(E947&lt;&gt;"",E947&lt;&gt;"!!!"),"NEW","")))</f>
        <v/>
      </c>
      <c r="G947" s="11" t="str">
        <f aca="false">IF(OR(E947="",E947="!!!"),"",IF(OR(J947=0,AND(J947=1,K947=1),AND(J947=1,I947="SBJ"),AND(J947=1,I947=0)),"?IN_FOCUS",IF(J947&lt;=2,"?ACTIVATED",IF(J947&lt;&gt;"","?FAMILIAR",IF(F947="NEW",IF(ISNA(VLOOKUP(E947,#REF!,1,FALSE())),"?TYPE_IDENTIFIABLE","?REFERENTIAL"),"_")))))</f>
        <v/>
      </c>
      <c r="H947" s="12" t="str">
        <f aca="false">IF(J947&lt;&gt;1,"",IF(I947="SBJ","CB","?"))</f>
        <v/>
      </c>
      <c r="I947" s="13" t="str">
        <f aca="false">IF(OR(E947="",E947="!!!",F947="NEW"),"",INDEX(B$2:B946,-1+SUMPRODUCT(MAX(ROW(E$2:E946)*(E947=E$2:E946)))))</f>
        <v/>
      </c>
      <c r="J947" s="14" t="str">
        <f aca="true">IF(OR(E947="",E947="!!!",F947="NEW"),"",COUNTBLANK(OFFSET(A$1,,,SUMPRODUCT(MAX(ROW(E$2:E947)*(E947=E$2:E947)))))-COUNTBLANK(OFFSET(A$1,,,SUMPRODUCT(MAX(ROW(E$1:E946)*(E947=E$1:E946))))))</f>
        <v/>
      </c>
      <c r="K947" s="14" t="str">
        <f aca="false">IF(OR(E947="",E947="!!!",F947="NEW"),"",INDEX(J$1:J946,SUMPRODUCT(MAX(ROW(E$1:E946)*(E947=E$1:E946)))))</f>
        <v/>
      </c>
      <c r="L947" s="15"/>
    </row>
    <row r="948" customFormat="false" ht="12.75" hidden="false" customHeight="false" outlineLevel="0" collapsed="false">
      <c r="A948" s="0" t="s">
        <v>499</v>
      </c>
      <c r="B948" s="0" t="s">
        <v>37</v>
      </c>
      <c r="C948" s="0" t="s">
        <v>111</v>
      </c>
      <c r="D948" s="0" t="s">
        <v>29</v>
      </c>
      <c r="E948" s="9" t="str">
        <f aca="false">IF(D948="?OLD","!!!","")</f>
        <v>!!!</v>
      </c>
      <c r="F948" s="10" t="str">
        <f aca="false">IF(OR(E948="",E948="!!!"),"",IF(NOT(ISNA(VLOOKUP(E948,E$1:E947,1,FALSE()))),"OLD",IF(AND(E948&lt;&gt;"",E948&lt;&gt;"!!!"),"NEW","")))</f>
        <v/>
      </c>
      <c r="G948" s="11" t="str">
        <f aca="false">IF(OR(E948="",E948="!!!"),"",IF(OR(J948=0,AND(J948=1,K948=1),AND(J948=1,I948="SBJ"),AND(J948=1,I948=0)),"?IN_FOCUS",IF(J948&lt;=2,"?ACTIVATED",IF(J948&lt;&gt;"","?FAMILIAR",IF(F948="NEW",IF(ISNA(VLOOKUP(E948,#REF!,1,FALSE())),"?TYPE_IDENTIFIABLE","?REFERENTIAL"),"_")))))</f>
        <v/>
      </c>
      <c r="H948" s="12" t="str">
        <f aca="false">IF(J948&lt;&gt;1,"",IF(I948="SBJ","CB","?"))</f>
        <v/>
      </c>
      <c r="I948" s="13" t="str">
        <f aca="false">IF(OR(E948="",E948="!!!",F948="NEW"),"",INDEX(B$2:B947,-1+SUMPRODUCT(MAX(ROW(E$2:E947)*(E948=E$2:E947)))))</f>
        <v/>
      </c>
      <c r="J948" s="14" t="str">
        <f aca="true">IF(OR(E948="",E948="!!!",F948="NEW"),"",COUNTBLANK(OFFSET(A$1,,,SUMPRODUCT(MAX(ROW(E$2:E948)*(E948=E$2:E948)))))-COUNTBLANK(OFFSET(A$1,,,SUMPRODUCT(MAX(ROW(E$1:E947)*(E948=E$1:E947))))))</f>
        <v/>
      </c>
      <c r="K948" s="14" t="str">
        <f aca="false">IF(OR(E948="",E948="!!!",F948="NEW"),"",INDEX(J$1:J947,SUMPRODUCT(MAX(ROW(E$1:E947)*(E948=E$1:E947)))))</f>
        <v/>
      </c>
      <c r="L948" s="15"/>
    </row>
    <row r="949" customFormat="false" ht="12.75" hidden="false" customHeight="false" outlineLevel="0" collapsed="false">
      <c r="A949" s="0" t="s">
        <v>19</v>
      </c>
      <c r="E949" s="9" t="str">
        <f aca="false">IF(D949="?OLD","!!!","")</f>
        <v/>
      </c>
      <c r="F949" s="10" t="str">
        <f aca="false">IF(OR(E949="",E949="!!!"),"",IF(NOT(ISNA(VLOOKUP(E949,E$1:E948,1,FALSE()))),"OLD",IF(AND(E949&lt;&gt;"",E949&lt;&gt;"!!!"),"NEW","")))</f>
        <v/>
      </c>
      <c r="G949" s="11" t="str">
        <f aca="false">IF(OR(E949="",E949="!!!"),"",IF(OR(J949=0,AND(J949=1,K949=1),AND(J949=1,I949="SBJ"),AND(J949=1,I949=0)),"?IN_FOCUS",IF(J949&lt;=2,"?ACTIVATED",IF(J949&lt;&gt;"","?FAMILIAR",IF(F949="NEW",IF(ISNA(VLOOKUP(E949,#REF!,1,FALSE())),"?TYPE_IDENTIFIABLE","?REFERENTIAL"),"_")))))</f>
        <v/>
      </c>
      <c r="H949" s="12" t="str">
        <f aca="false">IF(J949&lt;&gt;1,"",IF(I949="SBJ","CB","?"))</f>
        <v/>
      </c>
      <c r="I949" s="13" t="str">
        <f aca="false">IF(OR(E949="",E949="!!!",F949="NEW"),"",INDEX(B$2:B948,-1+SUMPRODUCT(MAX(ROW(E$2:E948)*(E949=E$2:E948)))))</f>
        <v/>
      </c>
      <c r="J949" s="14" t="str">
        <f aca="true">IF(OR(E949="",E949="!!!",F949="NEW"),"",COUNTBLANK(OFFSET(A$1,,,SUMPRODUCT(MAX(ROW(E$2:E949)*(E949=E$2:E949)))))-COUNTBLANK(OFFSET(A$1,,,SUMPRODUCT(MAX(ROW(E$1:E948)*(E949=E$1:E948))))))</f>
        <v/>
      </c>
      <c r="K949" s="14" t="str">
        <f aca="false">IF(OR(E949="",E949="!!!",F949="NEW"),"",INDEX(J$1:J948,SUMPRODUCT(MAX(ROW(E$1:E948)*(E949=E$1:E948)))))</f>
        <v/>
      </c>
      <c r="L949" s="15"/>
    </row>
    <row r="950" customFormat="false" ht="12.75" hidden="false" customHeight="false" outlineLevel="0" collapsed="false">
      <c r="A950" s="0" t="s">
        <v>40</v>
      </c>
      <c r="E950" s="9" t="str">
        <f aca="false">IF(D950="?OLD","!!!","")</f>
        <v/>
      </c>
      <c r="F950" s="10" t="str">
        <f aca="false">IF(OR(E950="",E950="!!!"),"",IF(NOT(ISNA(VLOOKUP(E950,E$1:E949,1,FALSE()))),"OLD",IF(AND(E950&lt;&gt;"",E950&lt;&gt;"!!!"),"NEW","")))</f>
        <v/>
      </c>
      <c r="G950" s="11" t="str">
        <f aca="false">IF(OR(E950="",E950="!!!"),"",IF(OR(J950=0,AND(J950=1,K950=1),AND(J950=1,I950="SBJ"),AND(J950=1,I950=0)),"?IN_FOCUS",IF(J950&lt;=2,"?ACTIVATED",IF(J950&lt;&gt;"","?FAMILIAR",IF(F950="NEW",IF(ISNA(VLOOKUP(E950,#REF!,1,FALSE())),"?TYPE_IDENTIFIABLE","?REFERENTIAL"),"_")))))</f>
        <v/>
      </c>
      <c r="H950" s="12" t="str">
        <f aca="false">IF(J950&lt;&gt;1,"",IF(I950="SBJ","CB","?"))</f>
        <v/>
      </c>
      <c r="I950" s="13" t="str">
        <f aca="false">IF(OR(E950="",E950="!!!",F950="NEW"),"",INDEX(B$2:B949,-1+SUMPRODUCT(MAX(ROW(E$2:E949)*(E950=E$2:E949)))))</f>
        <v/>
      </c>
      <c r="J950" s="14" t="str">
        <f aca="true">IF(OR(E950="",E950="!!!",F950="NEW"),"",COUNTBLANK(OFFSET(A$1,,,SUMPRODUCT(MAX(ROW(E$2:E950)*(E950=E$2:E950)))))-COUNTBLANK(OFFSET(A$1,,,SUMPRODUCT(MAX(ROW(E$1:E949)*(E950=E$1:E949))))))</f>
        <v/>
      </c>
      <c r="K950" s="14" t="str">
        <f aca="false">IF(OR(E950="",E950="!!!",F950="NEW"),"",INDEX(J$1:J949,SUMPRODUCT(MAX(ROW(E$1:E949)*(E950=E$1:E949)))))</f>
        <v/>
      </c>
      <c r="L950" s="15"/>
    </row>
    <row r="951" customFormat="false" ht="12.75" hidden="false" customHeight="false" outlineLevel="0" collapsed="false">
      <c r="A951" s="0" t="s">
        <v>242</v>
      </c>
      <c r="B951" s="0" t="s">
        <v>28</v>
      </c>
      <c r="C951" s="0" t="s">
        <v>43</v>
      </c>
      <c r="E951" s="9" t="str">
        <f aca="false">IF(D951="?OLD","!!!","")</f>
        <v/>
      </c>
      <c r="F951" s="10" t="str">
        <f aca="false">IF(OR(E951="",E951="!!!"),"",IF(NOT(ISNA(VLOOKUP(E951,E$1:E950,1,FALSE()))),"OLD",IF(AND(E951&lt;&gt;"",E951&lt;&gt;"!!!"),"NEW","")))</f>
        <v/>
      </c>
      <c r="G951" s="11" t="str">
        <f aca="false">IF(OR(E951="",E951="!!!"),"",IF(OR(J951=0,AND(J951=1,K951=1),AND(J951=1,I951="SBJ"),AND(J951=1,I951=0)),"?IN_FOCUS",IF(J951&lt;=2,"?ACTIVATED",IF(J951&lt;&gt;"","?FAMILIAR",IF(F951="NEW",IF(ISNA(VLOOKUP(E951,#REF!,1,FALSE())),"?TYPE_IDENTIFIABLE","?REFERENTIAL"),"_")))))</f>
        <v/>
      </c>
      <c r="H951" s="12" t="str">
        <f aca="false">IF(J951&lt;&gt;1,"",IF(I951="SBJ","CB","?"))</f>
        <v/>
      </c>
      <c r="I951" s="13" t="str">
        <f aca="false">IF(OR(E951="",E951="!!!",F951="NEW"),"",INDEX(B$2:B950,-1+SUMPRODUCT(MAX(ROW(E$2:E950)*(E951=E$2:E950)))))</f>
        <v/>
      </c>
      <c r="J951" s="14" t="str">
        <f aca="true">IF(OR(E951="",E951="!!!",F951="NEW"),"",COUNTBLANK(OFFSET(A$1,,,SUMPRODUCT(MAX(ROW(E$2:E951)*(E951=E$2:E951)))))-COUNTBLANK(OFFSET(A$1,,,SUMPRODUCT(MAX(ROW(E$1:E950)*(E951=E$1:E950))))))</f>
        <v/>
      </c>
      <c r="K951" s="14" t="str">
        <f aca="false">IF(OR(E951="",E951="!!!",F951="NEW"),"",INDEX(J$1:J950,SUMPRODUCT(MAX(ROW(E$1:E950)*(E951=E$1:E950)))))</f>
        <v/>
      </c>
      <c r="L951" s="15"/>
    </row>
    <row r="952" customFormat="false" ht="12.75" hidden="false" customHeight="false" outlineLevel="0" collapsed="false">
      <c r="A952" s="0" t="s">
        <v>88</v>
      </c>
      <c r="E952" s="9" t="str">
        <f aca="false">IF(D952="?OLD","!!!","")</f>
        <v/>
      </c>
      <c r="F952" s="10" t="str">
        <f aca="false">IF(OR(E952="",E952="!!!"),"",IF(NOT(ISNA(VLOOKUP(E952,E$1:E951,1,FALSE()))),"OLD",IF(AND(E952&lt;&gt;"",E952&lt;&gt;"!!!"),"NEW","")))</f>
        <v/>
      </c>
      <c r="G952" s="11" t="str">
        <f aca="false">IF(OR(E952="",E952="!!!"),"",IF(OR(J952=0,AND(J952=1,K952=1),AND(J952=1,I952="SBJ"),AND(J952=1,I952=0)),"?IN_FOCUS",IF(J952&lt;=2,"?ACTIVATED",IF(J952&lt;&gt;"","?FAMILIAR",IF(F952="NEW",IF(ISNA(VLOOKUP(E952,#REF!,1,FALSE())),"?TYPE_IDENTIFIABLE","?REFERENTIAL"),"_")))))</f>
        <v/>
      </c>
      <c r="H952" s="12" t="str">
        <f aca="false">IF(J952&lt;&gt;1,"",IF(I952="SBJ","CB","?"))</f>
        <v/>
      </c>
      <c r="I952" s="13" t="str">
        <f aca="false">IF(OR(E952="",E952="!!!",F952="NEW"),"",INDEX(B$2:B951,-1+SUMPRODUCT(MAX(ROW(E$2:E951)*(E952=E$2:E951)))))</f>
        <v/>
      </c>
      <c r="J952" s="14" t="str">
        <f aca="true">IF(OR(E952="",E952="!!!",F952="NEW"),"",COUNTBLANK(OFFSET(A$1,,,SUMPRODUCT(MAX(ROW(E$2:E952)*(E952=E$2:E952)))))-COUNTBLANK(OFFSET(A$1,,,SUMPRODUCT(MAX(ROW(E$1:E951)*(E952=E$1:E951))))))</f>
        <v/>
      </c>
      <c r="K952" s="14" t="str">
        <f aca="false">IF(OR(E952="",E952="!!!",F952="NEW"),"",INDEX(J$1:J951,SUMPRODUCT(MAX(ROW(E$1:E951)*(E952=E$1:E951)))))</f>
        <v/>
      </c>
      <c r="L952" s="15"/>
    </row>
    <row r="953" customFormat="false" ht="12.75" hidden="false" customHeight="false" outlineLevel="0" collapsed="false">
      <c r="A953" s="0" t="s">
        <v>66</v>
      </c>
      <c r="E953" s="9" t="str">
        <f aca="false">IF(D953="?OLD","!!!","")</f>
        <v/>
      </c>
      <c r="F953" s="10" t="str">
        <f aca="false">IF(OR(E953="",E953="!!!"),"",IF(NOT(ISNA(VLOOKUP(E953,E$1:E952,1,FALSE()))),"OLD",IF(AND(E953&lt;&gt;"",E953&lt;&gt;"!!!"),"NEW","")))</f>
        <v/>
      </c>
      <c r="G953" s="11" t="str">
        <f aca="false">IF(OR(E953="",E953="!!!"),"",IF(OR(J953=0,AND(J953=1,K953=1),AND(J953=1,I953="SBJ"),AND(J953=1,I953=0)),"?IN_FOCUS",IF(J953&lt;=2,"?ACTIVATED",IF(J953&lt;&gt;"","?FAMILIAR",IF(F953="NEW",IF(ISNA(VLOOKUP(E953,#REF!,1,FALSE())),"?TYPE_IDENTIFIABLE","?REFERENTIAL"),"_")))))</f>
        <v/>
      </c>
      <c r="H953" s="12" t="str">
        <f aca="false">IF(J953&lt;&gt;1,"",IF(I953="SBJ","CB","?"))</f>
        <v/>
      </c>
      <c r="I953" s="13" t="str">
        <f aca="false">IF(OR(E953="",E953="!!!",F953="NEW"),"",INDEX(B$2:B952,-1+SUMPRODUCT(MAX(ROW(E$2:E952)*(E953=E$2:E952)))))</f>
        <v/>
      </c>
      <c r="J953" s="14" t="str">
        <f aca="true">IF(OR(E953="",E953="!!!",F953="NEW"),"",COUNTBLANK(OFFSET(A$1,,,SUMPRODUCT(MAX(ROW(E$2:E953)*(E953=E$2:E953)))))-COUNTBLANK(OFFSET(A$1,,,SUMPRODUCT(MAX(ROW(E$1:E952)*(E953=E$1:E952))))))</f>
        <v/>
      </c>
      <c r="K953" s="14" t="str">
        <f aca="false">IF(OR(E953="",E953="!!!",F953="NEW"),"",INDEX(J$1:J952,SUMPRODUCT(MAX(ROW(E$1:E952)*(E953=E$1:E952)))))</f>
        <v/>
      </c>
      <c r="L953" s="15"/>
    </row>
    <row r="954" customFormat="false" ht="12.75" hidden="false" customHeight="false" outlineLevel="0" collapsed="false">
      <c r="A954" s="0" t="s">
        <v>500</v>
      </c>
      <c r="E954" s="9" t="str">
        <f aca="false">IF(D954="?OLD","!!!","")</f>
        <v/>
      </c>
      <c r="F954" s="10" t="str">
        <f aca="false">IF(OR(E954="",E954="!!!"),"",IF(NOT(ISNA(VLOOKUP(E954,E$1:E953,1,FALSE()))),"OLD",IF(AND(E954&lt;&gt;"",E954&lt;&gt;"!!!"),"NEW","")))</f>
        <v/>
      </c>
      <c r="G954" s="11" t="str">
        <f aca="false">IF(OR(E954="",E954="!!!"),"",IF(OR(J954=0,AND(J954=1,K954=1),AND(J954=1,I954="SBJ"),AND(J954=1,I954=0)),"?IN_FOCUS",IF(J954&lt;=2,"?ACTIVATED",IF(J954&lt;&gt;"","?FAMILIAR",IF(F954="NEW",IF(ISNA(VLOOKUP(E954,#REF!,1,FALSE())),"?TYPE_IDENTIFIABLE","?REFERENTIAL"),"_")))))</f>
        <v/>
      </c>
      <c r="H954" s="12" t="str">
        <f aca="false">IF(J954&lt;&gt;1,"",IF(I954="SBJ","CB","?"))</f>
        <v/>
      </c>
      <c r="I954" s="13" t="str">
        <f aca="false">IF(OR(E954="",E954="!!!",F954="NEW"),"",INDEX(B$2:B953,-1+SUMPRODUCT(MAX(ROW(E$2:E953)*(E954=E$2:E953)))))</f>
        <v/>
      </c>
      <c r="J954" s="14" t="str">
        <f aca="true">IF(OR(E954="",E954="!!!",F954="NEW"),"",COUNTBLANK(OFFSET(A$1,,,SUMPRODUCT(MAX(ROW(E$2:E954)*(E954=E$2:E954)))))-COUNTBLANK(OFFSET(A$1,,,SUMPRODUCT(MAX(ROW(E$1:E953)*(E954=E$1:E953))))))</f>
        <v/>
      </c>
      <c r="K954" s="14" t="str">
        <f aca="false">IF(OR(E954="",E954="!!!",F954="NEW"),"",INDEX(J$1:J953,SUMPRODUCT(MAX(ROW(E$1:E953)*(E954=E$1:E953)))))</f>
        <v/>
      </c>
      <c r="L954" s="15"/>
    </row>
    <row r="955" customFormat="false" ht="12.75" hidden="false" customHeight="false" outlineLevel="0" collapsed="false">
      <c r="A955" s="0" t="s">
        <v>501</v>
      </c>
      <c r="B955" s="0" t="s">
        <v>28</v>
      </c>
      <c r="C955" s="0" t="s">
        <v>111</v>
      </c>
      <c r="D955" s="0" t="s">
        <v>29</v>
      </c>
      <c r="E955" s="9" t="str">
        <f aca="false">IF(D955="?OLD","!!!","")</f>
        <v>!!!</v>
      </c>
      <c r="F955" s="10" t="str">
        <f aca="false">IF(OR(E955="",E955="!!!"),"",IF(NOT(ISNA(VLOOKUP(E955,E$1:E954,1,FALSE()))),"OLD",IF(AND(E955&lt;&gt;"",E955&lt;&gt;"!!!"),"NEW","")))</f>
        <v/>
      </c>
      <c r="G955" s="11" t="str">
        <f aca="false">IF(OR(E955="",E955="!!!"),"",IF(OR(J955=0,AND(J955=1,K955=1),AND(J955=1,I955="SBJ"),AND(J955=1,I955=0)),"?IN_FOCUS",IF(J955&lt;=2,"?ACTIVATED",IF(J955&lt;&gt;"","?FAMILIAR",IF(F955="NEW",IF(ISNA(VLOOKUP(E955,#REF!,1,FALSE())),"?TYPE_IDENTIFIABLE","?REFERENTIAL"),"_")))))</f>
        <v/>
      </c>
      <c r="H955" s="12" t="str">
        <f aca="false">IF(J955&lt;&gt;1,"",IF(I955="SBJ","CB","?"))</f>
        <v/>
      </c>
      <c r="I955" s="13" t="str">
        <f aca="false">IF(OR(E955="",E955="!!!",F955="NEW"),"",INDEX(B$2:B954,-1+SUMPRODUCT(MAX(ROW(E$2:E954)*(E955=E$2:E954)))))</f>
        <v/>
      </c>
      <c r="J955" s="14" t="str">
        <f aca="true">IF(OR(E955="",E955="!!!",F955="NEW"),"",COUNTBLANK(OFFSET(A$1,,,SUMPRODUCT(MAX(ROW(E$2:E955)*(E955=E$2:E955)))))-COUNTBLANK(OFFSET(A$1,,,SUMPRODUCT(MAX(ROW(E$1:E954)*(E955=E$1:E954))))))</f>
        <v/>
      </c>
      <c r="K955" s="14" t="str">
        <f aca="false">IF(OR(E955="",E955="!!!",F955="NEW"),"",INDEX(J$1:J954,SUMPRODUCT(MAX(ROW(E$1:E954)*(E955=E$1:E954)))))</f>
        <v/>
      </c>
      <c r="L955" s="15"/>
    </row>
    <row r="956" customFormat="false" ht="12.75" hidden="false" customHeight="false" outlineLevel="0" collapsed="false">
      <c r="A956" s="0" t="s">
        <v>19</v>
      </c>
      <c r="E956" s="9" t="str">
        <f aca="false">IF(D956="?OLD","!!!","")</f>
        <v/>
      </c>
      <c r="F956" s="10" t="str">
        <f aca="false">IF(OR(E956="",E956="!!!"),"",IF(NOT(ISNA(VLOOKUP(E956,E$1:E955,1,FALSE()))),"OLD",IF(AND(E956&lt;&gt;"",E956&lt;&gt;"!!!"),"NEW","")))</f>
        <v/>
      </c>
      <c r="G956" s="11" t="str">
        <f aca="false">IF(OR(E956="",E956="!!!"),"",IF(OR(J956=0,AND(J956=1,K956=1),AND(J956=1,I956="SBJ"),AND(J956=1,I956=0)),"?IN_FOCUS",IF(J956&lt;=2,"?ACTIVATED",IF(J956&lt;&gt;"","?FAMILIAR",IF(F956="NEW",IF(ISNA(VLOOKUP(E956,#REF!,1,FALSE())),"?TYPE_IDENTIFIABLE","?REFERENTIAL"),"_")))))</f>
        <v/>
      </c>
      <c r="H956" s="12" t="str">
        <f aca="false">IF(J956&lt;&gt;1,"",IF(I956="SBJ","CB","?"))</f>
        <v/>
      </c>
      <c r="I956" s="13" t="str">
        <f aca="false">IF(OR(E956="",E956="!!!",F956="NEW"),"",INDEX(B$2:B955,-1+SUMPRODUCT(MAX(ROW(E$2:E955)*(E956=E$2:E955)))))</f>
        <v/>
      </c>
      <c r="J956" s="14" t="str">
        <f aca="true">IF(OR(E956="",E956="!!!",F956="NEW"),"",COUNTBLANK(OFFSET(A$1,,,SUMPRODUCT(MAX(ROW(E$2:E956)*(E956=E$2:E956)))))-COUNTBLANK(OFFSET(A$1,,,SUMPRODUCT(MAX(ROW(E$1:E955)*(E956=E$1:E955))))))</f>
        <v/>
      </c>
      <c r="K956" s="14" t="str">
        <f aca="false">IF(OR(E956="",E956="!!!",F956="NEW"),"",INDEX(J$1:J955,SUMPRODUCT(MAX(ROW(E$1:E955)*(E956=E$1:E955)))))</f>
        <v/>
      </c>
      <c r="L956" s="15"/>
    </row>
    <row r="957" customFormat="false" ht="12.75" hidden="false" customHeight="false" outlineLevel="0" collapsed="false">
      <c r="A957" s="0" t="s">
        <v>502</v>
      </c>
      <c r="B957" s="0" t="s">
        <v>22</v>
      </c>
      <c r="C957" s="0" t="s">
        <v>120</v>
      </c>
      <c r="E957" s="9" t="str">
        <f aca="false">IF(D957="?OLD","!!!","")</f>
        <v/>
      </c>
      <c r="F957" s="10" t="str">
        <f aca="false">IF(OR(E957="",E957="!!!"),"",IF(NOT(ISNA(VLOOKUP(E957,E$1:E956,1,FALSE()))),"OLD",IF(AND(E957&lt;&gt;"",E957&lt;&gt;"!!!"),"NEW","")))</f>
        <v/>
      </c>
      <c r="G957" s="11" t="str">
        <f aca="false">IF(OR(E957="",E957="!!!"),"",IF(OR(J957=0,AND(J957=1,K957=1),AND(J957=1,I957="SBJ"),AND(J957=1,I957=0)),"?IN_FOCUS",IF(J957&lt;=2,"?ACTIVATED",IF(J957&lt;&gt;"","?FAMILIAR",IF(F957="NEW",IF(ISNA(VLOOKUP(E957,#REF!,1,FALSE())),"?TYPE_IDENTIFIABLE","?REFERENTIAL"),"_")))))</f>
        <v/>
      </c>
      <c r="H957" s="12" t="str">
        <f aca="false">IF(J957&lt;&gt;1,"",IF(I957="SBJ","CB","?"))</f>
        <v/>
      </c>
      <c r="I957" s="13" t="str">
        <f aca="false">IF(OR(E957="",E957="!!!",F957="NEW"),"",INDEX(B$2:B956,-1+SUMPRODUCT(MAX(ROW(E$2:E956)*(E957=E$2:E956)))))</f>
        <v/>
      </c>
      <c r="J957" s="14" t="str">
        <f aca="true">IF(OR(E957="",E957="!!!",F957="NEW"),"",COUNTBLANK(OFFSET(A$1,,,SUMPRODUCT(MAX(ROW(E$2:E957)*(E957=E$2:E957)))))-COUNTBLANK(OFFSET(A$1,,,SUMPRODUCT(MAX(ROW(E$1:E956)*(E957=E$1:E956))))))</f>
        <v/>
      </c>
      <c r="K957" s="14" t="str">
        <f aca="false">IF(OR(E957="",E957="!!!",F957="NEW"),"",INDEX(J$1:J956,SUMPRODUCT(MAX(ROW(E$1:E956)*(E957=E$1:E956)))))</f>
        <v/>
      </c>
      <c r="L957" s="15"/>
    </row>
    <row r="958" customFormat="false" ht="12.75" hidden="false" customHeight="false" outlineLevel="0" collapsed="false">
      <c r="A958" s="0" t="s">
        <v>178</v>
      </c>
      <c r="E958" s="9" t="str">
        <f aca="false">IF(D958="?OLD","!!!","")</f>
        <v/>
      </c>
      <c r="F958" s="10" t="str">
        <f aca="false">IF(OR(E958="",E958="!!!"),"",IF(NOT(ISNA(VLOOKUP(E958,E$1:E957,1,FALSE()))),"OLD",IF(AND(E958&lt;&gt;"",E958&lt;&gt;"!!!"),"NEW","")))</f>
        <v/>
      </c>
      <c r="G958" s="11" t="str">
        <f aca="false">IF(OR(E958="",E958="!!!"),"",IF(OR(J958=0,AND(J958=1,K958=1),AND(J958=1,I958="SBJ"),AND(J958=1,I958=0)),"?IN_FOCUS",IF(J958&lt;=2,"?ACTIVATED",IF(J958&lt;&gt;"","?FAMILIAR",IF(F958="NEW",IF(ISNA(VLOOKUP(E958,#REF!,1,FALSE())),"?TYPE_IDENTIFIABLE","?REFERENTIAL"),"_")))))</f>
        <v/>
      </c>
      <c r="H958" s="12" t="str">
        <f aca="false">IF(J958&lt;&gt;1,"",IF(I958="SBJ","CB","?"))</f>
        <v/>
      </c>
      <c r="I958" s="13" t="str">
        <f aca="false">IF(OR(E958="",E958="!!!",F958="NEW"),"",INDEX(B$2:B957,-1+SUMPRODUCT(MAX(ROW(E$2:E957)*(E958=E$2:E957)))))</f>
        <v/>
      </c>
      <c r="J958" s="14" t="str">
        <f aca="true">IF(OR(E958="",E958="!!!",F958="NEW"),"",COUNTBLANK(OFFSET(A$1,,,SUMPRODUCT(MAX(ROW(E$2:E958)*(E958=E$2:E958)))))-COUNTBLANK(OFFSET(A$1,,,SUMPRODUCT(MAX(ROW(E$1:E957)*(E958=E$1:E957))))))</f>
        <v/>
      </c>
      <c r="K958" s="14" t="str">
        <f aca="false">IF(OR(E958="",E958="!!!",F958="NEW"),"",INDEX(J$1:J957,SUMPRODUCT(MAX(ROW(E$1:E957)*(E958=E$1:E957)))))</f>
        <v/>
      </c>
      <c r="L958" s="15"/>
    </row>
    <row r="959" customFormat="false" ht="12.75" hidden="false" customHeight="false" outlineLevel="0" collapsed="false">
      <c r="A959" s="0" t="s">
        <v>503</v>
      </c>
      <c r="B959" s="0" t="s">
        <v>64</v>
      </c>
      <c r="C959" s="0" t="s">
        <v>120</v>
      </c>
      <c r="E959" s="9" t="str">
        <f aca="false">IF(D959="?OLD","!!!","")</f>
        <v/>
      </c>
      <c r="F959" s="10" t="str">
        <f aca="false">IF(OR(E959="",E959="!!!"),"",IF(NOT(ISNA(VLOOKUP(E959,E$1:E958,1,FALSE()))),"OLD",IF(AND(E959&lt;&gt;"",E959&lt;&gt;"!!!"),"NEW","")))</f>
        <v/>
      </c>
      <c r="G959" s="11" t="str">
        <f aca="false">IF(OR(E959="",E959="!!!"),"",IF(OR(J959=0,AND(J959=1,K959=1),AND(J959=1,I959="SBJ"),AND(J959=1,I959=0)),"?IN_FOCUS",IF(J959&lt;=2,"?ACTIVATED",IF(J959&lt;&gt;"","?FAMILIAR",IF(F959="NEW",IF(ISNA(VLOOKUP(E959,#REF!,1,FALSE())),"?TYPE_IDENTIFIABLE","?REFERENTIAL"),"_")))))</f>
        <v/>
      </c>
      <c r="H959" s="12" t="str">
        <f aca="false">IF(J959&lt;&gt;1,"",IF(I959="SBJ","CB","?"))</f>
        <v/>
      </c>
      <c r="I959" s="13" t="str">
        <f aca="false">IF(OR(E959="",E959="!!!",F959="NEW"),"",INDEX(B$2:B958,-1+SUMPRODUCT(MAX(ROW(E$2:E958)*(E959=E$2:E958)))))</f>
        <v/>
      </c>
      <c r="J959" s="14" t="str">
        <f aca="true">IF(OR(E959="",E959="!!!",F959="NEW"),"",COUNTBLANK(OFFSET(A$1,,,SUMPRODUCT(MAX(ROW(E$2:E959)*(E959=E$2:E959)))))-COUNTBLANK(OFFSET(A$1,,,SUMPRODUCT(MAX(ROW(E$1:E958)*(E959=E$1:E958))))))</f>
        <v/>
      </c>
      <c r="K959" s="14" t="str">
        <f aca="false">IF(OR(E959="",E959="!!!",F959="NEW"),"",INDEX(J$1:J958,SUMPRODUCT(MAX(ROW(E$1:E958)*(E959=E$1:E958)))))</f>
        <v/>
      </c>
      <c r="L959" s="15"/>
    </row>
    <row r="960" customFormat="false" ht="12.75" hidden="false" customHeight="false" outlineLevel="0" collapsed="false">
      <c r="A960" s="0" t="s">
        <v>73</v>
      </c>
      <c r="E960" s="9" t="str">
        <f aca="false">IF(D960="?OLD","!!!","")</f>
        <v/>
      </c>
      <c r="F960" s="10" t="str">
        <f aca="false">IF(OR(E960="",E960="!!!"),"",IF(NOT(ISNA(VLOOKUP(E960,E$1:E959,1,FALSE()))),"OLD",IF(AND(E960&lt;&gt;"",E960&lt;&gt;"!!!"),"NEW","")))</f>
        <v/>
      </c>
      <c r="G960" s="11" t="str">
        <f aca="false">IF(OR(E960="",E960="!!!"),"",IF(OR(J960=0,AND(J960=1,K960=1),AND(J960=1,I960="SBJ"),AND(J960=1,I960=0)),"?IN_FOCUS",IF(J960&lt;=2,"?ACTIVATED",IF(J960&lt;&gt;"","?FAMILIAR",IF(F960="NEW",IF(ISNA(VLOOKUP(E960,#REF!,1,FALSE())),"?TYPE_IDENTIFIABLE","?REFERENTIAL"),"_")))))</f>
        <v/>
      </c>
      <c r="H960" s="12" t="str">
        <f aca="false">IF(J960&lt;&gt;1,"",IF(I960="SBJ","CB","?"))</f>
        <v/>
      </c>
      <c r="I960" s="13" t="str">
        <f aca="false">IF(OR(E960="",E960="!!!",F960="NEW"),"",INDEX(B$2:B959,-1+SUMPRODUCT(MAX(ROW(E$2:E959)*(E960=E$2:E959)))))</f>
        <v/>
      </c>
      <c r="J960" s="14" t="str">
        <f aca="true">IF(OR(E960="",E960="!!!",F960="NEW"),"",COUNTBLANK(OFFSET(A$1,,,SUMPRODUCT(MAX(ROW(E$2:E960)*(E960=E$2:E960)))))-COUNTBLANK(OFFSET(A$1,,,SUMPRODUCT(MAX(ROW(E$1:E959)*(E960=E$1:E959))))))</f>
        <v/>
      </c>
      <c r="K960" s="14" t="str">
        <f aca="false">IF(OR(E960="",E960="!!!",F960="NEW"),"",INDEX(J$1:J959,SUMPRODUCT(MAX(ROW(E$1:E959)*(E960=E$1:E959)))))</f>
        <v/>
      </c>
      <c r="L960" s="15"/>
    </row>
    <row r="961" customFormat="false" ht="12.75" hidden="false" customHeight="false" outlineLevel="0" collapsed="false">
      <c r="E961" s="9" t="str">
        <f aca="false">IF(D961="?OLD","!!!","")</f>
        <v/>
      </c>
      <c r="F961" s="10" t="str">
        <f aca="false">IF(OR(E961="",E961="!!!"),"",IF(NOT(ISNA(VLOOKUP(E961,E$1:E960,1,FALSE()))),"OLD",IF(AND(E961&lt;&gt;"",E961&lt;&gt;"!!!"),"NEW","")))</f>
        <v/>
      </c>
      <c r="G961" s="11" t="str">
        <f aca="false">IF(OR(E961="",E961="!!!"),"",IF(OR(J961=0,AND(J961=1,K961=1),AND(J961=1,I961="SBJ"),AND(J961=1,I961=0)),"?IN_FOCUS",IF(J961&lt;=2,"?ACTIVATED",IF(J961&lt;&gt;"","?FAMILIAR",IF(F961="NEW",IF(ISNA(VLOOKUP(E961,#REF!,1,FALSE())),"?TYPE_IDENTIFIABLE","?REFERENTIAL"),"_")))))</f>
        <v/>
      </c>
      <c r="H961" s="12" t="str">
        <f aca="false">IF(J961&lt;&gt;1,"",IF(I961="SBJ","CB","?"))</f>
        <v/>
      </c>
      <c r="I961" s="13" t="str">
        <f aca="false">IF(OR(E961="",E961="!!!",F961="NEW"),"",INDEX(B$2:B960,-1+SUMPRODUCT(MAX(ROW(E$2:E960)*(E961=E$2:E960)))))</f>
        <v/>
      </c>
      <c r="J961" s="14" t="str">
        <f aca="true">IF(OR(E961="",E961="!!!",F961="NEW"),"",COUNTBLANK(OFFSET(A$1,,,SUMPRODUCT(MAX(ROW(E$2:E961)*(E961=E$2:E961)))))-COUNTBLANK(OFFSET(A$1,,,SUMPRODUCT(MAX(ROW(E$1:E960)*(E961=E$1:E960))))))</f>
        <v/>
      </c>
      <c r="K961" s="14" t="str">
        <f aca="false">IF(OR(E961="",E961="!!!",F961="NEW"),"",INDEX(J$1:J960,SUMPRODUCT(MAX(ROW(E$1:E960)*(E961=E$1:E960)))))</f>
        <v/>
      </c>
      <c r="L961" s="15"/>
    </row>
    <row r="962" customFormat="false" ht="12.75" hidden="false" customHeight="false" outlineLevel="0" collapsed="false">
      <c r="A962" s="0" t="s">
        <v>504</v>
      </c>
      <c r="E962" s="9" t="str">
        <f aca="false">IF(D962="?OLD","!!!","")</f>
        <v/>
      </c>
      <c r="F962" s="10" t="str">
        <f aca="false">IF(OR(E962="",E962="!!!"),"",IF(NOT(ISNA(VLOOKUP(E962,E$1:E961,1,FALSE()))),"OLD",IF(AND(E962&lt;&gt;"",E962&lt;&gt;"!!!"),"NEW","")))</f>
        <v/>
      </c>
      <c r="G962" s="11" t="str">
        <f aca="false">IF(OR(E962="",E962="!!!"),"",IF(OR(J962=0,AND(J962=1,K962=1),AND(J962=1,I962="SBJ"),AND(J962=1,I962=0)),"?IN_FOCUS",IF(J962&lt;=2,"?ACTIVATED",IF(J962&lt;&gt;"","?FAMILIAR",IF(F962="NEW",IF(ISNA(VLOOKUP(E962,#REF!,1,FALSE())),"?TYPE_IDENTIFIABLE","?REFERENTIAL"),"_")))))</f>
        <v/>
      </c>
      <c r="H962" s="12" t="str">
        <f aca="false">IF(J962&lt;&gt;1,"",IF(I962="SBJ","CB","?"))</f>
        <v/>
      </c>
      <c r="I962" s="13" t="str">
        <f aca="false">IF(OR(E962="",E962="!!!",F962="NEW"),"",INDEX(B$2:B961,-1+SUMPRODUCT(MAX(ROW(E$2:E961)*(E962=E$2:E961)))))</f>
        <v/>
      </c>
      <c r="J962" s="14" t="str">
        <f aca="true">IF(OR(E962="",E962="!!!",F962="NEW"),"",COUNTBLANK(OFFSET(A$1,,,SUMPRODUCT(MAX(ROW(E$2:E962)*(E962=E$2:E962)))))-COUNTBLANK(OFFSET(A$1,,,SUMPRODUCT(MAX(ROW(E$1:E961)*(E962=E$1:E961))))))</f>
        <v/>
      </c>
      <c r="K962" s="14" t="str">
        <f aca="false">IF(OR(E962="",E962="!!!",F962="NEW"),"",INDEX(J$1:J961,SUMPRODUCT(MAX(ROW(E$1:E961)*(E962=E$1:E961)))))</f>
        <v/>
      </c>
      <c r="L962" s="15"/>
    </row>
    <row r="963" customFormat="false" ht="12.75" hidden="false" customHeight="false" outlineLevel="0" collapsed="false">
      <c r="A963" s="0" t="s">
        <v>109</v>
      </c>
      <c r="E963" s="9" t="str">
        <f aca="false">IF(D963="?OLD","!!!","")</f>
        <v/>
      </c>
      <c r="F963" s="10" t="str">
        <f aca="false">IF(OR(E963="",E963="!!!"),"",IF(NOT(ISNA(VLOOKUP(E963,E$1:E962,1,FALSE()))),"OLD",IF(AND(E963&lt;&gt;"",E963&lt;&gt;"!!!"),"NEW","")))</f>
        <v/>
      </c>
      <c r="G963" s="11" t="str">
        <f aca="false">IF(OR(E963="",E963="!!!"),"",IF(OR(J963=0,AND(J963=1,K963=1),AND(J963=1,I963="SBJ"),AND(J963=1,I963=0)),"?IN_FOCUS",IF(J963&lt;=2,"?ACTIVATED",IF(J963&lt;&gt;"","?FAMILIAR",IF(F963="NEW",IF(ISNA(VLOOKUP(E963,#REF!,1,FALSE())),"?TYPE_IDENTIFIABLE","?REFERENTIAL"),"_")))))</f>
        <v/>
      </c>
      <c r="H963" s="12" t="str">
        <f aca="false">IF(J963&lt;&gt;1,"",IF(I963="SBJ","CB","?"))</f>
        <v/>
      </c>
      <c r="I963" s="13" t="str">
        <f aca="false">IF(OR(E963="",E963="!!!",F963="NEW"),"",INDEX(B$2:B962,-1+SUMPRODUCT(MAX(ROW(E$2:E962)*(E963=E$2:E962)))))</f>
        <v/>
      </c>
      <c r="J963" s="14" t="str">
        <f aca="true">IF(OR(E963="",E963="!!!",F963="NEW"),"",COUNTBLANK(OFFSET(A$1,,,SUMPRODUCT(MAX(ROW(E$2:E963)*(E963=E$2:E963)))))-COUNTBLANK(OFFSET(A$1,,,SUMPRODUCT(MAX(ROW(E$1:E962)*(E963=E$1:E962))))))</f>
        <v/>
      </c>
      <c r="K963" s="14" t="str">
        <f aca="false">IF(OR(E963="",E963="!!!",F963="NEW"),"",INDEX(J$1:J962,SUMPRODUCT(MAX(ROW(E$1:E962)*(E963=E$1:E962)))))</f>
        <v/>
      </c>
      <c r="L963" s="15"/>
    </row>
    <row r="964" customFormat="false" ht="12.75" hidden="false" customHeight="false" outlineLevel="0" collapsed="false">
      <c r="A964" s="0" t="s">
        <v>505</v>
      </c>
      <c r="B964" s="0" t="s">
        <v>14</v>
      </c>
      <c r="C964" s="0" t="s">
        <v>111</v>
      </c>
      <c r="D964" s="0" t="s">
        <v>29</v>
      </c>
      <c r="E964" s="9" t="str">
        <f aca="false">IF(D964="?OLD","!!!","")</f>
        <v>!!!</v>
      </c>
      <c r="F964" s="10" t="str">
        <f aca="false">IF(OR(E964="",E964="!!!"),"",IF(NOT(ISNA(VLOOKUP(E964,E$1:E963,1,FALSE()))),"OLD",IF(AND(E964&lt;&gt;"",E964&lt;&gt;"!!!"),"NEW","")))</f>
        <v/>
      </c>
      <c r="G964" s="11" t="str">
        <f aca="false">IF(OR(E964="",E964="!!!"),"",IF(OR(J964=0,AND(J964=1,K964=1),AND(J964=1,I964="SBJ"),AND(J964=1,I964=0)),"?IN_FOCUS",IF(J964&lt;=2,"?ACTIVATED",IF(J964&lt;&gt;"","?FAMILIAR",IF(F964="NEW",IF(ISNA(VLOOKUP(E964,#REF!,1,FALSE())),"?TYPE_IDENTIFIABLE","?REFERENTIAL"),"_")))))</f>
        <v/>
      </c>
      <c r="H964" s="12" t="str">
        <f aca="false">IF(J964&lt;&gt;1,"",IF(I964="SBJ","CB","?"))</f>
        <v/>
      </c>
      <c r="I964" s="13" t="str">
        <f aca="false">IF(OR(E964="",E964="!!!",F964="NEW"),"",INDEX(B$2:B963,-1+SUMPRODUCT(MAX(ROW(E$2:E963)*(E964=E$2:E963)))))</f>
        <v/>
      </c>
      <c r="J964" s="14" t="str">
        <f aca="true">IF(OR(E964="",E964="!!!",F964="NEW"),"",COUNTBLANK(OFFSET(A$1,,,SUMPRODUCT(MAX(ROW(E$2:E964)*(E964=E$2:E964)))))-COUNTBLANK(OFFSET(A$1,,,SUMPRODUCT(MAX(ROW(E$1:E963)*(E964=E$1:E963))))))</f>
        <v/>
      </c>
      <c r="K964" s="14" t="str">
        <f aca="false">IF(OR(E964="",E964="!!!",F964="NEW"),"",INDEX(J$1:J963,SUMPRODUCT(MAX(ROW(E$1:E963)*(E964=E$1:E963)))))</f>
        <v/>
      </c>
      <c r="L964" s="15"/>
    </row>
    <row r="965" customFormat="false" ht="12.75" hidden="false" customHeight="false" outlineLevel="0" collapsed="false">
      <c r="A965" s="0" t="s">
        <v>229</v>
      </c>
      <c r="E965" s="9" t="str">
        <f aca="false">IF(D965="?OLD","!!!","")</f>
        <v/>
      </c>
      <c r="F965" s="10" t="str">
        <f aca="false">IF(OR(E965="",E965="!!!"),"",IF(NOT(ISNA(VLOOKUP(E965,E$1:E964,1,FALSE()))),"OLD",IF(AND(E965&lt;&gt;"",E965&lt;&gt;"!!!"),"NEW","")))</f>
        <v/>
      </c>
      <c r="G965" s="11" t="str">
        <f aca="false">IF(OR(E965="",E965="!!!"),"",IF(OR(J965=0,AND(J965=1,K965=1),AND(J965=1,I965="SBJ"),AND(J965=1,I965=0)),"?IN_FOCUS",IF(J965&lt;=2,"?ACTIVATED",IF(J965&lt;&gt;"","?FAMILIAR",IF(F965="NEW",IF(ISNA(VLOOKUP(E965,#REF!,1,FALSE())),"?TYPE_IDENTIFIABLE","?REFERENTIAL"),"_")))))</f>
        <v/>
      </c>
      <c r="H965" s="12" t="str">
        <f aca="false">IF(J965&lt;&gt;1,"",IF(I965="SBJ","CB","?"))</f>
        <v/>
      </c>
      <c r="I965" s="13" t="str">
        <f aca="false">IF(OR(E965="",E965="!!!",F965="NEW"),"",INDEX(B$2:B964,-1+SUMPRODUCT(MAX(ROW(E$2:E964)*(E965=E$2:E964)))))</f>
        <v/>
      </c>
      <c r="J965" s="14" t="str">
        <f aca="true">IF(OR(E965="",E965="!!!",F965="NEW"),"",COUNTBLANK(OFFSET(A$1,,,SUMPRODUCT(MAX(ROW(E$2:E965)*(E965=E$2:E965)))))-COUNTBLANK(OFFSET(A$1,,,SUMPRODUCT(MAX(ROW(E$1:E964)*(E965=E$1:E964))))))</f>
        <v/>
      </c>
      <c r="K965" s="14" t="str">
        <f aca="false">IF(OR(E965="",E965="!!!",F965="NEW"),"",INDEX(J$1:J964,SUMPRODUCT(MAX(ROW(E$1:E964)*(E965=E$1:E964)))))</f>
        <v/>
      </c>
      <c r="L965" s="15"/>
    </row>
    <row r="966" customFormat="false" ht="12.75" hidden="false" customHeight="false" outlineLevel="0" collapsed="false">
      <c r="A966" s="0" t="s">
        <v>356</v>
      </c>
      <c r="E966" s="9" t="str">
        <f aca="false">IF(D966="?OLD","!!!","")</f>
        <v/>
      </c>
      <c r="F966" s="10" t="str">
        <f aca="false">IF(OR(E966="",E966="!!!"),"",IF(NOT(ISNA(VLOOKUP(E966,E$1:E965,1,FALSE()))),"OLD",IF(AND(E966&lt;&gt;"",E966&lt;&gt;"!!!"),"NEW","")))</f>
        <v/>
      </c>
      <c r="G966" s="11" t="str">
        <f aca="false">IF(OR(E966="",E966="!!!"),"",IF(OR(J966=0,AND(J966=1,K966=1),AND(J966=1,I966="SBJ"),AND(J966=1,I966=0)),"?IN_FOCUS",IF(J966&lt;=2,"?ACTIVATED",IF(J966&lt;&gt;"","?FAMILIAR",IF(F966="NEW",IF(ISNA(VLOOKUP(E966,#REF!,1,FALSE())),"?TYPE_IDENTIFIABLE","?REFERENTIAL"),"_")))))</f>
        <v/>
      </c>
      <c r="H966" s="12" t="str">
        <f aca="false">IF(J966&lt;&gt;1,"",IF(I966="SBJ","CB","?"))</f>
        <v/>
      </c>
      <c r="I966" s="13" t="str">
        <f aca="false">IF(OR(E966="",E966="!!!",F966="NEW"),"",INDEX(B$2:B965,-1+SUMPRODUCT(MAX(ROW(E$2:E965)*(E966=E$2:E965)))))</f>
        <v/>
      </c>
      <c r="J966" s="14" t="str">
        <f aca="true">IF(OR(E966="",E966="!!!",F966="NEW"),"",COUNTBLANK(OFFSET(A$1,,,SUMPRODUCT(MAX(ROW(E$2:E966)*(E966=E$2:E966)))))-COUNTBLANK(OFFSET(A$1,,,SUMPRODUCT(MAX(ROW(E$1:E965)*(E966=E$1:E965))))))</f>
        <v/>
      </c>
      <c r="K966" s="14" t="str">
        <f aca="false">IF(OR(E966="",E966="!!!",F966="NEW"),"",INDEX(J$1:J965,SUMPRODUCT(MAX(ROW(E$1:E965)*(E966=E$1:E965)))))</f>
        <v/>
      </c>
      <c r="L966" s="15"/>
    </row>
    <row r="967" customFormat="false" ht="12.75" hidden="false" customHeight="false" outlineLevel="0" collapsed="false">
      <c r="A967" s="0" t="s">
        <v>66</v>
      </c>
      <c r="E967" s="9" t="str">
        <f aca="false">IF(D967="?OLD","!!!","")</f>
        <v/>
      </c>
      <c r="F967" s="10" t="str">
        <f aca="false">IF(OR(E967="",E967="!!!"),"",IF(NOT(ISNA(VLOOKUP(E967,E$1:E966,1,FALSE()))),"OLD",IF(AND(E967&lt;&gt;"",E967&lt;&gt;"!!!"),"NEW","")))</f>
        <v/>
      </c>
      <c r="G967" s="11" t="str">
        <f aca="false">IF(OR(E967="",E967="!!!"),"",IF(OR(J967=0,AND(J967=1,K967=1),AND(J967=1,I967="SBJ"),AND(J967=1,I967=0)),"?IN_FOCUS",IF(J967&lt;=2,"?ACTIVATED",IF(J967&lt;&gt;"","?FAMILIAR",IF(F967="NEW",IF(ISNA(VLOOKUP(E967,#REF!,1,FALSE())),"?TYPE_IDENTIFIABLE","?REFERENTIAL"),"_")))))</f>
        <v/>
      </c>
      <c r="H967" s="12" t="str">
        <f aca="false">IF(J967&lt;&gt;1,"",IF(I967="SBJ","CB","?"))</f>
        <v/>
      </c>
      <c r="I967" s="13" t="str">
        <f aca="false">IF(OR(E967="",E967="!!!",F967="NEW"),"",INDEX(B$2:B966,-1+SUMPRODUCT(MAX(ROW(E$2:E966)*(E967=E$2:E966)))))</f>
        <v/>
      </c>
      <c r="J967" s="14" t="str">
        <f aca="true">IF(OR(E967="",E967="!!!",F967="NEW"),"",COUNTBLANK(OFFSET(A$1,,,SUMPRODUCT(MAX(ROW(E$2:E967)*(E967=E$2:E967)))))-COUNTBLANK(OFFSET(A$1,,,SUMPRODUCT(MAX(ROW(E$1:E966)*(E967=E$1:E966))))))</f>
        <v/>
      </c>
      <c r="K967" s="14" t="str">
        <f aca="false">IF(OR(E967="",E967="!!!",F967="NEW"),"",INDEX(J$1:J966,SUMPRODUCT(MAX(ROW(E$1:E966)*(E967=E$1:E966)))))</f>
        <v/>
      </c>
      <c r="L967" s="15"/>
    </row>
    <row r="968" customFormat="false" ht="12.75" hidden="false" customHeight="false" outlineLevel="0" collapsed="false">
      <c r="A968" s="0" t="s">
        <v>433</v>
      </c>
      <c r="B968" s="0" t="s">
        <v>62</v>
      </c>
      <c r="C968" s="0" t="s">
        <v>111</v>
      </c>
      <c r="D968" s="0" t="s">
        <v>29</v>
      </c>
      <c r="E968" s="9" t="str">
        <f aca="false">IF(D968="?OLD","!!!","")</f>
        <v>!!!</v>
      </c>
      <c r="F968" s="10" t="str">
        <f aca="false">IF(OR(E968="",E968="!!!"),"",IF(NOT(ISNA(VLOOKUP(E968,E$1:E967,1,FALSE()))),"OLD",IF(AND(E968&lt;&gt;"",E968&lt;&gt;"!!!"),"NEW","")))</f>
        <v/>
      </c>
      <c r="G968" s="11" t="str">
        <f aca="false">IF(OR(E968="",E968="!!!"),"",IF(OR(J968=0,AND(J968=1,K968=1),AND(J968=1,I968="SBJ"),AND(J968=1,I968=0)),"?IN_FOCUS",IF(J968&lt;=2,"?ACTIVATED",IF(J968&lt;&gt;"","?FAMILIAR",IF(F968="NEW",IF(ISNA(VLOOKUP(E968,#REF!,1,FALSE())),"?TYPE_IDENTIFIABLE","?REFERENTIAL"),"_")))))</f>
        <v/>
      </c>
      <c r="H968" s="12" t="str">
        <f aca="false">IF(J968&lt;&gt;1,"",IF(I968="SBJ","CB","?"))</f>
        <v/>
      </c>
      <c r="I968" s="13" t="str">
        <f aca="false">IF(OR(E968="",E968="!!!",F968="NEW"),"",INDEX(B$2:B967,-1+SUMPRODUCT(MAX(ROW(E$2:E967)*(E968=E$2:E967)))))</f>
        <v/>
      </c>
      <c r="J968" s="14" t="str">
        <f aca="true">IF(OR(E968="",E968="!!!",F968="NEW"),"",COUNTBLANK(OFFSET(A$1,,,SUMPRODUCT(MAX(ROW(E$2:E968)*(E968=E$2:E968)))))-COUNTBLANK(OFFSET(A$1,,,SUMPRODUCT(MAX(ROW(E$1:E967)*(E968=E$1:E967))))))</f>
        <v/>
      </c>
      <c r="K968" s="14" t="str">
        <f aca="false">IF(OR(E968="",E968="!!!",F968="NEW"),"",INDEX(J$1:J967,SUMPRODUCT(MAX(ROW(E$1:E967)*(E968=E$1:E967)))))</f>
        <v/>
      </c>
      <c r="L968" s="15"/>
    </row>
    <row r="969" customFormat="false" ht="12.75" hidden="false" customHeight="false" outlineLevel="0" collapsed="false">
      <c r="A969" s="0" t="s">
        <v>183</v>
      </c>
      <c r="E969" s="9" t="str">
        <f aca="false">IF(D969="?OLD","!!!","")</f>
        <v/>
      </c>
      <c r="F969" s="10" t="str">
        <f aca="false">IF(OR(E969="",E969="!!!"),"",IF(NOT(ISNA(VLOOKUP(E969,E$1:E968,1,FALSE()))),"OLD",IF(AND(E969&lt;&gt;"",E969&lt;&gt;"!!!"),"NEW","")))</f>
        <v/>
      </c>
      <c r="G969" s="11" t="str">
        <f aca="false">IF(OR(E969="",E969="!!!"),"",IF(OR(J969=0,AND(J969=1,K969=1),AND(J969=1,I969="SBJ"),AND(J969=1,I969=0)),"?IN_FOCUS",IF(J969&lt;=2,"?ACTIVATED",IF(J969&lt;&gt;"","?FAMILIAR",IF(F969="NEW",IF(ISNA(VLOOKUP(E969,#REF!,1,FALSE())),"?TYPE_IDENTIFIABLE","?REFERENTIAL"),"_")))))</f>
        <v/>
      </c>
      <c r="H969" s="12" t="str">
        <f aca="false">IF(J969&lt;&gt;1,"",IF(I969="SBJ","CB","?"))</f>
        <v/>
      </c>
      <c r="I969" s="13" t="str">
        <f aca="false">IF(OR(E969="",E969="!!!",F969="NEW"),"",INDEX(B$2:B968,-1+SUMPRODUCT(MAX(ROW(E$2:E968)*(E969=E$2:E968)))))</f>
        <v/>
      </c>
      <c r="J969" s="14" t="str">
        <f aca="true">IF(OR(E969="",E969="!!!",F969="NEW"),"",COUNTBLANK(OFFSET(A$1,,,SUMPRODUCT(MAX(ROW(E$2:E969)*(E969=E$2:E969)))))-COUNTBLANK(OFFSET(A$1,,,SUMPRODUCT(MAX(ROW(E$1:E968)*(E969=E$1:E968))))))</f>
        <v/>
      </c>
      <c r="K969" s="14" t="str">
        <f aca="false">IF(OR(E969="",E969="!!!",F969="NEW"),"",INDEX(J$1:J968,SUMPRODUCT(MAX(ROW(E$1:E968)*(E969=E$1:E968)))))</f>
        <v/>
      </c>
      <c r="L969" s="15"/>
    </row>
    <row r="970" customFormat="false" ht="12.75" hidden="false" customHeight="false" outlineLevel="0" collapsed="false">
      <c r="A970" s="0" t="s">
        <v>66</v>
      </c>
      <c r="E970" s="9" t="str">
        <f aca="false">IF(D970="?OLD","!!!","")</f>
        <v/>
      </c>
      <c r="F970" s="10" t="str">
        <f aca="false">IF(OR(E970="",E970="!!!"),"",IF(NOT(ISNA(VLOOKUP(E970,E$1:E969,1,FALSE()))),"OLD",IF(AND(E970&lt;&gt;"",E970&lt;&gt;"!!!"),"NEW","")))</f>
        <v/>
      </c>
      <c r="G970" s="11" t="str">
        <f aca="false">IF(OR(E970="",E970="!!!"),"",IF(OR(J970=0,AND(J970=1,K970=1),AND(J970=1,I970="SBJ"),AND(J970=1,I970=0)),"?IN_FOCUS",IF(J970&lt;=2,"?ACTIVATED",IF(J970&lt;&gt;"","?FAMILIAR",IF(F970="NEW",IF(ISNA(VLOOKUP(E970,#REF!,1,FALSE())),"?TYPE_IDENTIFIABLE","?REFERENTIAL"),"_")))))</f>
        <v/>
      </c>
      <c r="H970" s="12" t="str">
        <f aca="false">IF(J970&lt;&gt;1,"",IF(I970="SBJ","CB","?"))</f>
        <v/>
      </c>
      <c r="I970" s="13" t="str">
        <f aca="false">IF(OR(E970="",E970="!!!",F970="NEW"),"",INDEX(B$2:B969,-1+SUMPRODUCT(MAX(ROW(E$2:E969)*(E970=E$2:E969)))))</f>
        <v/>
      </c>
      <c r="J970" s="14" t="str">
        <f aca="true">IF(OR(E970="",E970="!!!",F970="NEW"),"",COUNTBLANK(OFFSET(A$1,,,SUMPRODUCT(MAX(ROW(E$2:E970)*(E970=E$2:E970)))))-COUNTBLANK(OFFSET(A$1,,,SUMPRODUCT(MAX(ROW(E$1:E969)*(E970=E$1:E969))))))</f>
        <v/>
      </c>
      <c r="K970" s="14" t="str">
        <f aca="false">IF(OR(E970="",E970="!!!",F970="NEW"),"",INDEX(J$1:J969,SUMPRODUCT(MAX(ROW(E$1:E969)*(E970=E$1:E969)))))</f>
        <v/>
      </c>
      <c r="L970" s="15"/>
    </row>
    <row r="971" customFormat="false" ht="12.75" hidden="false" customHeight="false" outlineLevel="0" collapsed="false">
      <c r="A971" s="0" t="s">
        <v>62</v>
      </c>
      <c r="E971" s="9" t="str">
        <f aca="false">IF(D971="?OLD","!!!","")</f>
        <v/>
      </c>
      <c r="F971" s="10" t="str">
        <f aca="false">IF(OR(E971="",E971="!!!"),"",IF(NOT(ISNA(VLOOKUP(E971,E$1:E970,1,FALSE()))),"OLD",IF(AND(E971&lt;&gt;"",E971&lt;&gt;"!!!"),"NEW","")))</f>
        <v/>
      </c>
      <c r="G971" s="11" t="str">
        <f aca="false">IF(OR(E971="",E971="!!!"),"",IF(OR(J971=0,AND(J971=1,K971=1),AND(J971=1,I971="SBJ"),AND(J971=1,I971=0)),"?IN_FOCUS",IF(J971&lt;=2,"?ACTIVATED",IF(J971&lt;&gt;"","?FAMILIAR",IF(F971="NEW",IF(ISNA(VLOOKUP(E971,#REF!,1,FALSE())),"?TYPE_IDENTIFIABLE","?REFERENTIAL"),"_")))))</f>
        <v/>
      </c>
      <c r="H971" s="12" t="str">
        <f aca="false">IF(J971&lt;&gt;1,"",IF(I971="SBJ","CB","?"))</f>
        <v/>
      </c>
      <c r="I971" s="13" t="str">
        <f aca="false">IF(OR(E971="",E971="!!!",F971="NEW"),"",INDEX(B$2:B970,-1+SUMPRODUCT(MAX(ROW(E$2:E970)*(E971=E$2:E970)))))</f>
        <v/>
      </c>
      <c r="J971" s="14" t="str">
        <f aca="true">IF(OR(E971="",E971="!!!",F971="NEW"),"",COUNTBLANK(OFFSET(A$1,,,SUMPRODUCT(MAX(ROW(E$2:E971)*(E971=E$2:E971)))))-COUNTBLANK(OFFSET(A$1,,,SUMPRODUCT(MAX(ROW(E$1:E970)*(E971=E$1:E970))))))</f>
        <v/>
      </c>
      <c r="K971" s="14" t="str">
        <f aca="false">IF(OR(E971="",E971="!!!",F971="NEW"),"",INDEX(J$1:J970,SUMPRODUCT(MAX(ROW(E$1:E970)*(E971=E$1:E970)))))</f>
        <v/>
      </c>
      <c r="L971" s="15"/>
    </row>
    <row r="972" customFormat="false" ht="12.75" hidden="false" customHeight="false" outlineLevel="0" collapsed="false">
      <c r="A972" s="0" t="s">
        <v>185</v>
      </c>
      <c r="B972" s="0" t="s">
        <v>28</v>
      </c>
      <c r="C972" s="0" t="s">
        <v>506</v>
      </c>
      <c r="D972" s="0" t="s">
        <v>29</v>
      </c>
      <c r="E972" s="9" t="str">
        <f aca="false">IF(D972="?OLD","!!!","")</f>
        <v>!!!</v>
      </c>
      <c r="F972" s="10" t="str">
        <f aca="false">IF(OR(E972="",E972="!!!"),"",IF(NOT(ISNA(VLOOKUP(E972,E$1:E971,1,FALSE()))),"OLD",IF(AND(E972&lt;&gt;"",E972&lt;&gt;"!!!"),"NEW","")))</f>
        <v/>
      </c>
      <c r="G972" s="11" t="str">
        <f aca="false">IF(OR(E972="",E972="!!!"),"",IF(OR(J972=0,AND(J972=1,K972=1),AND(J972=1,I972="SBJ"),AND(J972=1,I972=0)),"?IN_FOCUS",IF(J972&lt;=2,"?ACTIVATED",IF(J972&lt;&gt;"","?FAMILIAR",IF(F972="NEW",IF(ISNA(VLOOKUP(E972,#REF!,1,FALSE())),"?TYPE_IDENTIFIABLE","?REFERENTIAL"),"_")))))</f>
        <v/>
      </c>
      <c r="H972" s="12" t="str">
        <f aca="false">IF(J972&lt;&gt;1,"",IF(I972="SBJ","CB","?"))</f>
        <v/>
      </c>
      <c r="I972" s="13" t="str">
        <f aca="false">IF(OR(E972="",E972="!!!",F972="NEW"),"",INDEX(B$2:B971,-1+SUMPRODUCT(MAX(ROW(E$2:E971)*(E972=E$2:E971)))))</f>
        <v/>
      </c>
      <c r="J972" s="14" t="str">
        <f aca="true">IF(OR(E972="",E972="!!!",F972="NEW"),"",COUNTBLANK(OFFSET(A$1,,,SUMPRODUCT(MAX(ROW(E$2:E972)*(E972=E$2:E972)))))-COUNTBLANK(OFFSET(A$1,,,SUMPRODUCT(MAX(ROW(E$1:E971)*(E972=E$1:E971))))))</f>
        <v/>
      </c>
      <c r="K972" s="14" t="str">
        <f aca="false">IF(OR(E972="",E972="!!!",F972="NEW"),"",INDEX(J$1:J971,SUMPRODUCT(MAX(ROW(E$1:E971)*(E972=E$1:E971)))))</f>
        <v/>
      </c>
      <c r="L972" s="15"/>
    </row>
    <row r="973" customFormat="false" ht="12.75" hidden="false" customHeight="false" outlineLevel="0" collapsed="false">
      <c r="A973" s="0" t="s">
        <v>19</v>
      </c>
      <c r="E973" s="9" t="str">
        <f aca="false">IF(D973="?OLD","!!!","")</f>
        <v/>
      </c>
      <c r="F973" s="10" t="str">
        <f aca="false">IF(OR(E973="",E973="!!!"),"",IF(NOT(ISNA(VLOOKUP(E973,E$1:E972,1,FALSE()))),"OLD",IF(AND(E973&lt;&gt;"",E973&lt;&gt;"!!!"),"NEW","")))</f>
        <v/>
      </c>
      <c r="G973" s="11" t="str">
        <f aca="false">IF(OR(E973="",E973="!!!"),"",IF(OR(J973=0,AND(J973=1,K973=1),AND(J973=1,I973="SBJ"),AND(J973=1,I973=0)),"?IN_FOCUS",IF(J973&lt;=2,"?ACTIVATED",IF(J973&lt;&gt;"","?FAMILIAR",IF(F973="NEW",IF(ISNA(VLOOKUP(E973,#REF!,1,FALSE())),"?TYPE_IDENTIFIABLE","?REFERENTIAL"),"_")))))</f>
        <v/>
      </c>
      <c r="H973" s="12" t="str">
        <f aca="false">IF(J973&lt;&gt;1,"",IF(I973="SBJ","CB","?"))</f>
        <v/>
      </c>
      <c r="I973" s="13" t="str">
        <f aca="false">IF(OR(E973="",E973="!!!",F973="NEW"),"",INDEX(B$2:B972,-1+SUMPRODUCT(MAX(ROW(E$2:E972)*(E973=E$2:E972)))))</f>
        <v/>
      </c>
      <c r="J973" s="14" t="str">
        <f aca="true">IF(OR(E973="",E973="!!!",F973="NEW"),"",COUNTBLANK(OFFSET(A$1,,,SUMPRODUCT(MAX(ROW(E$2:E973)*(E973=E$2:E973)))))-COUNTBLANK(OFFSET(A$1,,,SUMPRODUCT(MAX(ROW(E$1:E972)*(E973=E$1:E972))))))</f>
        <v/>
      </c>
      <c r="K973" s="14" t="str">
        <f aca="false">IF(OR(E973="",E973="!!!",F973="NEW"),"",INDEX(J$1:J972,SUMPRODUCT(MAX(ROW(E$1:E972)*(E973=E$1:E972)))))</f>
        <v/>
      </c>
      <c r="L973" s="15"/>
    </row>
    <row r="974" customFormat="false" ht="12.75" hidden="false" customHeight="false" outlineLevel="0" collapsed="false">
      <c r="A974" s="0" t="s">
        <v>66</v>
      </c>
      <c r="E974" s="9" t="str">
        <f aca="false">IF(D974="?OLD","!!!","")</f>
        <v/>
      </c>
      <c r="F974" s="10" t="str">
        <f aca="false">IF(OR(E974="",E974="!!!"),"",IF(NOT(ISNA(VLOOKUP(E974,E$1:E973,1,FALSE()))),"OLD",IF(AND(E974&lt;&gt;"",E974&lt;&gt;"!!!"),"NEW","")))</f>
        <v/>
      </c>
      <c r="G974" s="11" t="str">
        <f aca="false">IF(OR(E974="",E974="!!!"),"",IF(OR(J974=0,AND(J974=1,K974=1),AND(J974=1,I974="SBJ"),AND(J974=1,I974=0)),"?IN_FOCUS",IF(J974&lt;=2,"?ACTIVATED",IF(J974&lt;&gt;"","?FAMILIAR",IF(F974="NEW",IF(ISNA(VLOOKUP(E974,#REF!,1,FALSE())),"?TYPE_IDENTIFIABLE","?REFERENTIAL"),"_")))))</f>
        <v/>
      </c>
      <c r="H974" s="12" t="str">
        <f aca="false">IF(J974&lt;&gt;1,"",IF(I974="SBJ","CB","?"))</f>
        <v/>
      </c>
      <c r="I974" s="13" t="str">
        <f aca="false">IF(OR(E974="",E974="!!!",F974="NEW"),"",INDEX(B$2:B973,-1+SUMPRODUCT(MAX(ROW(E$2:E973)*(E974=E$2:E973)))))</f>
        <v/>
      </c>
      <c r="J974" s="14" t="str">
        <f aca="true">IF(OR(E974="",E974="!!!",F974="NEW"),"",COUNTBLANK(OFFSET(A$1,,,SUMPRODUCT(MAX(ROW(E$2:E974)*(E974=E$2:E974)))))-COUNTBLANK(OFFSET(A$1,,,SUMPRODUCT(MAX(ROW(E$1:E973)*(E974=E$1:E973))))))</f>
        <v/>
      </c>
      <c r="K974" s="14" t="str">
        <f aca="false">IF(OR(E974="",E974="!!!",F974="NEW"),"",INDEX(J$1:J973,SUMPRODUCT(MAX(ROW(E$1:E973)*(E974=E$1:E973)))))</f>
        <v/>
      </c>
      <c r="L974" s="15"/>
    </row>
    <row r="975" customFormat="false" ht="12.75" hidden="false" customHeight="false" outlineLevel="0" collapsed="false">
      <c r="A975" s="0" t="s">
        <v>437</v>
      </c>
      <c r="B975" s="0" t="s">
        <v>22</v>
      </c>
      <c r="C975" s="0" t="s">
        <v>111</v>
      </c>
      <c r="D975" s="0" t="s">
        <v>29</v>
      </c>
      <c r="E975" s="9" t="str">
        <f aca="false">IF(D975="?OLD","!!!","")</f>
        <v>!!!</v>
      </c>
      <c r="F975" s="10" t="str">
        <f aca="false">IF(OR(E975="",E975="!!!"),"",IF(NOT(ISNA(VLOOKUP(E975,E$1:E974,1,FALSE()))),"OLD",IF(AND(E975&lt;&gt;"",E975&lt;&gt;"!!!"),"NEW","")))</f>
        <v/>
      </c>
      <c r="G975" s="11" t="str">
        <f aca="false">IF(OR(E975="",E975="!!!"),"",IF(OR(J975=0,AND(J975=1,K975=1),AND(J975=1,I975="SBJ"),AND(J975=1,I975=0)),"?IN_FOCUS",IF(J975&lt;=2,"?ACTIVATED",IF(J975&lt;&gt;"","?FAMILIAR",IF(F975="NEW",IF(ISNA(VLOOKUP(E975,#REF!,1,FALSE())),"?TYPE_IDENTIFIABLE","?REFERENTIAL"),"_")))))</f>
        <v/>
      </c>
      <c r="H975" s="12" t="str">
        <f aca="false">IF(J975&lt;&gt;1,"",IF(I975="SBJ","CB","?"))</f>
        <v/>
      </c>
      <c r="I975" s="13" t="str">
        <f aca="false">IF(OR(E975="",E975="!!!",F975="NEW"),"",INDEX(B$2:B974,-1+SUMPRODUCT(MAX(ROW(E$2:E974)*(E975=E$2:E974)))))</f>
        <v/>
      </c>
      <c r="J975" s="14" t="str">
        <f aca="true">IF(OR(E975="",E975="!!!",F975="NEW"),"",COUNTBLANK(OFFSET(A$1,,,SUMPRODUCT(MAX(ROW(E$2:E975)*(E975=E$2:E975)))))-COUNTBLANK(OFFSET(A$1,,,SUMPRODUCT(MAX(ROW(E$1:E974)*(E975=E$1:E974))))))</f>
        <v/>
      </c>
      <c r="K975" s="14" t="str">
        <f aca="false">IF(OR(E975="",E975="!!!",F975="NEW"),"",INDEX(J$1:J974,SUMPRODUCT(MAX(ROW(E$1:E974)*(E975=E$1:E974)))))</f>
        <v/>
      </c>
      <c r="L975" s="15"/>
    </row>
    <row r="976" customFormat="false" ht="12.75" hidden="false" customHeight="false" outlineLevel="0" collapsed="false">
      <c r="A976" s="0" t="s">
        <v>127</v>
      </c>
      <c r="E976" s="9" t="str">
        <f aca="false">IF(D976="?OLD","!!!","")</f>
        <v/>
      </c>
      <c r="F976" s="10" t="str">
        <f aca="false">IF(OR(E976="",E976="!!!"),"",IF(NOT(ISNA(VLOOKUP(E976,E$1:E975,1,FALSE()))),"OLD",IF(AND(E976&lt;&gt;"",E976&lt;&gt;"!!!"),"NEW","")))</f>
        <v/>
      </c>
      <c r="G976" s="11" t="str">
        <f aca="false">IF(OR(E976="",E976="!!!"),"",IF(OR(J976=0,AND(J976=1,K976=1),AND(J976=1,I976="SBJ"),AND(J976=1,I976=0)),"?IN_FOCUS",IF(J976&lt;=2,"?ACTIVATED",IF(J976&lt;&gt;"","?FAMILIAR",IF(F976="NEW",IF(ISNA(VLOOKUP(E976,#REF!,1,FALSE())),"?TYPE_IDENTIFIABLE","?REFERENTIAL"),"_")))))</f>
        <v/>
      </c>
      <c r="H976" s="12" t="str">
        <f aca="false">IF(J976&lt;&gt;1,"",IF(I976="SBJ","CB","?"))</f>
        <v/>
      </c>
      <c r="I976" s="13" t="str">
        <f aca="false">IF(OR(E976="",E976="!!!",F976="NEW"),"",INDEX(B$2:B975,-1+SUMPRODUCT(MAX(ROW(E$2:E975)*(E976=E$2:E975)))))</f>
        <v/>
      </c>
      <c r="J976" s="14" t="str">
        <f aca="true">IF(OR(E976="",E976="!!!",F976="NEW"),"",COUNTBLANK(OFFSET(A$1,,,SUMPRODUCT(MAX(ROW(E$2:E976)*(E976=E$2:E976)))))-COUNTBLANK(OFFSET(A$1,,,SUMPRODUCT(MAX(ROW(E$1:E975)*(E976=E$1:E975))))))</f>
        <v/>
      </c>
      <c r="K976" s="14" t="str">
        <f aca="false">IF(OR(E976="",E976="!!!",F976="NEW"),"",INDEX(J$1:J975,SUMPRODUCT(MAX(ROW(E$1:E975)*(E976=E$1:E975)))))</f>
        <v/>
      </c>
      <c r="L976" s="15"/>
    </row>
    <row r="977" customFormat="false" ht="12.75" hidden="false" customHeight="false" outlineLevel="0" collapsed="false">
      <c r="A977" s="0" t="s">
        <v>85</v>
      </c>
      <c r="E977" s="9" t="str">
        <f aca="false">IF(D977="?OLD","!!!","")</f>
        <v/>
      </c>
      <c r="F977" s="10" t="str">
        <f aca="false">IF(OR(E977="",E977="!!!"),"",IF(NOT(ISNA(VLOOKUP(E977,E$1:E976,1,FALSE()))),"OLD",IF(AND(E977&lt;&gt;"",E977&lt;&gt;"!!!"),"NEW","")))</f>
        <v/>
      </c>
      <c r="G977" s="11" t="str">
        <f aca="false">IF(OR(E977="",E977="!!!"),"",IF(OR(J977=0,AND(J977=1,K977=1),AND(J977=1,I977="SBJ"),AND(J977=1,I977=0)),"?IN_FOCUS",IF(J977&lt;=2,"?ACTIVATED",IF(J977&lt;&gt;"","?FAMILIAR",IF(F977="NEW",IF(ISNA(VLOOKUP(E977,#REF!,1,FALSE())),"?TYPE_IDENTIFIABLE","?REFERENTIAL"),"_")))))</f>
        <v/>
      </c>
      <c r="H977" s="12" t="str">
        <f aca="false">IF(J977&lt;&gt;1,"",IF(I977="SBJ","CB","?"))</f>
        <v/>
      </c>
      <c r="I977" s="13" t="str">
        <f aca="false">IF(OR(E977="",E977="!!!",F977="NEW"),"",INDEX(B$2:B976,-1+SUMPRODUCT(MAX(ROW(E$2:E976)*(E977=E$2:E976)))))</f>
        <v/>
      </c>
      <c r="J977" s="14" t="str">
        <f aca="true">IF(OR(E977="",E977="!!!",F977="NEW"),"",COUNTBLANK(OFFSET(A$1,,,SUMPRODUCT(MAX(ROW(E$2:E977)*(E977=E$2:E977)))))-COUNTBLANK(OFFSET(A$1,,,SUMPRODUCT(MAX(ROW(E$1:E976)*(E977=E$1:E976))))))</f>
        <v/>
      </c>
      <c r="K977" s="14" t="str">
        <f aca="false">IF(OR(E977="",E977="!!!",F977="NEW"),"",INDEX(J$1:J976,SUMPRODUCT(MAX(ROW(E$1:E976)*(E977=E$1:E976)))))</f>
        <v/>
      </c>
      <c r="L977" s="15"/>
    </row>
    <row r="978" customFormat="false" ht="12.75" hidden="false" customHeight="false" outlineLevel="0" collapsed="false">
      <c r="A978" s="0" t="s">
        <v>122</v>
      </c>
      <c r="B978" s="0" t="s">
        <v>42</v>
      </c>
      <c r="C978" s="0" t="s">
        <v>38</v>
      </c>
      <c r="D978" s="0" t="s">
        <v>29</v>
      </c>
      <c r="E978" s="9" t="str">
        <f aca="false">IF(D978="?OLD","!!!","")</f>
        <v>!!!</v>
      </c>
      <c r="F978" s="10" t="str">
        <f aca="false">IF(OR(E978="",E978="!!!"),"",IF(NOT(ISNA(VLOOKUP(E978,E$1:E977,1,FALSE()))),"OLD",IF(AND(E978&lt;&gt;"",E978&lt;&gt;"!!!"),"NEW","")))</f>
        <v/>
      </c>
      <c r="G978" s="11" t="str">
        <f aca="false">IF(OR(E978="",E978="!!!"),"",IF(OR(J978=0,AND(J978=1,K978=1),AND(J978=1,I978="SBJ"),AND(J978=1,I978=0)),"?IN_FOCUS",IF(J978&lt;=2,"?ACTIVATED",IF(J978&lt;&gt;"","?FAMILIAR",IF(F978="NEW",IF(ISNA(VLOOKUP(E978,#REF!,1,FALSE())),"?TYPE_IDENTIFIABLE","?REFERENTIAL"),"_")))))</f>
        <v/>
      </c>
      <c r="H978" s="12" t="str">
        <f aca="false">IF(J978&lt;&gt;1,"",IF(I978="SBJ","CB","?"))</f>
        <v/>
      </c>
      <c r="I978" s="13" t="str">
        <f aca="false">IF(OR(E978="",E978="!!!",F978="NEW"),"",INDEX(B$2:B977,-1+SUMPRODUCT(MAX(ROW(E$2:E977)*(E978=E$2:E977)))))</f>
        <v/>
      </c>
      <c r="J978" s="14" t="str">
        <f aca="true">IF(OR(E978="",E978="!!!",F978="NEW"),"",COUNTBLANK(OFFSET(A$1,,,SUMPRODUCT(MAX(ROW(E$2:E978)*(E978=E$2:E978)))))-COUNTBLANK(OFFSET(A$1,,,SUMPRODUCT(MAX(ROW(E$1:E977)*(E978=E$1:E977))))))</f>
        <v/>
      </c>
      <c r="K978" s="14" t="str">
        <f aca="false">IF(OR(E978="",E978="!!!",F978="NEW"),"",INDEX(J$1:J977,SUMPRODUCT(MAX(ROW(E$1:E977)*(E978=E$1:E977)))))</f>
        <v/>
      </c>
      <c r="L978" s="15"/>
    </row>
    <row r="979" customFormat="false" ht="12.75" hidden="false" customHeight="false" outlineLevel="0" collapsed="false">
      <c r="A979" s="0" t="s">
        <v>507</v>
      </c>
      <c r="E979" s="9" t="str">
        <f aca="false">IF(D979="?OLD","!!!","")</f>
        <v/>
      </c>
      <c r="F979" s="10" t="str">
        <f aca="false">IF(OR(E979="",E979="!!!"),"",IF(NOT(ISNA(VLOOKUP(E979,E$1:E978,1,FALSE()))),"OLD",IF(AND(E979&lt;&gt;"",E979&lt;&gt;"!!!"),"NEW","")))</f>
        <v/>
      </c>
      <c r="G979" s="11" t="str">
        <f aca="false">IF(OR(E979="",E979="!!!"),"",IF(OR(J979=0,AND(J979=1,K979=1),AND(J979=1,I979="SBJ"),AND(J979=1,I979=0)),"?IN_FOCUS",IF(J979&lt;=2,"?ACTIVATED",IF(J979&lt;&gt;"","?FAMILIAR",IF(F979="NEW",IF(ISNA(VLOOKUP(E979,#REF!,1,FALSE())),"?TYPE_IDENTIFIABLE","?REFERENTIAL"),"_")))))</f>
        <v/>
      </c>
      <c r="H979" s="12" t="str">
        <f aca="false">IF(J979&lt;&gt;1,"",IF(I979="SBJ","CB","?"))</f>
        <v/>
      </c>
      <c r="I979" s="13" t="str">
        <f aca="false">IF(OR(E979="",E979="!!!",F979="NEW"),"",INDEX(B$2:B978,-1+SUMPRODUCT(MAX(ROW(E$2:E978)*(E979=E$2:E978)))))</f>
        <v/>
      </c>
      <c r="J979" s="14" t="str">
        <f aca="true">IF(OR(E979="",E979="!!!",F979="NEW"),"",COUNTBLANK(OFFSET(A$1,,,SUMPRODUCT(MAX(ROW(E$2:E979)*(E979=E$2:E979)))))-COUNTBLANK(OFFSET(A$1,,,SUMPRODUCT(MAX(ROW(E$1:E978)*(E979=E$1:E978))))))</f>
        <v/>
      </c>
      <c r="K979" s="14" t="str">
        <f aca="false">IF(OR(E979="",E979="!!!",F979="NEW"),"",INDEX(J$1:J978,SUMPRODUCT(MAX(ROW(E$1:E978)*(E979=E$1:E978)))))</f>
        <v/>
      </c>
      <c r="L979" s="15"/>
    </row>
    <row r="980" customFormat="false" ht="12.75" hidden="false" customHeight="false" outlineLevel="0" collapsed="false">
      <c r="A980" s="0" t="s">
        <v>73</v>
      </c>
      <c r="E980" s="9" t="str">
        <f aca="false">IF(D980="?OLD","!!!","")</f>
        <v/>
      </c>
      <c r="F980" s="10" t="str">
        <f aca="false">IF(OR(E980="",E980="!!!"),"",IF(NOT(ISNA(VLOOKUP(E980,E$1:E979,1,FALSE()))),"OLD",IF(AND(E980&lt;&gt;"",E980&lt;&gt;"!!!"),"NEW","")))</f>
        <v/>
      </c>
      <c r="G980" s="11" t="str">
        <f aca="false">IF(OR(E980="",E980="!!!"),"",IF(OR(J980=0,AND(J980=1,K980=1),AND(J980=1,I980="SBJ"),AND(J980=1,I980=0)),"?IN_FOCUS",IF(J980&lt;=2,"?ACTIVATED",IF(J980&lt;&gt;"","?FAMILIAR",IF(F980="NEW",IF(ISNA(VLOOKUP(E980,#REF!,1,FALSE())),"?TYPE_IDENTIFIABLE","?REFERENTIAL"),"_")))))</f>
        <v/>
      </c>
      <c r="H980" s="12" t="str">
        <f aca="false">IF(J980&lt;&gt;1,"",IF(I980="SBJ","CB","?"))</f>
        <v/>
      </c>
      <c r="I980" s="13" t="str">
        <f aca="false">IF(OR(E980="",E980="!!!",F980="NEW"),"",INDEX(B$2:B979,-1+SUMPRODUCT(MAX(ROW(E$2:E979)*(E980=E$2:E979)))))</f>
        <v/>
      </c>
      <c r="J980" s="14" t="str">
        <f aca="true">IF(OR(E980="",E980="!!!",F980="NEW"),"",COUNTBLANK(OFFSET(A$1,,,SUMPRODUCT(MAX(ROW(E$2:E980)*(E980=E$2:E980)))))-COUNTBLANK(OFFSET(A$1,,,SUMPRODUCT(MAX(ROW(E$1:E979)*(E980=E$1:E979))))))</f>
        <v/>
      </c>
      <c r="K980" s="14" t="str">
        <f aca="false">IF(OR(E980="",E980="!!!",F980="NEW"),"",INDEX(J$1:J979,SUMPRODUCT(MAX(ROW(E$1:E979)*(E980=E$1:E979)))))</f>
        <v/>
      </c>
      <c r="L980" s="15"/>
    </row>
    <row r="981" customFormat="false" ht="12.75" hidden="false" customHeight="false" outlineLevel="0" collapsed="false">
      <c r="E981" s="9" t="str">
        <f aca="false">IF(D981="?OLD","!!!","")</f>
        <v/>
      </c>
      <c r="F981" s="10" t="str">
        <f aca="false">IF(OR(E981="",E981="!!!"),"",IF(NOT(ISNA(VLOOKUP(E981,E$1:E980,1,FALSE()))),"OLD",IF(AND(E981&lt;&gt;"",E981&lt;&gt;"!!!"),"NEW","")))</f>
        <v/>
      </c>
      <c r="G981" s="11" t="str">
        <f aca="false">IF(OR(E981="",E981="!!!"),"",IF(OR(J981=0,AND(J981=1,K981=1),AND(J981=1,I981="SBJ"),AND(J981=1,I981=0)),"?IN_FOCUS",IF(J981&lt;=2,"?ACTIVATED",IF(J981&lt;&gt;"","?FAMILIAR",IF(F981="NEW",IF(ISNA(VLOOKUP(E981,#REF!,1,FALSE())),"?TYPE_IDENTIFIABLE","?REFERENTIAL"),"_")))))</f>
        <v/>
      </c>
      <c r="H981" s="12" t="str">
        <f aca="false">IF(J981&lt;&gt;1,"",IF(I981="SBJ","CB","?"))</f>
        <v/>
      </c>
      <c r="I981" s="13" t="str">
        <f aca="false">IF(OR(E981="",E981="!!!",F981="NEW"),"",INDEX(B$2:B980,-1+SUMPRODUCT(MAX(ROW(E$2:E980)*(E981=E$2:E980)))))</f>
        <v/>
      </c>
      <c r="J981" s="14" t="str">
        <f aca="true">IF(OR(E981="",E981="!!!",F981="NEW"),"",COUNTBLANK(OFFSET(A$1,,,SUMPRODUCT(MAX(ROW(E$2:E981)*(E981=E$2:E981)))))-COUNTBLANK(OFFSET(A$1,,,SUMPRODUCT(MAX(ROW(E$1:E980)*(E981=E$1:E980))))))</f>
        <v/>
      </c>
      <c r="K981" s="14" t="str">
        <f aca="false">IF(OR(E981="",E981="!!!",F981="NEW"),"",INDEX(J$1:J980,SUMPRODUCT(MAX(ROW(E$1:E980)*(E981=E$1:E980)))))</f>
        <v/>
      </c>
      <c r="L981" s="15"/>
    </row>
    <row r="982" customFormat="false" ht="12.75" hidden="false" customHeight="false" outlineLevel="0" collapsed="false">
      <c r="A982" s="0" t="s">
        <v>508</v>
      </c>
      <c r="E982" s="9" t="str">
        <f aca="false">IF(D982="?OLD","!!!","")</f>
        <v/>
      </c>
      <c r="F982" s="10" t="str">
        <f aca="false">IF(OR(E982="",E982="!!!"),"",IF(NOT(ISNA(VLOOKUP(E982,E$1:E981,1,FALSE()))),"OLD",IF(AND(E982&lt;&gt;"",E982&lt;&gt;"!!!"),"NEW","")))</f>
        <v/>
      </c>
      <c r="G982" s="11" t="str">
        <f aca="false">IF(OR(E982="",E982="!!!"),"",IF(OR(J982=0,AND(J982=1,K982=1),AND(J982=1,I982="SBJ"),AND(J982=1,I982=0)),"?IN_FOCUS",IF(J982&lt;=2,"?ACTIVATED",IF(J982&lt;&gt;"","?FAMILIAR",IF(F982="NEW",IF(ISNA(VLOOKUP(E982,#REF!,1,FALSE())),"?TYPE_IDENTIFIABLE","?REFERENTIAL"),"_")))))</f>
        <v/>
      </c>
      <c r="H982" s="12" t="str">
        <f aca="false">IF(J982&lt;&gt;1,"",IF(I982="SBJ","CB","?"))</f>
        <v/>
      </c>
      <c r="I982" s="13" t="str">
        <f aca="false">IF(OR(E982="",E982="!!!",F982="NEW"),"",INDEX(B$2:B981,-1+SUMPRODUCT(MAX(ROW(E$2:E981)*(E982=E$2:E981)))))</f>
        <v/>
      </c>
      <c r="J982" s="14" t="str">
        <f aca="true">IF(OR(E982="",E982="!!!",F982="NEW"),"",COUNTBLANK(OFFSET(A$1,,,SUMPRODUCT(MAX(ROW(E$2:E982)*(E982=E$2:E982)))))-COUNTBLANK(OFFSET(A$1,,,SUMPRODUCT(MAX(ROW(E$1:E981)*(E982=E$1:E981))))))</f>
        <v/>
      </c>
      <c r="K982" s="14" t="str">
        <f aca="false">IF(OR(E982="",E982="!!!",F982="NEW"),"",INDEX(J$1:J981,SUMPRODUCT(MAX(ROW(E$1:E981)*(E982=E$1:E981)))))</f>
        <v/>
      </c>
      <c r="L982" s="15"/>
    </row>
    <row r="983" customFormat="false" ht="12.75" hidden="false" customHeight="false" outlineLevel="0" collapsed="false">
      <c r="A983" s="0" t="s">
        <v>509</v>
      </c>
      <c r="E983" s="9" t="str">
        <f aca="false">IF(D983="?OLD","!!!","")</f>
        <v/>
      </c>
      <c r="F983" s="10" t="str">
        <f aca="false">IF(OR(E983="",E983="!!!"),"",IF(NOT(ISNA(VLOOKUP(E983,E$1:E982,1,FALSE()))),"OLD",IF(AND(E983&lt;&gt;"",E983&lt;&gt;"!!!"),"NEW","")))</f>
        <v/>
      </c>
      <c r="G983" s="11" t="str">
        <f aca="false">IF(OR(E983="",E983="!!!"),"",IF(OR(J983=0,AND(J983=1,K983=1),AND(J983=1,I983="SBJ"),AND(J983=1,I983=0)),"?IN_FOCUS",IF(J983&lt;=2,"?ACTIVATED",IF(J983&lt;&gt;"","?FAMILIAR",IF(F983="NEW",IF(ISNA(VLOOKUP(E983,#REF!,1,FALSE())),"?TYPE_IDENTIFIABLE","?REFERENTIAL"),"_")))))</f>
        <v/>
      </c>
      <c r="H983" s="12" t="str">
        <f aca="false">IF(J983&lt;&gt;1,"",IF(I983="SBJ","CB","?"))</f>
        <v/>
      </c>
      <c r="I983" s="13" t="str">
        <f aca="false">IF(OR(E983="",E983="!!!",F983="NEW"),"",INDEX(B$2:B982,-1+SUMPRODUCT(MAX(ROW(E$2:E982)*(E983=E$2:E982)))))</f>
        <v/>
      </c>
      <c r="J983" s="14" t="str">
        <f aca="true">IF(OR(E983="",E983="!!!",F983="NEW"),"",COUNTBLANK(OFFSET(A$1,,,SUMPRODUCT(MAX(ROW(E$2:E983)*(E983=E$2:E983)))))-COUNTBLANK(OFFSET(A$1,,,SUMPRODUCT(MAX(ROW(E$1:E982)*(E983=E$1:E982))))))</f>
        <v/>
      </c>
      <c r="K983" s="14" t="str">
        <f aca="false">IF(OR(E983="",E983="!!!",F983="NEW"),"",INDEX(J$1:J982,SUMPRODUCT(MAX(ROW(E$1:E982)*(E983=E$1:E982)))))</f>
        <v/>
      </c>
      <c r="L983" s="15"/>
    </row>
    <row r="984" customFormat="false" ht="12.75" hidden="false" customHeight="false" outlineLevel="0" collapsed="false">
      <c r="A984" s="0" t="s">
        <v>332</v>
      </c>
      <c r="E984" s="9" t="str">
        <f aca="false">IF(D984="?OLD","!!!","")</f>
        <v/>
      </c>
      <c r="F984" s="10" t="str">
        <f aca="false">IF(OR(E984="",E984="!!!"),"",IF(NOT(ISNA(VLOOKUP(E984,E$1:E983,1,FALSE()))),"OLD",IF(AND(E984&lt;&gt;"",E984&lt;&gt;"!!!"),"NEW","")))</f>
        <v/>
      </c>
      <c r="G984" s="11" t="str">
        <f aca="false">IF(OR(E984="",E984="!!!"),"",IF(OR(J984=0,AND(J984=1,K984=1),AND(J984=1,I984="SBJ"),AND(J984=1,I984=0)),"?IN_FOCUS",IF(J984&lt;=2,"?ACTIVATED",IF(J984&lt;&gt;"","?FAMILIAR",IF(F984="NEW",IF(ISNA(VLOOKUP(E984,#REF!,1,FALSE())),"?TYPE_IDENTIFIABLE","?REFERENTIAL"),"_")))))</f>
        <v/>
      </c>
      <c r="H984" s="12" t="str">
        <f aca="false">IF(J984&lt;&gt;1,"",IF(I984="SBJ","CB","?"))</f>
        <v/>
      </c>
      <c r="I984" s="13" t="str">
        <f aca="false">IF(OR(E984="",E984="!!!",F984="NEW"),"",INDEX(B$2:B983,-1+SUMPRODUCT(MAX(ROW(E$2:E983)*(E984=E$2:E983)))))</f>
        <v/>
      </c>
      <c r="J984" s="14" t="str">
        <f aca="true">IF(OR(E984="",E984="!!!",F984="NEW"),"",COUNTBLANK(OFFSET(A$1,,,SUMPRODUCT(MAX(ROW(E$2:E984)*(E984=E$2:E984)))))-COUNTBLANK(OFFSET(A$1,,,SUMPRODUCT(MAX(ROW(E$1:E983)*(E984=E$1:E983))))))</f>
        <v/>
      </c>
      <c r="K984" s="14" t="str">
        <f aca="false">IF(OR(E984="",E984="!!!",F984="NEW"),"",INDEX(J$1:J983,SUMPRODUCT(MAX(ROW(E$1:E983)*(E984=E$1:E983)))))</f>
        <v/>
      </c>
      <c r="L984" s="15"/>
    </row>
    <row r="985" customFormat="false" ht="12.75" hidden="false" customHeight="false" outlineLevel="0" collapsed="false">
      <c r="A985" s="0" t="s">
        <v>31</v>
      </c>
      <c r="E985" s="9" t="str">
        <f aca="false">IF(D985="?OLD","!!!","")</f>
        <v/>
      </c>
      <c r="F985" s="10" t="str">
        <f aca="false">IF(OR(E985="",E985="!!!"),"",IF(NOT(ISNA(VLOOKUP(E985,E$1:E984,1,FALSE()))),"OLD",IF(AND(E985&lt;&gt;"",E985&lt;&gt;"!!!"),"NEW","")))</f>
        <v/>
      </c>
      <c r="G985" s="11" t="str">
        <f aca="false">IF(OR(E985="",E985="!!!"),"",IF(OR(J985=0,AND(J985=1,K985=1),AND(J985=1,I985="SBJ"),AND(J985=1,I985=0)),"?IN_FOCUS",IF(J985&lt;=2,"?ACTIVATED",IF(J985&lt;&gt;"","?FAMILIAR",IF(F985="NEW",IF(ISNA(VLOOKUP(E985,#REF!,1,FALSE())),"?TYPE_IDENTIFIABLE","?REFERENTIAL"),"_")))))</f>
        <v/>
      </c>
      <c r="H985" s="12" t="str">
        <f aca="false">IF(J985&lt;&gt;1,"",IF(I985="SBJ","CB","?"))</f>
        <v/>
      </c>
      <c r="I985" s="13" t="str">
        <f aca="false">IF(OR(E985="",E985="!!!",F985="NEW"),"",INDEX(B$2:B984,-1+SUMPRODUCT(MAX(ROW(E$2:E984)*(E985=E$2:E984)))))</f>
        <v/>
      </c>
      <c r="J985" s="14" t="str">
        <f aca="true">IF(OR(E985="",E985="!!!",F985="NEW"),"",COUNTBLANK(OFFSET(A$1,,,SUMPRODUCT(MAX(ROW(E$2:E985)*(E985=E$2:E985)))))-COUNTBLANK(OFFSET(A$1,,,SUMPRODUCT(MAX(ROW(E$1:E984)*(E985=E$1:E984))))))</f>
        <v/>
      </c>
      <c r="K985" s="14" t="str">
        <f aca="false">IF(OR(E985="",E985="!!!",F985="NEW"),"",INDEX(J$1:J984,SUMPRODUCT(MAX(ROW(E$1:E984)*(E985=E$1:E984)))))</f>
        <v/>
      </c>
      <c r="L985" s="15"/>
    </row>
    <row r="986" customFormat="false" ht="12.75" hidden="false" customHeight="false" outlineLevel="0" collapsed="false">
      <c r="A986" s="0" t="s">
        <v>122</v>
      </c>
      <c r="B986" s="0" t="s">
        <v>14</v>
      </c>
      <c r="C986" s="0" t="s">
        <v>38</v>
      </c>
      <c r="D986" s="0" t="s">
        <v>29</v>
      </c>
      <c r="E986" s="9" t="str">
        <f aca="false">IF(D986="?OLD","!!!","")</f>
        <v>!!!</v>
      </c>
      <c r="F986" s="10" t="str">
        <f aca="false">IF(OR(E986="",E986="!!!"),"",IF(NOT(ISNA(VLOOKUP(E986,E$1:E985,1,FALSE()))),"OLD",IF(AND(E986&lt;&gt;"",E986&lt;&gt;"!!!"),"NEW","")))</f>
        <v/>
      </c>
      <c r="G986" s="11" t="str">
        <f aca="false">IF(OR(E986="",E986="!!!"),"",IF(OR(J986=0,AND(J986=1,K986=1),AND(J986=1,I986="SBJ"),AND(J986=1,I986=0)),"?IN_FOCUS",IF(J986&lt;=2,"?ACTIVATED",IF(J986&lt;&gt;"","?FAMILIAR",IF(F986="NEW",IF(ISNA(VLOOKUP(E986,#REF!,1,FALSE())),"?TYPE_IDENTIFIABLE","?REFERENTIAL"),"_")))))</f>
        <v/>
      </c>
      <c r="H986" s="12" t="str">
        <f aca="false">IF(J986&lt;&gt;1,"",IF(I986="SBJ","CB","?"))</f>
        <v/>
      </c>
      <c r="I986" s="13" t="str">
        <f aca="false">IF(OR(E986="",E986="!!!",F986="NEW"),"",INDEX(B$2:B985,-1+SUMPRODUCT(MAX(ROW(E$2:E985)*(E986=E$2:E985)))))</f>
        <v/>
      </c>
      <c r="J986" s="14" t="str">
        <f aca="true">IF(OR(E986="",E986="!!!",F986="NEW"),"",COUNTBLANK(OFFSET(A$1,,,SUMPRODUCT(MAX(ROW(E$2:E986)*(E986=E$2:E986)))))-COUNTBLANK(OFFSET(A$1,,,SUMPRODUCT(MAX(ROW(E$1:E985)*(E986=E$1:E985))))))</f>
        <v/>
      </c>
      <c r="K986" s="14" t="str">
        <f aca="false">IF(OR(E986="",E986="!!!",F986="NEW"),"",INDEX(J$1:J985,SUMPRODUCT(MAX(ROW(E$1:E985)*(E986=E$1:E985)))))</f>
        <v/>
      </c>
      <c r="L986" s="15"/>
    </row>
    <row r="987" customFormat="false" ht="12.75" hidden="false" customHeight="false" outlineLevel="0" collapsed="false">
      <c r="A987" s="0" t="s">
        <v>510</v>
      </c>
      <c r="E987" s="9" t="str">
        <f aca="false">IF(D987="?OLD","!!!","")</f>
        <v/>
      </c>
      <c r="F987" s="10" t="str">
        <f aca="false">IF(OR(E987="",E987="!!!"),"",IF(NOT(ISNA(VLOOKUP(E987,E$1:E986,1,FALSE()))),"OLD",IF(AND(E987&lt;&gt;"",E987&lt;&gt;"!!!"),"NEW","")))</f>
        <v/>
      </c>
      <c r="G987" s="11" t="str">
        <f aca="false">IF(OR(E987="",E987="!!!"),"",IF(OR(J987=0,AND(J987=1,K987=1),AND(J987=1,I987="SBJ"),AND(J987=1,I987=0)),"?IN_FOCUS",IF(J987&lt;=2,"?ACTIVATED",IF(J987&lt;&gt;"","?FAMILIAR",IF(F987="NEW",IF(ISNA(VLOOKUP(E987,#REF!,1,FALSE())),"?TYPE_IDENTIFIABLE","?REFERENTIAL"),"_")))))</f>
        <v/>
      </c>
      <c r="H987" s="12" t="str">
        <f aca="false">IF(J987&lt;&gt;1,"",IF(I987="SBJ","CB","?"))</f>
        <v/>
      </c>
      <c r="I987" s="13" t="str">
        <f aca="false">IF(OR(E987="",E987="!!!",F987="NEW"),"",INDEX(B$2:B986,-1+SUMPRODUCT(MAX(ROW(E$2:E986)*(E987=E$2:E986)))))</f>
        <v/>
      </c>
      <c r="J987" s="14" t="str">
        <f aca="true">IF(OR(E987="",E987="!!!",F987="NEW"),"",COUNTBLANK(OFFSET(A$1,,,SUMPRODUCT(MAX(ROW(E$2:E987)*(E987=E$2:E987)))))-COUNTBLANK(OFFSET(A$1,,,SUMPRODUCT(MAX(ROW(E$1:E986)*(E987=E$1:E986))))))</f>
        <v/>
      </c>
      <c r="K987" s="14" t="str">
        <f aca="false">IF(OR(E987="",E987="!!!",F987="NEW"),"",INDEX(J$1:J986,SUMPRODUCT(MAX(ROW(E$1:E986)*(E987=E$1:E986)))))</f>
        <v/>
      </c>
      <c r="L987" s="15"/>
    </row>
    <row r="988" customFormat="false" ht="12.75" hidden="false" customHeight="false" outlineLevel="0" collapsed="false">
      <c r="A988" s="0" t="s">
        <v>66</v>
      </c>
      <c r="E988" s="9" t="str">
        <f aca="false">IF(D988="?OLD","!!!","")</f>
        <v/>
      </c>
      <c r="F988" s="10" t="str">
        <f aca="false">IF(OR(E988="",E988="!!!"),"",IF(NOT(ISNA(VLOOKUP(E988,E$1:E987,1,FALSE()))),"OLD",IF(AND(E988&lt;&gt;"",E988&lt;&gt;"!!!"),"NEW","")))</f>
        <v/>
      </c>
      <c r="G988" s="11" t="str">
        <f aca="false">IF(OR(E988="",E988="!!!"),"",IF(OR(J988=0,AND(J988=1,K988=1),AND(J988=1,I988="SBJ"),AND(J988=1,I988=0)),"?IN_FOCUS",IF(J988&lt;=2,"?ACTIVATED",IF(J988&lt;&gt;"","?FAMILIAR",IF(F988="NEW",IF(ISNA(VLOOKUP(E988,#REF!,1,FALSE())),"?TYPE_IDENTIFIABLE","?REFERENTIAL"),"_")))))</f>
        <v/>
      </c>
      <c r="H988" s="12" t="str">
        <f aca="false">IF(J988&lt;&gt;1,"",IF(I988="SBJ","CB","?"))</f>
        <v/>
      </c>
      <c r="I988" s="13" t="str">
        <f aca="false">IF(OR(E988="",E988="!!!",F988="NEW"),"",INDEX(B$2:B987,-1+SUMPRODUCT(MAX(ROW(E$2:E987)*(E988=E$2:E987)))))</f>
        <v/>
      </c>
      <c r="J988" s="14" t="str">
        <f aca="true">IF(OR(E988="",E988="!!!",F988="NEW"),"",COUNTBLANK(OFFSET(A$1,,,SUMPRODUCT(MAX(ROW(E$2:E988)*(E988=E$2:E988)))))-COUNTBLANK(OFFSET(A$1,,,SUMPRODUCT(MAX(ROW(E$1:E987)*(E988=E$1:E987))))))</f>
        <v/>
      </c>
      <c r="K988" s="14" t="str">
        <f aca="false">IF(OR(E988="",E988="!!!",F988="NEW"),"",INDEX(J$1:J987,SUMPRODUCT(MAX(ROW(E$1:E987)*(E988=E$1:E987)))))</f>
        <v/>
      </c>
      <c r="L988" s="15"/>
    </row>
    <row r="989" customFormat="false" ht="12.75" hidden="false" customHeight="false" outlineLevel="0" collapsed="false">
      <c r="A989" s="0" t="s">
        <v>511</v>
      </c>
      <c r="E989" s="9" t="str">
        <f aca="false">IF(D989="?OLD","!!!","")</f>
        <v/>
      </c>
      <c r="F989" s="10" t="str">
        <f aca="false">IF(OR(E989="",E989="!!!"),"",IF(NOT(ISNA(VLOOKUP(E989,E$1:E988,1,FALSE()))),"OLD",IF(AND(E989&lt;&gt;"",E989&lt;&gt;"!!!"),"NEW","")))</f>
        <v/>
      </c>
      <c r="G989" s="11" t="str">
        <f aca="false">IF(OR(E989="",E989="!!!"),"",IF(OR(J989=0,AND(J989=1,K989=1),AND(J989=1,I989="SBJ"),AND(J989=1,I989=0)),"?IN_FOCUS",IF(J989&lt;=2,"?ACTIVATED",IF(J989&lt;&gt;"","?FAMILIAR",IF(F989="NEW",IF(ISNA(VLOOKUP(E989,#REF!,1,FALSE())),"?TYPE_IDENTIFIABLE","?REFERENTIAL"),"_")))))</f>
        <v/>
      </c>
      <c r="H989" s="12" t="str">
        <f aca="false">IF(J989&lt;&gt;1,"",IF(I989="SBJ","CB","?"))</f>
        <v/>
      </c>
      <c r="I989" s="13" t="str">
        <f aca="false">IF(OR(E989="",E989="!!!",F989="NEW"),"",INDEX(B$2:B988,-1+SUMPRODUCT(MAX(ROW(E$2:E988)*(E989=E$2:E988)))))</f>
        <v/>
      </c>
      <c r="J989" s="14" t="str">
        <f aca="true">IF(OR(E989="",E989="!!!",F989="NEW"),"",COUNTBLANK(OFFSET(A$1,,,SUMPRODUCT(MAX(ROW(E$2:E989)*(E989=E$2:E989)))))-COUNTBLANK(OFFSET(A$1,,,SUMPRODUCT(MAX(ROW(E$1:E988)*(E989=E$1:E988))))))</f>
        <v/>
      </c>
      <c r="K989" s="14" t="str">
        <f aca="false">IF(OR(E989="",E989="!!!",F989="NEW"),"",INDEX(J$1:J988,SUMPRODUCT(MAX(ROW(E$1:E988)*(E989=E$1:E988)))))</f>
        <v/>
      </c>
      <c r="L989" s="15"/>
    </row>
    <row r="990" customFormat="false" ht="12.75" hidden="false" customHeight="false" outlineLevel="0" collapsed="false">
      <c r="A990" s="0" t="s">
        <v>512</v>
      </c>
      <c r="B990" s="0" t="s">
        <v>37</v>
      </c>
      <c r="C990" s="0" t="s">
        <v>111</v>
      </c>
      <c r="D990" s="0" t="s">
        <v>29</v>
      </c>
      <c r="E990" s="9" t="str">
        <f aca="false">IF(D990="?OLD","!!!","")</f>
        <v>!!!</v>
      </c>
      <c r="F990" s="10" t="str">
        <f aca="false">IF(OR(E990="",E990="!!!"),"",IF(NOT(ISNA(VLOOKUP(E990,E$1:E989,1,FALSE()))),"OLD",IF(AND(E990&lt;&gt;"",E990&lt;&gt;"!!!"),"NEW","")))</f>
        <v/>
      </c>
      <c r="G990" s="11" t="str">
        <f aca="false">IF(OR(E990="",E990="!!!"),"",IF(OR(J990=0,AND(J990=1,K990=1),AND(J990=1,I990="SBJ"),AND(J990=1,I990=0)),"?IN_FOCUS",IF(J990&lt;=2,"?ACTIVATED",IF(J990&lt;&gt;"","?FAMILIAR",IF(F990="NEW",IF(ISNA(VLOOKUP(E990,#REF!,1,FALSE())),"?TYPE_IDENTIFIABLE","?REFERENTIAL"),"_")))))</f>
        <v/>
      </c>
      <c r="H990" s="12" t="str">
        <f aca="false">IF(J990&lt;&gt;1,"",IF(I990="SBJ","CB","?"))</f>
        <v/>
      </c>
      <c r="I990" s="13" t="str">
        <f aca="false">IF(OR(E990="",E990="!!!",F990="NEW"),"",INDEX(B$2:B989,-1+SUMPRODUCT(MAX(ROW(E$2:E989)*(E990=E$2:E989)))))</f>
        <v/>
      </c>
      <c r="J990" s="14" t="str">
        <f aca="true">IF(OR(E990="",E990="!!!",F990="NEW"),"",COUNTBLANK(OFFSET(A$1,,,SUMPRODUCT(MAX(ROW(E$2:E990)*(E990=E$2:E990)))))-COUNTBLANK(OFFSET(A$1,,,SUMPRODUCT(MAX(ROW(E$1:E989)*(E990=E$1:E989))))))</f>
        <v/>
      </c>
      <c r="K990" s="14" t="str">
        <f aca="false">IF(OR(E990="",E990="!!!",F990="NEW"),"",INDEX(J$1:J989,SUMPRODUCT(MAX(ROW(E$1:E989)*(E990=E$1:E989)))))</f>
        <v/>
      </c>
      <c r="L990" s="15"/>
    </row>
    <row r="991" customFormat="false" ht="12.75" hidden="false" customHeight="false" outlineLevel="0" collapsed="false">
      <c r="A991" s="0" t="s">
        <v>145</v>
      </c>
      <c r="E991" s="9" t="str">
        <f aca="false">IF(D991="?OLD","!!!","")</f>
        <v/>
      </c>
      <c r="F991" s="10" t="str">
        <f aca="false">IF(OR(E991="",E991="!!!"),"",IF(NOT(ISNA(VLOOKUP(E991,E$1:E990,1,FALSE()))),"OLD",IF(AND(E991&lt;&gt;"",E991&lt;&gt;"!!!"),"NEW","")))</f>
        <v/>
      </c>
      <c r="G991" s="11" t="str">
        <f aca="false">IF(OR(E991="",E991="!!!"),"",IF(OR(J991=0,AND(J991=1,K991=1),AND(J991=1,I991="SBJ"),AND(J991=1,I991=0)),"?IN_FOCUS",IF(J991&lt;=2,"?ACTIVATED",IF(J991&lt;&gt;"","?FAMILIAR",IF(F991="NEW",IF(ISNA(VLOOKUP(E991,#REF!,1,FALSE())),"?TYPE_IDENTIFIABLE","?REFERENTIAL"),"_")))))</f>
        <v/>
      </c>
      <c r="H991" s="12" t="str">
        <f aca="false">IF(J991&lt;&gt;1,"",IF(I991="SBJ","CB","?"))</f>
        <v/>
      </c>
      <c r="I991" s="13" t="str">
        <f aca="false">IF(OR(E991="",E991="!!!",F991="NEW"),"",INDEX(B$2:B990,-1+SUMPRODUCT(MAX(ROW(E$2:E990)*(E991=E$2:E990)))))</f>
        <v/>
      </c>
      <c r="J991" s="14" t="str">
        <f aca="true">IF(OR(E991="",E991="!!!",F991="NEW"),"",COUNTBLANK(OFFSET(A$1,,,SUMPRODUCT(MAX(ROW(E$2:E991)*(E991=E$2:E991)))))-COUNTBLANK(OFFSET(A$1,,,SUMPRODUCT(MAX(ROW(E$1:E990)*(E991=E$1:E990))))))</f>
        <v/>
      </c>
      <c r="K991" s="14" t="str">
        <f aca="false">IF(OR(E991="",E991="!!!",F991="NEW"),"",INDEX(J$1:J990,SUMPRODUCT(MAX(ROW(E$1:E990)*(E991=E$1:E990)))))</f>
        <v/>
      </c>
      <c r="L991" s="15"/>
    </row>
    <row r="992" customFormat="false" ht="12.75" hidden="false" customHeight="false" outlineLevel="0" collapsed="false">
      <c r="A992" s="0" t="s">
        <v>66</v>
      </c>
      <c r="E992" s="9" t="str">
        <f aca="false">IF(D992="?OLD","!!!","")</f>
        <v/>
      </c>
      <c r="F992" s="10" t="str">
        <f aca="false">IF(OR(E992="",E992="!!!"),"",IF(NOT(ISNA(VLOOKUP(E992,E$1:E991,1,FALSE()))),"OLD",IF(AND(E992&lt;&gt;"",E992&lt;&gt;"!!!"),"NEW","")))</f>
        <v/>
      </c>
      <c r="G992" s="11" t="str">
        <f aca="false">IF(OR(E992="",E992="!!!"),"",IF(OR(J992=0,AND(J992=1,K992=1),AND(J992=1,I992="SBJ"),AND(J992=1,I992=0)),"?IN_FOCUS",IF(J992&lt;=2,"?ACTIVATED",IF(J992&lt;&gt;"","?FAMILIAR",IF(F992="NEW",IF(ISNA(VLOOKUP(E992,#REF!,1,FALSE())),"?TYPE_IDENTIFIABLE","?REFERENTIAL"),"_")))))</f>
        <v/>
      </c>
      <c r="H992" s="12" t="str">
        <f aca="false">IF(J992&lt;&gt;1,"",IF(I992="SBJ","CB","?"))</f>
        <v/>
      </c>
      <c r="I992" s="13" t="str">
        <f aca="false">IF(OR(E992="",E992="!!!",F992="NEW"),"",INDEX(B$2:B991,-1+SUMPRODUCT(MAX(ROW(E$2:E991)*(E992=E$2:E991)))))</f>
        <v/>
      </c>
      <c r="J992" s="14" t="str">
        <f aca="true">IF(OR(E992="",E992="!!!",F992="NEW"),"",COUNTBLANK(OFFSET(A$1,,,SUMPRODUCT(MAX(ROW(E$2:E992)*(E992=E$2:E992)))))-COUNTBLANK(OFFSET(A$1,,,SUMPRODUCT(MAX(ROW(E$1:E991)*(E992=E$1:E991))))))</f>
        <v/>
      </c>
      <c r="K992" s="14" t="str">
        <f aca="false">IF(OR(E992="",E992="!!!",F992="NEW"),"",INDEX(J$1:J991,SUMPRODUCT(MAX(ROW(E$1:E991)*(E992=E$1:E991)))))</f>
        <v/>
      </c>
      <c r="L992" s="15"/>
    </row>
    <row r="993" customFormat="false" ht="12.75" hidden="false" customHeight="false" outlineLevel="0" collapsed="false">
      <c r="A993" s="0" t="s">
        <v>242</v>
      </c>
      <c r="B993" s="0" t="s">
        <v>62</v>
      </c>
      <c r="C993" s="0" t="s">
        <v>111</v>
      </c>
      <c r="D993" s="0" t="s">
        <v>29</v>
      </c>
      <c r="E993" s="9" t="str">
        <f aca="false">IF(D993="?OLD","!!!","")</f>
        <v>!!!</v>
      </c>
      <c r="F993" s="10" t="str">
        <f aca="false">IF(OR(E993="",E993="!!!"),"",IF(NOT(ISNA(VLOOKUP(E993,E$1:E992,1,FALSE()))),"OLD",IF(AND(E993&lt;&gt;"",E993&lt;&gt;"!!!"),"NEW","")))</f>
        <v/>
      </c>
      <c r="G993" s="11" t="str">
        <f aca="false">IF(OR(E993="",E993="!!!"),"",IF(OR(J993=0,AND(J993=1,K993=1),AND(J993=1,I993="SBJ"),AND(J993=1,I993=0)),"?IN_FOCUS",IF(J993&lt;=2,"?ACTIVATED",IF(J993&lt;&gt;"","?FAMILIAR",IF(F993="NEW",IF(ISNA(VLOOKUP(E993,#REF!,1,FALSE())),"?TYPE_IDENTIFIABLE","?REFERENTIAL"),"_")))))</f>
        <v/>
      </c>
      <c r="H993" s="12" t="str">
        <f aca="false">IF(J993&lt;&gt;1,"",IF(I993="SBJ","CB","?"))</f>
        <v/>
      </c>
      <c r="I993" s="13" t="str">
        <f aca="false">IF(OR(E993="",E993="!!!",F993="NEW"),"",INDEX(B$2:B992,-1+SUMPRODUCT(MAX(ROW(E$2:E992)*(E993=E$2:E992)))))</f>
        <v/>
      </c>
      <c r="J993" s="14" t="str">
        <f aca="true">IF(OR(E993="",E993="!!!",F993="NEW"),"",COUNTBLANK(OFFSET(A$1,,,SUMPRODUCT(MAX(ROW(E$2:E993)*(E993=E$2:E993)))))-COUNTBLANK(OFFSET(A$1,,,SUMPRODUCT(MAX(ROW(E$1:E992)*(E993=E$1:E992))))))</f>
        <v/>
      </c>
      <c r="K993" s="14" t="str">
        <f aca="false">IF(OR(E993="",E993="!!!",F993="NEW"),"",INDEX(J$1:J992,SUMPRODUCT(MAX(ROW(E$1:E992)*(E993=E$1:E992)))))</f>
        <v/>
      </c>
      <c r="L993" s="15"/>
    </row>
    <row r="994" customFormat="false" ht="12.75" hidden="false" customHeight="false" outlineLevel="0" collapsed="false">
      <c r="A994" s="0" t="s">
        <v>19</v>
      </c>
      <c r="E994" s="9" t="str">
        <f aca="false">IF(D994="?OLD","!!!","")</f>
        <v/>
      </c>
      <c r="F994" s="10" t="str">
        <f aca="false">IF(OR(E994="",E994="!!!"),"",IF(NOT(ISNA(VLOOKUP(E994,E$1:E993,1,FALSE()))),"OLD",IF(AND(E994&lt;&gt;"",E994&lt;&gt;"!!!"),"NEW","")))</f>
        <v/>
      </c>
      <c r="G994" s="11" t="str">
        <f aca="false">IF(OR(E994="",E994="!!!"),"",IF(OR(J994=0,AND(J994=1,K994=1),AND(J994=1,I994="SBJ"),AND(J994=1,I994=0)),"?IN_FOCUS",IF(J994&lt;=2,"?ACTIVATED",IF(J994&lt;&gt;"","?FAMILIAR",IF(F994="NEW",IF(ISNA(VLOOKUP(E994,#REF!,1,FALSE())),"?TYPE_IDENTIFIABLE","?REFERENTIAL"),"_")))))</f>
        <v/>
      </c>
      <c r="H994" s="12" t="str">
        <f aca="false">IF(J994&lt;&gt;1,"",IF(I994="SBJ","CB","?"))</f>
        <v/>
      </c>
      <c r="I994" s="13" t="str">
        <f aca="false">IF(OR(E994="",E994="!!!",F994="NEW"),"",INDEX(B$2:B993,-1+SUMPRODUCT(MAX(ROW(E$2:E993)*(E994=E$2:E993)))))</f>
        <v/>
      </c>
      <c r="J994" s="14" t="str">
        <f aca="true">IF(OR(E994="",E994="!!!",F994="NEW"),"",COUNTBLANK(OFFSET(A$1,,,SUMPRODUCT(MAX(ROW(E$2:E994)*(E994=E$2:E994)))))-COUNTBLANK(OFFSET(A$1,,,SUMPRODUCT(MAX(ROW(E$1:E993)*(E994=E$1:E993))))))</f>
        <v/>
      </c>
      <c r="K994" s="14" t="str">
        <f aca="false">IF(OR(E994="",E994="!!!",F994="NEW"),"",INDEX(J$1:J993,SUMPRODUCT(MAX(ROW(E$1:E993)*(E994=E$1:E993)))))</f>
        <v/>
      </c>
      <c r="L994" s="15"/>
    </row>
    <row r="995" customFormat="false" ht="12.75" hidden="false" customHeight="false" outlineLevel="0" collapsed="false">
      <c r="A995" s="0" t="s">
        <v>373</v>
      </c>
      <c r="E995" s="9" t="str">
        <f aca="false">IF(D995="?OLD","!!!","")</f>
        <v/>
      </c>
      <c r="F995" s="10" t="str">
        <f aca="false">IF(OR(E995="",E995="!!!"),"",IF(NOT(ISNA(VLOOKUP(E995,E$1:E994,1,FALSE()))),"OLD",IF(AND(E995&lt;&gt;"",E995&lt;&gt;"!!!"),"NEW","")))</f>
        <v/>
      </c>
      <c r="G995" s="11" t="str">
        <f aca="false">IF(OR(E995="",E995="!!!"),"",IF(OR(J995=0,AND(J995=1,K995=1),AND(J995=1,I995="SBJ"),AND(J995=1,I995=0)),"?IN_FOCUS",IF(J995&lt;=2,"?ACTIVATED",IF(J995&lt;&gt;"","?FAMILIAR",IF(F995="NEW",IF(ISNA(VLOOKUP(E995,#REF!,1,FALSE())),"?TYPE_IDENTIFIABLE","?REFERENTIAL"),"_")))))</f>
        <v/>
      </c>
      <c r="H995" s="12" t="str">
        <f aca="false">IF(J995&lt;&gt;1,"",IF(I995="SBJ","CB","?"))</f>
        <v/>
      </c>
      <c r="I995" s="13" t="str">
        <f aca="false">IF(OR(E995="",E995="!!!",F995="NEW"),"",INDEX(B$2:B994,-1+SUMPRODUCT(MAX(ROW(E$2:E994)*(E995=E$2:E994)))))</f>
        <v/>
      </c>
      <c r="J995" s="14" t="str">
        <f aca="true">IF(OR(E995="",E995="!!!",F995="NEW"),"",COUNTBLANK(OFFSET(A$1,,,SUMPRODUCT(MAX(ROW(E$2:E995)*(E995=E$2:E995)))))-COUNTBLANK(OFFSET(A$1,,,SUMPRODUCT(MAX(ROW(E$1:E994)*(E995=E$1:E994))))))</f>
        <v/>
      </c>
      <c r="K995" s="14" t="str">
        <f aca="false">IF(OR(E995="",E995="!!!",F995="NEW"),"",INDEX(J$1:J994,SUMPRODUCT(MAX(ROW(E$1:E994)*(E995=E$1:E994)))))</f>
        <v/>
      </c>
      <c r="L995" s="15"/>
    </row>
    <row r="996" customFormat="false" ht="12.75" hidden="false" customHeight="false" outlineLevel="0" collapsed="false">
      <c r="A996" s="0" t="s">
        <v>513</v>
      </c>
      <c r="E996" s="9" t="str">
        <f aca="false">IF(D996="?OLD","!!!","")</f>
        <v/>
      </c>
      <c r="F996" s="10" t="str">
        <f aca="false">IF(OR(E996="",E996="!!!"),"",IF(NOT(ISNA(VLOOKUP(E996,E$1:E995,1,FALSE()))),"OLD",IF(AND(E996&lt;&gt;"",E996&lt;&gt;"!!!"),"NEW","")))</f>
        <v/>
      </c>
      <c r="G996" s="11" t="str">
        <f aca="false">IF(OR(E996="",E996="!!!"),"",IF(OR(J996=0,AND(J996=1,K996=1),AND(J996=1,I996="SBJ"),AND(J996=1,I996=0)),"?IN_FOCUS",IF(J996&lt;=2,"?ACTIVATED",IF(J996&lt;&gt;"","?FAMILIAR",IF(F996="NEW",IF(ISNA(VLOOKUP(E996,#REF!,1,FALSE())),"?TYPE_IDENTIFIABLE","?REFERENTIAL"),"_")))))</f>
        <v/>
      </c>
      <c r="H996" s="12" t="str">
        <f aca="false">IF(J996&lt;&gt;1,"",IF(I996="SBJ","CB","?"))</f>
        <v/>
      </c>
      <c r="I996" s="13" t="str">
        <f aca="false">IF(OR(E996="",E996="!!!",F996="NEW"),"",INDEX(B$2:B995,-1+SUMPRODUCT(MAX(ROW(E$2:E995)*(E996=E$2:E995)))))</f>
        <v/>
      </c>
      <c r="J996" s="14" t="str">
        <f aca="true">IF(OR(E996="",E996="!!!",F996="NEW"),"",COUNTBLANK(OFFSET(A$1,,,SUMPRODUCT(MAX(ROW(E$2:E996)*(E996=E$2:E996)))))-COUNTBLANK(OFFSET(A$1,,,SUMPRODUCT(MAX(ROW(E$1:E995)*(E996=E$1:E995))))))</f>
        <v/>
      </c>
      <c r="K996" s="14" t="str">
        <f aca="false">IF(OR(E996="",E996="!!!",F996="NEW"),"",INDEX(J$1:J995,SUMPRODUCT(MAX(ROW(E$1:E995)*(E996=E$1:E995)))))</f>
        <v/>
      </c>
      <c r="L996" s="15"/>
    </row>
    <row r="997" customFormat="false" ht="12.75" hidden="false" customHeight="false" outlineLevel="0" collapsed="false">
      <c r="A997" s="0" t="s">
        <v>68</v>
      </c>
      <c r="E997" s="9" t="str">
        <f aca="false">IF(D997="?OLD","!!!","")</f>
        <v/>
      </c>
      <c r="F997" s="10" t="str">
        <f aca="false">IF(OR(E997="",E997="!!!"),"",IF(NOT(ISNA(VLOOKUP(E997,E$1:E996,1,FALSE()))),"OLD",IF(AND(E997&lt;&gt;"",E997&lt;&gt;"!!!"),"NEW","")))</f>
        <v/>
      </c>
      <c r="G997" s="11" t="str">
        <f aca="false">IF(OR(E997="",E997="!!!"),"",IF(OR(J997=0,AND(J997=1,K997=1),AND(J997=1,I997="SBJ"),AND(J997=1,I997=0)),"?IN_FOCUS",IF(J997&lt;=2,"?ACTIVATED",IF(J997&lt;&gt;"","?FAMILIAR",IF(F997="NEW",IF(ISNA(VLOOKUP(E997,#REF!,1,FALSE())),"?TYPE_IDENTIFIABLE","?REFERENTIAL"),"_")))))</f>
        <v/>
      </c>
      <c r="H997" s="12" t="str">
        <f aca="false">IF(J997&lt;&gt;1,"",IF(I997="SBJ","CB","?"))</f>
        <v/>
      </c>
      <c r="I997" s="13" t="str">
        <f aca="false">IF(OR(E997="",E997="!!!",F997="NEW"),"",INDEX(B$2:B996,-1+SUMPRODUCT(MAX(ROW(E$2:E996)*(E997=E$2:E996)))))</f>
        <v/>
      </c>
      <c r="J997" s="14" t="str">
        <f aca="true">IF(OR(E997="",E997="!!!",F997="NEW"),"",COUNTBLANK(OFFSET(A$1,,,SUMPRODUCT(MAX(ROW(E$2:E997)*(E997=E$2:E997)))))-COUNTBLANK(OFFSET(A$1,,,SUMPRODUCT(MAX(ROW(E$1:E996)*(E997=E$1:E996))))))</f>
        <v/>
      </c>
      <c r="K997" s="14" t="str">
        <f aca="false">IF(OR(E997="",E997="!!!",F997="NEW"),"",INDEX(J$1:J996,SUMPRODUCT(MAX(ROW(E$1:E996)*(E997=E$1:E996)))))</f>
        <v/>
      </c>
      <c r="L997" s="15"/>
    </row>
    <row r="998" customFormat="false" ht="12.75" hidden="false" customHeight="false" outlineLevel="0" collapsed="false">
      <c r="A998" s="0" t="s">
        <v>231</v>
      </c>
      <c r="B998" s="0" t="s">
        <v>28</v>
      </c>
      <c r="C998" s="0" t="s">
        <v>43</v>
      </c>
      <c r="E998" s="9" t="str">
        <f aca="false">IF(D998="?OLD","!!!","")</f>
        <v/>
      </c>
      <c r="F998" s="10" t="str">
        <f aca="false">IF(OR(E998="",E998="!!!"),"",IF(NOT(ISNA(VLOOKUP(E998,E$1:E997,1,FALSE()))),"OLD",IF(AND(E998&lt;&gt;"",E998&lt;&gt;"!!!"),"NEW","")))</f>
        <v/>
      </c>
      <c r="G998" s="11" t="str">
        <f aca="false">IF(OR(E998="",E998="!!!"),"",IF(OR(J998=0,AND(J998=1,K998=1),AND(J998=1,I998="SBJ"),AND(J998=1,I998=0)),"?IN_FOCUS",IF(J998&lt;=2,"?ACTIVATED",IF(J998&lt;&gt;"","?FAMILIAR",IF(F998="NEW",IF(ISNA(VLOOKUP(E998,#REF!,1,FALSE())),"?TYPE_IDENTIFIABLE","?REFERENTIAL"),"_")))))</f>
        <v/>
      </c>
      <c r="H998" s="12" t="str">
        <f aca="false">IF(J998&lt;&gt;1,"",IF(I998="SBJ","CB","?"))</f>
        <v/>
      </c>
      <c r="I998" s="13" t="str">
        <f aca="false">IF(OR(E998="",E998="!!!",F998="NEW"),"",INDEX(B$2:B997,-1+SUMPRODUCT(MAX(ROW(E$2:E997)*(E998=E$2:E997)))))</f>
        <v/>
      </c>
      <c r="J998" s="14" t="str">
        <f aca="true">IF(OR(E998="",E998="!!!",F998="NEW"),"",COUNTBLANK(OFFSET(A$1,,,SUMPRODUCT(MAX(ROW(E$2:E998)*(E998=E$2:E998)))))-COUNTBLANK(OFFSET(A$1,,,SUMPRODUCT(MAX(ROW(E$1:E997)*(E998=E$1:E997))))))</f>
        <v/>
      </c>
      <c r="K998" s="14" t="str">
        <f aca="false">IF(OR(E998="",E998="!!!",F998="NEW"),"",INDEX(J$1:J997,SUMPRODUCT(MAX(ROW(E$1:E997)*(E998=E$1:E997)))))</f>
        <v/>
      </c>
      <c r="L998" s="15"/>
    </row>
    <row r="999" customFormat="false" ht="12.75" hidden="false" customHeight="false" outlineLevel="0" collapsed="false">
      <c r="A999" s="0" t="s">
        <v>136</v>
      </c>
      <c r="E999" s="9" t="str">
        <f aca="false">IF(D999="?OLD","!!!","")</f>
        <v/>
      </c>
      <c r="F999" s="10" t="str">
        <f aca="false">IF(OR(E999="",E999="!!!"),"",IF(NOT(ISNA(VLOOKUP(E999,E$1:E998,1,FALSE()))),"OLD",IF(AND(E999&lt;&gt;"",E999&lt;&gt;"!!!"),"NEW","")))</f>
        <v/>
      </c>
      <c r="G999" s="11" t="str">
        <f aca="false">IF(OR(E999="",E999="!!!"),"",IF(OR(J999=0,AND(J999=1,K999=1),AND(J999=1,I999="SBJ"),AND(J999=1,I999=0)),"?IN_FOCUS",IF(J999&lt;=2,"?ACTIVATED",IF(J999&lt;&gt;"","?FAMILIAR",IF(F999="NEW",IF(ISNA(VLOOKUP(E999,#REF!,1,FALSE())),"?TYPE_IDENTIFIABLE","?REFERENTIAL"),"_")))))</f>
        <v/>
      </c>
      <c r="H999" s="12" t="str">
        <f aca="false">IF(J999&lt;&gt;1,"",IF(I999="SBJ","CB","?"))</f>
        <v/>
      </c>
      <c r="I999" s="13" t="str">
        <f aca="false">IF(OR(E999="",E999="!!!",F999="NEW"),"",INDEX(B$2:B998,-1+SUMPRODUCT(MAX(ROW(E$2:E998)*(E999=E$2:E998)))))</f>
        <v/>
      </c>
      <c r="J999" s="14" t="str">
        <f aca="true">IF(OR(E999="",E999="!!!",F999="NEW"),"",COUNTBLANK(OFFSET(A$1,,,SUMPRODUCT(MAX(ROW(E$2:E999)*(E999=E$2:E999)))))-COUNTBLANK(OFFSET(A$1,,,SUMPRODUCT(MAX(ROW(E$1:E998)*(E999=E$1:E998))))))</f>
        <v/>
      </c>
      <c r="K999" s="14" t="str">
        <f aca="false">IF(OR(E999="",E999="!!!",F999="NEW"),"",INDEX(J$1:J998,SUMPRODUCT(MAX(ROW(E$1:E998)*(E999=E$1:E998)))))</f>
        <v/>
      </c>
      <c r="L999" s="15"/>
    </row>
    <row r="1000" customFormat="false" ht="12.75" hidden="false" customHeight="false" outlineLevel="0" collapsed="false">
      <c r="A1000" s="0" t="s">
        <v>66</v>
      </c>
      <c r="E1000" s="9" t="str">
        <f aca="false">IF(D1000="?OLD","!!!","")</f>
        <v/>
      </c>
      <c r="F1000" s="10" t="str">
        <f aca="false">IF(OR(E1000="",E1000="!!!"),"",IF(NOT(ISNA(VLOOKUP(E1000,E$1:E999,1,FALSE()))),"OLD",IF(AND(E1000&lt;&gt;"",E1000&lt;&gt;"!!!"),"NEW","")))</f>
        <v/>
      </c>
      <c r="G1000" s="11" t="str">
        <f aca="false">IF(OR(E1000="",E1000="!!!"),"",IF(OR(J1000=0,AND(J1000=1,K1000=1),AND(J1000=1,I1000="SBJ"),AND(J1000=1,I1000=0)),"?IN_FOCUS",IF(J1000&lt;=2,"?ACTIVATED",IF(J1000&lt;&gt;"","?FAMILIAR",IF(F1000="NEW",IF(ISNA(VLOOKUP(E1000,#REF!,1,FALSE())),"?TYPE_IDENTIFIABLE","?REFERENTIAL"),"_")))))</f>
        <v/>
      </c>
      <c r="H1000" s="12" t="str">
        <f aca="false">IF(J1000&lt;&gt;1,"",IF(I1000="SBJ","CB","?"))</f>
        <v/>
      </c>
      <c r="I1000" s="13" t="str">
        <f aca="false">IF(OR(E1000="",E1000="!!!",F1000="NEW"),"",INDEX(B$2:B999,-1+SUMPRODUCT(MAX(ROW(E$2:E999)*(E1000=E$2:E999)))))</f>
        <v/>
      </c>
      <c r="J1000" s="14" t="str">
        <f aca="true">IF(OR(E1000="",E1000="!!!",F1000="NEW"),"",COUNTBLANK(OFFSET(A$1,,,SUMPRODUCT(MAX(ROW(E$2:E1000)*(E1000=E$2:E1000)))))-COUNTBLANK(OFFSET(A$1,,,SUMPRODUCT(MAX(ROW(E$1:E999)*(E1000=E$1:E999))))))</f>
        <v/>
      </c>
      <c r="K1000" s="14" t="str">
        <f aca="false">IF(OR(E1000="",E1000="!!!",F1000="NEW"),"",INDEX(J$1:J999,SUMPRODUCT(MAX(ROW(E$1:E999)*(E1000=E$1:E999)))))</f>
        <v/>
      </c>
      <c r="L1000" s="15"/>
    </row>
    <row r="1001" customFormat="false" ht="12.75" hidden="false" customHeight="false" outlineLevel="0" collapsed="false">
      <c r="A1001" s="0" t="s">
        <v>514</v>
      </c>
      <c r="B1001" s="0" t="s">
        <v>22</v>
      </c>
      <c r="C1001" s="0" t="s">
        <v>111</v>
      </c>
      <c r="D1001" s="0" t="s">
        <v>29</v>
      </c>
      <c r="E1001" s="9" t="str">
        <f aca="false">IF(D1001="?OLD","!!!","")</f>
        <v>!!!</v>
      </c>
      <c r="F1001" s="10" t="str">
        <f aca="false">IF(OR(E1001="",E1001="!!!"),"",IF(NOT(ISNA(VLOOKUP(E1001,E$1:E1000,1,FALSE()))),"OLD",IF(AND(E1001&lt;&gt;"",E1001&lt;&gt;"!!!"),"NEW","")))</f>
        <v/>
      </c>
      <c r="G1001" s="11" t="str">
        <f aca="false">IF(OR(E1001="",E1001="!!!"),"",IF(OR(J1001=0,AND(J1001=1,K1001=1),AND(J1001=1,I1001="SBJ"),AND(J1001=1,I1001=0)),"?IN_FOCUS",IF(J1001&lt;=2,"?ACTIVATED",IF(J1001&lt;&gt;"","?FAMILIAR",IF(F1001="NEW",IF(ISNA(VLOOKUP(E1001,#REF!,1,FALSE())),"?TYPE_IDENTIFIABLE","?REFERENTIAL"),"_")))))</f>
        <v/>
      </c>
      <c r="H1001" s="12" t="str">
        <f aca="false">IF(J1001&lt;&gt;1,"",IF(I1001="SBJ","CB","?"))</f>
        <v/>
      </c>
      <c r="I1001" s="13" t="str">
        <f aca="false">IF(OR(E1001="",E1001="!!!",F1001="NEW"),"",INDEX(B$2:B1000,-1+SUMPRODUCT(MAX(ROW(E$2:E1000)*(E1001=E$2:E1000)))))</f>
        <v/>
      </c>
      <c r="J1001" s="14" t="str">
        <f aca="true">IF(OR(E1001="",E1001="!!!",F1001="NEW"),"",COUNTBLANK(OFFSET(A$1,,,SUMPRODUCT(MAX(ROW(E$2:E1001)*(E1001=E$2:E1001)))))-COUNTBLANK(OFFSET(A$1,,,SUMPRODUCT(MAX(ROW(E$1:E1000)*(E1001=E$1:E1000))))))</f>
        <v/>
      </c>
      <c r="K1001" s="14" t="str">
        <f aca="false">IF(OR(E1001="",E1001="!!!",F1001="NEW"),"",INDEX(J$1:J1000,SUMPRODUCT(MAX(ROW(E$1:E1000)*(E1001=E$1:E1000)))))</f>
        <v/>
      </c>
      <c r="L1001" s="15"/>
    </row>
    <row r="1002" customFormat="false" ht="12.75" hidden="false" customHeight="false" outlineLevel="0" collapsed="false">
      <c r="A1002" s="0" t="s">
        <v>19</v>
      </c>
      <c r="E1002" s="9" t="str">
        <f aca="false">IF(D1002="?OLD","!!!","")</f>
        <v/>
      </c>
      <c r="F1002" s="10" t="str">
        <f aca="false">IF(OR(E1002="",E1002="!!!"),"",IF(NOT(ISNA(VLOOKUP(E1002,E$1:E1001,1,FALSE()))),"OLD",IF(AND(E1002&lt;&gt;"",E1002&lt;&gt;"!!!"),"NEW","")))</f>
        <v/>
      </c>
      <c r="G1002" s="11" t="str">
        <f aca="false">IF(OR(E1002="",E1002="!!!"),"",IF(OR(J1002=0,AND(J1002=1,K1002=1),AND(J1002=1,I1002="SBJ"),AND(J1002=1,I1002=0)),"?IN_FOCUS",IF(J1002&lt;=2,"?ACTIVATED",IF(J1002&lt;&gt;"","?FAMILIAR",IF(F1002="NEW",IF(ISNA(VLOOKUP(E1002,#REF!,1,FALSE())),"?TYPE_IDENTIFIABLE","?REFERENTIAL"),"_")))))</f>
        <v/>
      </c>
      <c r="H1002" s="12" t="str">
        <f aca="false">IF(J1002&lt;&gt;1,"",IF(I1002="SBJ","CB","?"))</f>
        <v/>
      </c>
      <c r="I1002" s="13" t="str">
        <f aca="false">IF(OR(E1002="",E1002="!!!",F1002="NEW"),"",INDEX(B$2:B1001,-1+SUMPRODUCT(MAX(ROW(E$2:E1001)*(E1002=E$2:E1001)))))</f>
        <v/>
      </c>
      <c r="J1002" s="14" t="str">
        <f aca="true">IF(OR(E1002="",E1002="!!!",F1002="NEW"),"",COUNTBLANK(OFFSET(A$1,,,SUMPRODUCT(MAX(ROW(E$2:E1002)*(E1002=E$2:E1002)))))-COUNTBLANK(OFFSET(A$1,,,SUMPRODUCT(MAX(ROW(E$1:E1001)*(E1002=E$1:E1001))))))</f>
        <v/>
      </c>
      <c r="K1002" s="14" t="str">
        <f aca="false">IF(OR(E1002="",E1002="!!!",F1002="NEW"),"",INDEX(J$1:J1001,SUMPRODUCT(MAX(ROW(E$1:E1001)*(E1002=E$1:E1001)))))</f>
        <v/>
      </c>
      <c r="L1002" s="15"/>
    </row>
    <row r="1003" customFormat="false" ht="12.75" hidden="false" customHeight="false" outlineLevel="0" collapsed="false">
      <c r="A1003" s="0" t="s">
        <v>66</v>
      </c>
      <c r="E1003" s="9" t="str">
        <f aca="false">IF(D1003="?OLD","!!!","")</f>
        <v/>
      </c>
      <c r="F1003" s="10" t="str">
        <f aca="false">IF(OR(E1003="",E1003="!!!"),"",IF(NOT(ISNA(VLOOKUP(E1003,E$1:E1002,1,FALSE()))),"OLD",IF(AND(E1003&lt;&gt;"",E1003&lt;&gt;"!!!"),"NEW","")))</f>
        <v/>
      </c>
      <c r="G1003" s="11" t="str">
        <f aca="false">IF(OR(E1003="",E1003="!!!"),"",IF(OR(J1003=0,AND(J1003=1,K1003=1),AND(J1003=1,I1003="SBJ"),AND(J1003=1,I1003=0)),"?IN_FOCUS",IF(J1003&lt;=2,"?ACTIVATED",IF(J1003&lt;&gt;"","?FAMILIAR",IF(F1003="NEW",IF(ISNA(VLOOKUP(E1003,#REF!,1,FALSE())),"?TYPE_IDENTIFIABLE","?REFERENTIAL"),"_")))))</f>
        <v/>
      </c>
      <c r="H1003" s="12" t="str">
        <f aca="false">IF(J1003&lt;&gt;1,"",IF(I1003="SBJ","CB","?"))</f>
        <v/>
      </c>
      <c r="I1003" s="13" t="str">
        <f aca="false">IF(OR(E1003="",E1003="!!!",F1003="NEW"),"",INDEX(B$2:B1002,-1+SUMPRODUCT(MAX(ROW(E$2:E1002)*(E1003=E$2:E1002)))))</f>
        <v/>
      </c>
      <c r="J1003" s="14" t="str">
        <f aca="true">IF(OR(E1003="",E1003="!!!",F1003="NEW"),"",COUNTBLANK(OFFSET(A$1,,,SUMPRODUCT(MAX(ROW(E$2:E1003)*(E1003=E$2:E1003)))))-COUNTBLANK(OFFSET(A$1,,,SUMPRODUCT(MAX(ROW(E$1:E1002)*(E1003=E$1:E1002))))))</f>
        <v/>
      </c>
      <c r="K1003" s="14" t="str">
        <f aca="false">IF(OR(E1003="",E1003="!!!",F1003="NEW"),"",INDEX(J$1:J1002,SUMPRODUCT(MAX(ROW(E$1:E1002)*(E1003=E$1:E1002)))))</f>
        <v/>
      </c>
      <c r="L1003" s="15"/>
    </row>
    <row r="1004" customFormat="false" ht="12.75" hidden="false" customHeight="false" outlineLevel="0" collapsed="false">
      <c r="A1004" s="0" t="s">
        <v>440</v>
      </c>
      <c r="B1004" s="0" t="s">
        <v>64</v>
      </c>
      <c r="C1004" s="0" t="s">
        <v>111</v>
      </c>
      <c r="D1004" s="0" t="s">
        <v>29</v>
      </c>
      <c r="E1004" s="9" t="str">
        <f aca="false">IF(D1004="?OLD","!!!","")</f>
        <v>!!!</v>
      </c>
      <c r="F1004" s="10" t="str">
        <f aca="false">IF(OR(E1004="",E1004="!!!"),"",IF(NOT(ISNA(VLOOKUP(E1004,E$1:E1003,1,FALSE()))),"OLD",IF(AND(E1004&lt;&gt;"",E1004&lt;&gt;"!!!"),"NEW","")))</f>
        <v/>
      </c>
      <c r="G1004" s="11" t="str">
        <f aca="false">IF(OR(E1004="",E1004="!!!"),"",IF(OR(J1004=0,AND(J1004=1,K1004=1),AND(J1004=1,I1004="SBJ"),AND(J1004=1,I1004=0)),"?IN_FOCUS",IF(J1004&lt;=2,"?ACTIVATED",IF(J1004&lt;&gt;"","?FAMILIAR",IF(F1004="NEW",IF(ISNA(VLOOKUP(E1004,#REF!,1,FALSE())),"?TYPE_IDENTIFIABLE","?REFERENTIAL"),"_")))))</f>
        <v/>
      </c>
      <c r="H1004" s="12" t="str">
        <f aca="false">IF(J1004&lt;&gt;1,"",IF(I1004="SBJ","CB","?"))</f>
        <v/>
      </c>
      <c r="I1004" s="13" t="str">
        <f aca="false">IF(OR(E1004="",E1004="!!!",F1004="NEW"),"",INDEX(B$2:B1003,-1+SUMPRODUCT(MAX(ROW(E$2:E1003)*(E1004=E$2:E1003)))))</f>
        <v/>
      </c>
      <c r="J1004" s="14" t="str">
        <f aca="true">IF(OR(E1004="",E1004="!!!",F1004="NEW"),"",COUNTBLANK(OFFSET(A$1,,,SUMPRODUCT(MAX(ROW(E$2:E1004)*(E1004=E$2:E1004)))))-COUNTBLANK(OFFSET(A$1,,,SUMPRODUCT(MAX(ROW(E$1:E1003)*(E1004=E$1:E1003))))))</f>
        <v/>
      </c>
      <c r="K1004" s="14" t="str">
        <f aca="false">IF(OR(E1004="",E1004="!!!",F1004="NEW"),"",INDEX(J$1:J1003,SUMPRODUCT(MAX(ROW(E$1:E1003)*(E1004=E$1:E1003)))))</f>
        <v/>
      </c>
      <c r="L1004" s="15"/>
    </row>
    <row r="1005" customFormat="false" ht="12.75" hidden="false" customHeight="false" outlineLevel="0" collapsed="false">
      <c r="A1005" s="0" t="s">
        <v>73</v>
      </c>
      <c r="E1005" s="9" t="str">
        <f aca="false">IF(D1005="?OLD","!!!","")</f>
        <v/>
      </c>
      <c r="F1005" s="10" t="str">
        <f aca="false">IF(OR(E1005="",E1005="!!!"),"",IF(NOT(ISNA(VLOOKUP(E1005,E$1:E1004,1,FALSE()))),"OLD",IF(AND(E1005&lt;&gt;"",E1005&lt;&gt;"!!!"),"NEW","")))</f>
        <v/>
      </c>
      <c r="G1005" s="11" t="str">
        <f aca="false">IF(OR(E1005="",E1005="!!!"),"",IF(OR(J1005=0,AND(J1005=1,K1005=1),AND(J1005=1,I1005="SBJ"),AND(J1005=1,I1005=0)),"?IN_FOCUS",IF(J1005&lt;=2,"?ACTIVATED",IF(J1005&lt;&gt;"","?FAMILIAR",IF(F1005="NEW",IF(ISNA(VLOOKUP(E1005,#REF!,1,FALSE())),"?TYPE_IDENTIFIABLE","?REFERENTIAL"),"_")))))</f>
        <v/>
      </c>
      <c r="H1005" s="12" t="str">
        <f aca="false">IF(J1005&lt;&gt;1,"",IF(I1005="SBJ","CB","?"))</f>
        <v/>
      </c>
      <c r="I1005" s="13" t="str">
        <f aca="false">IF(OR(E1005="",E1005="!!!",F1005="NEW"),"",INDEX(B$2:B1004,-1+SUMPRODUCT(MAX(ROW(E$2:E1004)*(E1005=E$2:E1004)))))</f>
        <v/>
      </c>
      <c r="J1005" s="14" t="str">
        <f aca="true">IF(OR(E1005="",E1005="!!!",F1005="NEW"),"",COUNTBLANK(OFFSET(A$1,,,SUMPRODUCT(MAX(ROW(E$2:E1005)*(E1005=E$2:E1005)))))-COUNTBLANK(OFFSET(A$1,,,SUMPRODUCT(MAX(ROW(E$1:E1004)*(E1005=E$1:E1004))))))</f>
        <v/>
      </c>
      <c r="K1005" s="14" t="str">
        <f aca="false">IF(OR(E1005="",E1005="!!!",F1005="NEW"),"",INDEX(J$1:J1004,SUMPRODUCT(MAX(ROW(E$1:E1004)*(E1005=E$1:E1004)))))</f>
        <v/>
      </c>
      <c r="L1005" s="15"/>
    </row>
    <row r="1006" customFormat="false" ht="12.75" hidden="false" customHeight="false" outlineLevel="0" collapsed="false">
      <c r="E1006" s="9" t="str">
        <f aca="false">IF(D1006="?OLD","!!!","")</f>
        <v/>
      </c>
      <c r="F1006" s="10" t="str">
        <f aca="false">IF(OR(E1006="",E1006="!!!"),"",IF(NOT(ISNA(VLOOKUP(E1006,E$1:E1005,1,FALSE()))),"OLD",IF(AND(E1006&lt;&gt;"",E1006&lt;&gt;"!!!"),"NEW","")))</f>
        <v/>
      </c>
      <c r="G1006" s="11" t="str">
        <f aca="false">IF(OR(E1006="",E1006="!!!"),"",IF(OR(J1006=0,AND(J1006=1,K1006=1),AND(J1006=1,I1006="SBJ"),AND(J1006=1,I1006=0)),"?IN_FOCUS",IF(J1006&lt;=2,"?ACTIVATED",IF(J1006&lt;&gt;"","?FAMILIAR",IF(F1006="NEW",IF(ISNA(VLOOKUP(E1006,#REF!,1,FALSE())),"?TYPE_IDENTIFIABLE","?REFERENTIAL"),"_")))))</f>
        <v/>
      </c>
      <c r="H1006" s="12" t="str">
        <f aca="false">IF(J1006&lt;&gt;1,"",IF(I1006="SBJ","CB","?"))</f>
        <v/>
      </c>
      <c r="I1006" s="13" t="str">
        <f aca="false">IF(OR(E1006="",E1006="!!!",F1006="NEW"),"",INDEX(B$2:B1005,-1+SUMPRODUCT(MAX(ROW(E$2:E1005)*(E1006=E$2:E1005)))))</f>
        <v/>
      </c>
      <c r="J1006" s="14" t="str">
        <f aca="true">IF(OR(E1006="",E1006="!!!",F1006="NEW"),"",COUNTBLANK(OFFSET(A$1,,,SUMPRODUCT(MAX(ROW(E$2:E1006)*(E1006=E$2:E1006)))))-COUNTBLANK(OFFSET(A$1,,,SUMPRODUCT(MAX(ROW(E$1:E1005)*(E1006=E$1:E1005))))))</f>
        <v/>
      </c>
      <c r="K1006" s="14" t="str">
        <f aca="false">IF(OR(E1006="",E1006="!!!",F1006="NEW"),"",INDEX(J$1:J1005,SUMPRODUCT(MAX(ROW(E$1:E1005)*(E1006=E$1:E1005)))))</f>
        <v/>
      </c>
      <c r="L1006" s="15"/>
    </row>
    <row r="1007" customFormat="false" ht="12.75" hidden="false" customHeight="false" outlineLevel="0" collapsed="false">
      <c r="A1007" s="0" t="s">
        <v>515</v>
      </c>
      <c r="E1007" s="9" t="str">
        <f aca="false">IF(D1007="?OLD","!!!","")</f>
        <v/>
      </c>
      <c r="F1007" s="10" t="str">
        <f aca="false">IF(OR(E1007="",E1007="!!!"),"",IF(NOT(ISNA(VLOOKUP(E1007,E$1:E1006,1,FALSE()))),"OLD",IF(AND(E1007&lt;&gt;"",E1007&lt;&gt;"!!!"),"NEW","")))</f>
        <v/>
      </c>
      <c r="G1007" s="11" t="str">
        <f aca="false">IF(OR(E1007="",E1007="!!!"),"",IF(OR(J1007=0,AND(J1007=1,K1007=1),AND(J1007=1,I1007="SBJ"),AND(J1007=1,I1007=0)),"?IN_FOCUS",IF(J1007&lt;=2,"?ACTIVATED",IF(J1007&lt;&gt;"","?FAMILIAR",IF(F1007="NEW",IF(ISNA(VLOOKUP(E1007,#REF!,1,FALSE())),"?TYPE_IDENTIFIABLE","?REFERENTIAL"),"_")))))</f>
        <v/>
      </c>
      <c r="H1007" s="12" t="str">
        <f aca="false">IF(J1007&lt;&gt;1,"",IF(I1007="SBJ","CB","?"))</f>
        <v/>
      </c>
      <c r="I1007" s="13" t="str">
        <f aca="false">IF(OR(E1007="",E1007="!!!",F1007="NEW"),"",INDEX(B$2:B1006,-1+SUMPRODUCT(MAX(ROW(E$2:E1006)*(E1007=E$2:E1006)))))</f>
        <v/>
      </c>
      <c r="J1007" s="14" t="str">
        <f aca="true">IF(OR(E1007="",E1007="!!!",F1007="NEW"),"",COUNTBLANK(OFFSET(A$1,,,SUMPRODUCT(MAX(ROW(E$2:E1007)*(E1007=E$2:E1007)))))-COUNTBLANK(OFFSET(A$1,,,SUMPRODUCT(MAX(ROW(E$1:E1006)*(E1007=E$1:E1006))))))</f>
        <v/>
      </c>
      <c r="K1007" s="14" t="str">
        <f aca="false">IF(OR(E1007="",E1007="!!!",F1007="NEW"),"",INDEX(J$1:J1006,SUMPRODUCT(MAX(ROW(E$1:E1006)*(E1007=E$1:E1006)))))</f>
        <v/>
      </c>
      <c r="L1007" s="15"/>
    </row>
    <row r="1008" customFormat="false" ht="12.75" hidden="false" customHeight="false" outlineLevel="0" collapsed="false">
      <c r="A1008" s="0" t="s">
        <v>311</v>
      </c>
      <c r="E1008" s="9" t="str">
        <f aca="false">IF(D1008="?OLD","!!!","")</f>
        <v/>
      </c>
      <c r="F1008" s="10" t="str">
        <f aca="false">IF(OR(E1008="",E1008="!!!"),"",IF(NOT(ISNA(VLOOKUP(E1008,E$1:E1007,1,FALSE()))),"OLD",IF(AND(E1008&lt;&gt;"",E1008&lt;&gt;"!!!"),"NEW","")))</f>
        <v/>
      </c>
      <c r="G1008" s="11" t="str">
        <f aca="false">IF(OR(E1008="",E1008="!!!"),"",IF(OR(J1008=0,AND(J1008=1,K1008=1),AND(J1008=1,I1008="SBJ"),AND(J1008=1,I1008=0)),"?IN_FOCUS",IF(J1008&lt;=2,"?ACTIVATED",IF(J1008&lt;&gt;"","?FAMILIAR",IF(F1008="NEW",IF(ISNA(VLOOKUP(E1008,#REF!,1,FALSE())),"?TYPE_IDENTIFIABLE","?REFERENTIAL"),"_")))))</f>
        <v/>
      </c>
      <c r="H1008" s="12" t="str">
        <f aca="false">IF(J1008&lt;&gt;1,"",IF(I1008="SBJ","CB","?"))</f>
        <v/>
      </c>
      <c r="I1008" s="13" t="str">
        <f aca="false">IF(OR(E1008="",E1008="!!!",F1008="NEW"),"",INDEX(B$2:B1007,-1+SUMPRODUCT(MAX(ROW(E$2:E1007)*(E1008=E$2:E1007)))))</f>
        <v/>
      </c>
      <c r="J1008" s="14" t="str">
        <f aca="true">IF(OR(E1008="",E1008="!!!",F1008="NEW"),"",COUNTBLANK(OFFSET(A$1,,,SUMPRODUCT(MAX(ROW(E$2:E1008)*(E1008=E$2:E1008)))))-COUNTBLANK(OFFSET(A$1,,,SUMPRODUCT(MAX(ROW(E$1:E1007)*(E1008=E$1:E1007))))))</f>
        <v/>
      </c>
      <c r="K1008" s="14" t="str">
        <f aca="false">IF(OR(E1008="",E1008="!!!",F1008="NEW"),"",INDEX(J$1:J1007,SUMPRODUCT(MAX(ROW(E$1:E1007)*(E1008=E$1:E1007)))))</f>
        <v/>
      </c>
      <c r="L1008" s="15"/>
    </row>
    <row r="1009" customFormat="false" ht="12.75" hidden="false" customHeight="false" outlineLevel="0" collapsed="false">
      <c r="A1009" s="0" t="s">
        <v>516</v>
      </c>
      <c r="B1009" s="0" t="s">
        <v>14</v>
      </c>
      <c r="C1009" s="0" t="s">
        <v>43</v>
      </c>
      <c r="E1009" s="9" t="str">
        <f aca="false">IF(D1009="?OLD","!!!","")</f>
        <v/>
      </c>
      <c r="F1009" s="10" t="str">
        <f aca="false">IF(OR(E1009="",E1009="!!!"),"",IF(NOT(ISNA(VLOOKUP(E1009,E$1:E1008,1,FALSE()))),"OLD",IF(AND(E1009&lt;&gt;"",E1009&lt;&gt;"!!!"),"NEW","")))</f>
        <v/>
      </c>
      <c r="G1009" s="11" t="str">
        <f aca="false">IF(OR(E1009="",E1009="!!!"),"",IF(OR(J1009=0,AND(J1009=1,K1009=1),AND(J1009=1,I1009="SBJ"),AND(J1009=1,I1009=0)),"?IN_FOCUS",IF(J1009&lt;=2,"?ACTIVATED",IF(J1009&lt;&gt;"","?FAMILIAR",IF(F1009="NEW",IF(ISNA(VLOOKUP(E1009,#REF!,1,FALSE())),"?TYPE_IDENTIFIABLE","?REFERENTIAL"),"_")))))</f>
        <v/>
      </c>
      <c r="H1009" s="12" t="str">
        <f aca="false">IF(J1009&lt;&gt;1,"",IF(I1009="SBJ","CB","?"))</f>
        <v/>
      </c>
      <c r="I1009" s="13" t="str">
        <f aca="false">IF(OR(E1009="",E1009="!!!",F1009="NEW"),"",INDEX(B$2:B1008,-1+SUMPRODUCT(MAX(ROW(E$2:E1008)*(E1009=E$2:E1008)))))</f>
        <v/>
      </c>
      <c r="J1009" s="14" t="str">
        <f aca="true">IF(OR(E1009="",E1009="!!!",F1009="NEW"),"",COUNTBLANK(OFFSET(A$1,,,SUMPRODUCT(MAX(ROW(E$2:E1009)*(E1009=E$2:E1009)))))-COUNTBLANK(OFFSET(A$1,,,SUMPRODUCT(MAX(ROW(E$1:E1008)*(E1009=E$1:E1008))))))</f>
        <v/>
      </c>
      <c r="K1009" s="14" t="str">
        <f aca="false">IF(OR(E1009="",E1009="!!!",F1009="NEW"),"",INDEX(J$1:J1008,SUMPRODUCT(MAX(ROW(E$1:E1008)*(E1009=E$1:E1008)))))</f>
        <v/>
      </c>
      <c r="L1009" s="15"/>
    </row>
    <row r="1010" customFormat="false" ht="12.75" hidden="false" customHeight="false" outlineLevel="0" collapsed="false">
      <c r="A1010" s="0" t="s">
        <v>517</v>
      </c>
      <c r="E1010" s="9" t="str">
        <f aca="false">IF(D1010="?OLD","!!!","")</f>
        <v/>
      </c>
      <c r="F1010" s="10" t="str">
        <f aca="false">IF(OR(E1010="",E1010="!!!"),"",IF(NOT(ISNA(VLOOKUP(E1010,E$1:E1009,1,FALSE()))),"OLD",IF(AND(E1010&lt;&gt;"",E1010&lt;&gt;"!!!"),"NEW","")))</f>
        <v/>
      </c>
      <c r="G1010" s="11" t="str">
        <f aca="false">IF(OR(E1010="",E1010="!!!"),"",IF(OR(J1010=0,AND(J1010=1,K1010=1),AND(J1010=1,I1010="SBJ"),AND(J1010=1,I1010=0)),"?IN_FOCUS",IF(J1010&lt;=2,"?ACTIVATED",IF(J1010&lt;&gt;"","?FAMILIAR",IF(F1010="NEW",IF(ISNA(VLOOKUP(E1010,#REF!,1,FALSE())),"?TYPE_IDENTIFIABLE","?REFERENTIAL"),"_")))))</f>
        <v/>
      </c>
      <c r="H1010" s="12" t="str">
        <f aca="false">IF(J1010&lt;&gt;1,"",IF(I1010="SBJ","CB","?"))</f>
        <v/>
      </c>
      <c r="I1010" s="13" t="str">
        <f aca="false">IF(OR(E1010="",E1010="!!!",F1010="NEW"),"",INDEX(B$2:B1009,-1+SUMPRODUCT(MAX(ROW(E$2:E1009)*(E1010=E$2:E1009)))))</f>
        <v/>
      </c>
      <c r="J1010" s="14" t="str">
        <f aca="true">IF(OR(E1010="",E1010="!!!",F1010="NEW"),"",COUNTBLANK(OFFSET(A$1,,,SUMPRODUCT(MAX(ROW(E$2:E1010)*(E1010=E$2:E1010)))))-COUNTBLANK(OFFSET(A$1,,,SUMPRODUCT(MAX(ROW(E$1:E1009)*(E1010=E$1:E1009))))))</f>
        <v/>
      </c>
      <c r="K1010" s="14" t="str">
        <f aca="false">IF(OR(E1010="",E1010="!!!",F1010="NEW"),"",INDEX(J$1:J1009,SUMPRODUCT(MAX(ROW(E$1:E1009)*(E1010=E$1:E1009)))))</f>
        <v/>
      </c>
      <c r="L1010" s="15"/>
    </row>
    <row r="1011" customFormat="false" ht="12.75" hidden="false" customHeight="false" outlineLevel="0" collapsed="false">
      <c r="A1011" s="0" t="s">
        <v>136</v>
      </c>
      <c r="E1011" s="9" t="str">
        <f aca="false">IF(D1011="?OLD","!!!","")</f>
        <v/>
      </c>
      <c r="F1011" s="10" t="str">
        <f aca="false">IF(OR(E1011="",E1011="!!!"),"",IF(NOT(ISNA(VLOOKUP(E1011,E$1:E1010,1,FALSE()))),"OLD",IF(AND(E1011&lt;&gt;"",E1011&lt;&gt;"!!!"),"NEW","")))</f>
        <v/>
      </c>
      <c r="G1011" s="11" t="str">
        <f aca="false">IF(OR(E1011="",E1011="!!!"),"",IF(OR(J1011=0,AND(J1011=1,K1011=1),AND(J1011=1,I1011="SBJ"),AND(J1011=1,I1011=0)),"?IN_FOCUS",IF(J1011&lt;=2,"?ACTIVATED",IF(J1011&lt;&gt;"","?FAMILIAR",IF(F1011="NEW",IF(ISNA(VLOOKUP(E1011,#REF!,1,FALSE())),"?TYPE_IDENTIFIABLE","?REFERENTIAL"),"_")))))</f>
        <v/>
      </c>
      <c r="H1011" s="12" t="str">
        <f aca="false">IF(J1011&lt;&gt;1,"",IF(I1011="SBJ","CB","?"))</f>
        <v/>
      </c>
      <c r="I1011" s="13" t="str">
        <f aca="false">IF(OR(E1011="",E1011="!!!",F1011="NEW"),"",INDEX(B$2:B1010,-1+SUMPRODUCT(MAX(ROW(E$2:E1010)*(E1011=E$2:E1010)))))</f>
        <v/>
      </c>
      <c r="J1011" s="14" t="str">
        <f aca="true">IF(OR(E1011="",E1011="!!!",F1011="NEW"),"",COUNTBLANK(OFFSET(A$1,,,SUMPRODUCT(MAX(ROW(E$2:E1011)*(E1011=E$2:E1011)))))-COUNTBLANK(OFFSET(A$1,,,SUMPRODUCT(MAX(ROW(E$1:E1010)*(E1011=E$1:E1010))))))</f>
        <v/>
      </c>
      <c r="K1011" s="14" t="str">
        <f aca="false">IF(OR(E1011="",E1011="!!!",F1011="NEW"),"",INDEX(J$1:J1010,SUMPRODUCT(MAX(ROW(E$1:E1010)*(E1011=E$1:E1010)))))</f>
        <v/>
      </c>
      <c r="L1011" s="15"/>
    </row>
    <row r="1012" customFormat="false" ht="12.75" hidden="false" customHeight="false" outlineLevel="0" collapsed="false">
      <c r="A1012" s="0" t="s">
        <v>40</v>
      </c>
      <c r="E1012" s="9" t="str">
        <f aca="false">IF(D1012="?OLD","!!!","")</f>
        <v/>
      </c>
      <c r="F1012" s="10" t="str">
        <f aca="false">IF(OR(E1012="",E1012="!!!"),"",IF(NOT(ISNA(VLOOKUP(E1012,E$1:E1011,1,FALSE()))),"OLD",IF(AND(E1012&lt;&gt;"",E1012&lt;&gt;"!!!"),"NEW","")))</f>
        <v/>
      </c>
      <c r="G1012" s="11" t="str">
        <f aca="false">IF(OR(E1012="",E1012="!!!"),"",IF(OR(J1012=0,AND(J1012=1,K1012=1),AND(J1012=1,I1012="SBJ"),AND(J1012=1,I1012=0)),"?IN_FOCUS",IF(J1012&lt;=2,"?ACTIVATED",IF(J1012&lt;&gt;"","?FAMILIAR",IF(F1012="NEW",IF(ISNA(VLOOKUP(E1012,#REF!,1,FALSE())),"?TYPE_IDENTIFIABLE","?REFERENTIAL"),"_")))))</f>
        <v/>
      </c>
      <c r="H1012" s="12" t="str">
        <f aca="false">IF(J1012&lt;&gt;1,"",IF(I1012="SBJ","CB","?"))</f>
        <v/>
      </c>
      <c r="I1012" s="13" t="str">
        <f aca="false">IF(OR(E1012="",E1012="!!!",F1012="NEW"),"",INDEX(B$2:B1011,-1+SUMPRODUCT(MAX(ROW(E$2:E1011)*(E1012=E$2:E1011)))))</f>
        <v/>
      </c>
      <c r="J1012" s="14" t="str">
        <f aca="true">IF(OR(E1012="",E1012="!!!",F1012="NEW"),"",COUNTBLANK(OFFSET(A$1,,,SUMPRODUCT(MAX(ROW(E$2:E1012)*(E1012=E$2:E1012)))))-COUNTBLANK(OFFSET(A$1,,,SUMPRODUCT(MAX(ROW(E$1:E1011)*(E1012=E$1:E1011))))))</f>
        <v/>
      </c>
      <c r="K1012" s="14" t="str">
        <f aca="false">IF(OR(E1012="",E1012="!!!",F1012="NEW"),"",INDEX(J$1:J1011,SUMPRODUCT(MAX(ROW(E$1:E1011)*(E1012=E$1:E1011)))))</f>
        <v/>
      </c>
      <c r="L1012" s="15"/>
    </row>
    <row r="1013" customFormat="false" ht="12.75" hidden="false" customHeight="false" outlineLevel="0" collapsed="false">
      <c r="A1013" s="0" t="s">
        <v>518</v>
      </c>
      <c r="B1013" s="0" t="s">
        <v>62</v>
      </c>
      <c r="C1013" s="0" t="s">
        <v>43</v>
      </c>
      <c r="E1013" s="9" t="str">
        <f aca="false">IF(D1013="?OLD","!!!","")</f>
        <v/>
      </c>
      <c r="F1013" s="10" t="str">
        <f aca="false">IF(OR(E1013="",E1013="!!!"),"",IF(NOT(ISNA(VLOOKUP(E1013,E$1:E1012,1,FALSE()))),"OLD",IF(AND(E1013&lt;&gt;"",E1013&lt;&gt;"!!!"),"NEW","")))</f>
        <v/>
      </c>
      <c r="G1013" s="11" t="str">
        <f aca="false">IF(OR(E1013="",E1013="!!!"),"",IF(OR(J1013=0,AND(J1013=1,K1013=1),AND(J1013=1,I1013="SBJ"),AND(J1013=1,I1013=0)),"?IN_FOCUS",IF(J1013&lt;=2,"?ACTIVATED",IF(J1013&lt;&gt;"","?FAMILIAR",IF(F1013="NEW",IF(ISNA(VLOOKUP(E1013,#REF!,1,FALSE())),"?TYPE_IDENTIFIABLE","?REFERENTIAL"),"_")))))</f>
        <v/>
      </c>
      <c r="H1013" s="12" t="str">
        <f aca="false">IF(J1013&lt;&gt;1,"",IF(I1013="SBJ","CB","?"))</f>
        <v/>
      </c>
      <c r="I1013" s="13" t="str">
        <f aca="false">IF(OR(E1013="",E1013="!!!",F1013="NEW"),"",INDEX(B$2:B1012,-1+SUMPRODUCT(MAX(ROW(E$2:E1012)*(E1013=E$2:E1012)))))</f>
        <v/>
      </c>
      <c r="J1013" s="14" t="str">
        <f aca="true">IF(OR(E1013="",E1013="!!!",F1013="NEW"),"",COUNTBLANK(OFFSET(A$1,,,SUMPRODUCT(MAX(ROW(E$2:E1013)*(E1013=E$2:E1013)))))-COUNTBLANK(OFFSET(A$1,,,SUMPRODUCT(MAX(ROW(E$1:E1012)*(E1013=E$1:E1012))))))</f>
        <v/>
      </c>
      <c r="K1013" s="14" t="str">
        <f aca="false">IF(OR(E1013="",E1013="!!!",F1013="NEW"),"",INDEX(J$1:J1012,SUMPRODUCT(MAX(ROW(E$1:E1012)*(E1013=E$1:E1012)))))</f>
        <v/>
      </c>
      <c r="L1013" s="15"/>
    </row>
    <row r="1014" customFormat="false" ht="12.75" hidden="false" customHeight="false" outlineLevel="0" collapsed="false">
      <c r="A1014" s="0" t="s">
        <v>31</v>
      </c>
      <c r="E1014" s="9" t="str">
        <f aca="false">IF(D1014="?OLD","!!!","")</f>
        <v/>
      </c>
      <c r="F1014" s="10" t="str">
        <f aca="false">IF(OR(E1014="",E1014="!!!"),"",IF(NOT(ISNA(VLOOKUP(E1014,E$1:E1013,1,FALSE()))),"OLD",IF(AND(E1014&lt;&gt;"",E1014&lt;&gt;"!!!"),"NEW","")))</f>
        <v/>
      </c>
      <c r="G1014" s="11" t="str">
        <f aca="false">IF(OR(E1014="",E1014="!!!"),"",IF(OR(J1014=0,AND(J1014=1,K1014=1),AND(J1014=1,I1014="SBJ"),AND(J1014=1,I1014=0)),"?IN_FOCUS",IF(J1014&lt;=2,"?ACTIVATED",IF(J1014&lt;&gt;"","?FAMILIAR",IF(F1014="NEW",IF(ISNA(VLOOKUP(E1014,#REF!,1,FALSE())),"?TYPE_IDENTIFIABLE","?REFERENTIAL"),"_")))))</f>
        <v/>
      </c>
      <c r="H1014" s="12" t="str">
        <f aca="false">IF(J1014&lt;&gt;1,"",IF(I1014="SBJ","CB","?"))</f>
        <v/>
      </c>
      <c r="I1014" s="13" t="str">
        <f aca="false">IF(OR(E1014="",E1014="!!!",F1014="NEW"),"",INDEX(B$2:B1013,-1+SUMPRODUCT(MAX(ROW(E$2:E1013)*(E1014=E$2:E1013)))))</f>
        <v/>
      </c>
      <c r="J1014" s="14" t="str">
        <f aca="true">IF(OR(E1014="",E1014="!!!",F1014="NEW"),"",COUNTBLANK(OFFSET(A$1,,,SUMPRODUCT(MAX(ROW(E$2:E1014)*(E1014=E$2:E1014)))))-COUNTBLANK(OFFSET(A$1,,,SUMPRODUCT(MAX(ROW(E$1:E1013)*(E1014=E$1:E1013))))))</f>
        <v/>
      </c>
      <c r="K1014" s="14" t="str">
        <f aca="false">IF(OR(E1014="",E1014="!!!",F1014="NEW"),"",INDEX(J$1:J1013,SUMPRODUCT(MAX(ROW(E$1:E1013)*(E1014=E$1:E1013)))))</f>
        <v/>
      </c>
      <c r="L1014" s="15"/>
    </row>
    <row r="1015" customFormat="false" ht="12.75" hidden="false" customHeight="false" outlineLevel="0" collapsed="false">
      <c r="A1015" s="0" t="s">
        <v>88</v>
      </c>
      <c r="E1015" s="9" t="str">
        <f aca="false">IF(D1015="?OLD","!!!","")</f>
        <v/>
      </c>
      <c r="F1015" s="10" t="str">
        <f aca="false">IF(OR(E1015="",E1015="!!!"),"",IF(NOT(ISNA(VLOOKUP(E1015,E$1:E1014,1,FALSE()))),"OLD",IF(AND(E1015&lt;&gt;"",E1015&lt;&gt;"!!!"),"NEW","")))</f>
        <v/>
      </c>
      <c r="G1015" s="11" t="str">
        <f aca="false">IF(OR(E1015="",E1015="!!!"),"",IF(OR(J1015=0,AND(J1015=1,K1015=1),AND(J1015=1,I1015="SBJ"),AND(J1015=1,I1015=0)),"?IN_FOCUS",IF(J1015&lt;=2,"?ACTIVATED",IF(J1015&lt;&gt;"","?FAMILIAR",IF(F1015="NEW",IF(ISNA(VLOOKUP(E1015,#REF!,1,FALSE())),"?TYPE_IDENTIFIABLE","?REFERENTIAL"),"_")))))</f>
        <v/>
      </c>
      <c r="H1015" s="12" t="str">
        <f aca="false">IF(J1015&lt;&gt;1,"",IF(I1015="SBJ","CB","?"))</f>
        <v/>
      </c>
      <c r="I1015" s="13" t="str">
        <f aca="false">IF(OR(E1015="",E1015="!!!",F1015="NEW"),"",INDEX(B$2:B1014,-1+SUMPRODUCT(MAX(ROW(E$2:E1014)*(E1015=E$2:E1014)))))</f>
        <v/>
      </c>
      <c r="J1015" s="14" t="str">
        <f aca="true">IF(OR(E1015="",E1015="!!!",F1015="NEW"),"",COUNTBLANK(OFFSET(A$1,,,SUMPRODUCT(MAX(ROW(E$2:E1015)*(E1015=E$2:E1015)))))-COUNTBLANK(OFFSET(A$1,,,SUMPRODUCT(MAX(ROW(E$1:E1014)*(E1015=E$1:E1014))))))</f>
        <v/>
      </c>
      <c r="K1015" s="14" t="str">
        <f aca="false">IF(OR(E1015="",E1015="!!!",F1015="NEW"),"",INDEX(J$1:J1014,SUMPRODUCT(MAX(ROW(E$1:E1014)*(E1015=E$1:E1014)))))</f>
        <v/>
      </c>
      <c r="L1015" s="15"/>
    </row>
    <row r="1016" customFormat="false" ht="12.75" hidden="false" customHeight="false" outlineLevel="0" collapsed="false">
      <c r="A1016" s="0" t="s">
        <v>117</v>
      </c>
      <c r="E1016" s="9" t="str">
        <f aca="false">IF(D1016="?OLD","!!!","")</f>
        <v/>
      </c>
      <c r="F1016" s="10" t="str">
        <f aca="false">IF(OR(E1016="",E1016="!!!"),"",IF(NOT(ISNA(VLOOKUP(E1016,E$1:E1015,1,FALSE()))),"OLD",IF(AND(E1016&lt;&gt;"",E1016&lt;&gt;"!!!"),"NEW","")))</f>
        <v/>
      </c>
      <c r="G1016" s="11" t="str">
        <f aca="false">IF(OR(E1016="",E1016="!!!"),"",IF(OR(J1016=0,AND(J1016=1,K1016=1),AND(J1016=1,I1016="SBJ"),AND(J1016=1,I1016=0)),"?IN_FOCUS",IF(J1016&lt;=2,"?ACTIVATED",IF(J1016&lt;&gt;"","?FAMILIAR",IF(F1016="NEW",IF(ISNA(VLOOKUP(E1016,#REF!,1,FALSE())),"?TYPE_IDENTIFIABLE","?REFERENTIAL"),"_")))))</f>
        <v/>
      </c>
      <c r="H1016" s="12" t="str">
        <f aca="false">IF(J1016&lt;&gt;1,"",IF(I1016="SBJ","CB","?"))</f>
        <v/>
      </c>
      <c r="I1016" s="13" t="str">
        <f aca="false">IF(OR(E1016="",E1016="!!!",F1016="NEW"),"",INDEX(B$2:B1015,-1+SUMPRODUCT(MAX(ROW(E$2:E1015)*(E1016=E$2:E1015)))))</f>
        <v/>
      </c>
      <c r="J1016" s="14" t="str">
        <f aca="true">IF(OR(E1016="",E1016="!!!",F1016="NEW"),"",COUNTBLANK(OFFSET(A$1,,,SUMPRODUCT(MAX(ROW(E$2:E1016)*(E1016=E$2:E1016)))))-COUNTBLANK(OFFSET(A$1,,,SUMPRODUCT(MAX(ROW(E$1:E1015)*(E1016=E$1:E1015))))))</f>
        <v/>
      </c>
      <c r="K1016" s="14" t="str">
        <f aca="false">IF(OR(E1016="",E1016="!!!",F1016="NEW"),"",INDEX(J$1:J1015,SUMPRODUCT(MAX(ROW(E$1:E1015)*(E1016=E$1:E1015)))))</f>
        <v/>
      </c>
      <c r="L1016" s="15"/>
    </row>
    <row r="1017" customFormat="false" ht="12.75" hidden="false" customHeight="false" outlineLevel="0" collapsed="false">
      <c r="A1017" s="0" t="s">
        <v>46</v>
      </c>
      <c r="B1017" s="0" t="s">
        <v>47</v>
      </c>
      <c r="C1017" s="0" t="s">
        <v>38</v>
      </c>
      <c r="D1017" s="0" t="s">
        <v>29</v>
      </c>
      <c r="E1017" s="9" t="str">
        <f aca="false">IF(D1017="?OLD","!!!","")</f>
        <v>!!!</v>
      </c>
      <c r="F1017" s="10" t="str">
        <f aca="false">IF(OR(E1017="",E1017="!!!"),"",IF(NOT(ISNA(VLOOKUP(E1017,E$1:E1016,1,FALSE()))),"OLD",IF(AND(E1017&lt;&gt;"",E1017&lt;&gt;"!!!"),"NEW","")))</f>
        <v/>
      </c>
      <c r="G1017" s="11" t="str">
        <f aca="false">IF(OR(E1017="",E1017="!!!"),"",IF(OR(J1017=0,AND(J1017=1,K1017=1),AND(J1017=1,I1017="SBJ"),AND(J1017=1,I1017=0)),"?IN_FOCUS",IF(J1017&lt;=2,"?ACTIVATED",IF(J1017&lt;&gt;"","?FAMILIAR",IF(F1017="NEW",IF(ISNA(VLOOKUP(E1017,#REF!,1,FALSE())),"?TYPE_IDENTIFIABLE","?REFERENTIAL"),"_")))))</f>
        <v/>
      </c>
      <c r="H1017" s="12" t="str">
        <f aca="false">IF(J1017&lt;&gt;1,"",IF(I1017="SBJ","CB","?"))</f>
        <v/>
      </c>
      <c r="I1017" s="13" t="str">
        <f aca="false">IF(OR(E1017="",E1017="!!!",F1017="NEW"),"",INDEX(B$2:B1016,-1+SUMPRODUCT(MAX(ROW(E$2:E1016)*(E1017=E$2:E1016)))))</f>
        <v/>
      </c>
      <c r="J1017" s="14" t="str">
        <f aca="true">IF(OR(E1017="",E1017="!!!",F1017="NEW"),"",COUNTBLANK(OFFSET(A$1,,,SUMPRODUCT(MAX(ROW(E$2:E1017)*(E1017=E$2:E1017)))))-COUNTBLANK(OFFSET(A$1,,,SUMPRODUCT(MAX(ROW(E$1:E1016)*(E1017=E$1:E1016))))))</f>
        <v/>
      </c>
      <c r="K1017" s="14" t="str">
        <f aca="false">IF(OR(E1017="",E1017="!!!",F1017="NEW"),"",INDEX(J$1:J1016,SUMPRODUCT(MAX(ROW(E$1:E1016)*(E1017=E$1:E1016)))))</f>
        <v/>
      </c>
      <c r="L1017" s="15"/>
    </row>
    <row r="1018" customFormat="false" ht="12.75" hidden="false" customHeight="false" outlineLevel="0" collapsed="false">
      <c r="A1018" s="0" t="s">
        <v>229</v>
      </c>
      <c r="E1018" s="9" t="str">
        <f aca="false">IF(D1018="?OLD","!!!","")</f>
        <v/>
      </c>
      <c r="F1018" s="10" t="str">
        <f aca="false">IF(OR(E1018="",E1018="!!!"),"",IF(NOT(ISNA(VLOOKUP(E1018,E$1:E1017,1,FALSE()))),"OLD",IF(AND(E1018&lt;&gt;"",E1018&lt;&gt;"!!!"),"NEW","")))</f>
        <v/>
      </c>
      <c r="G1018" s="11" t="str">
        <f aca="false">IF(OR(E1018="",E1018="!!!"),"",IF(OR(J1018=0,AND(J1018=1,K1018=1),AND(J1018=1,I1018="SBJ"),AND(J1018=1,I1018=0)),"?IN_FOCUS",IF(J1018&lt;=2,"?ACTIVATED",IF(J1018&lt;&gt;"","?FAMILIAR",IF(F1018="NEW",IF(ISNA(VLOOKUP(E1018,#REF!,1,FALSE())),"?TYPE_IDENTIFIABLE","?REFERENTIAL"),"_")))))</f>
        <v/>
      </c>
      <c r="H1018" s="12" t="str">
        <f aca="false">IF(J1018&lt;&gt;1,"",IF(I1018="SBJ","CB","?"))</f>
        <v/>
      </c>
      <c r="I1018" s="13" t="str">
        <f aca="false">IF(OR(E1018="",E1018="!!!",F1018="NEW"),"",INDEX(B$2:B1017,-1+SUMPRODUCT(MAX(ROW(E$2:E1017)*(E1018=E$2:E1017)))))</f>
        <v/>
      </c>
      <c r="J1018" s="14" t="str">
        <f aca="true">IF(OR(E1018="",E1018="!!!",F1018="NEW"),"",COUNTBLANK(OFFSET(A$1,,,SUMPRODUCT(MAX(ROW(E$2:E1018)*(E1018=E$2:E1018)))))-COUNTBLANK(OFFSET(A$1,,,SUMPRODUCT(MAX(ROW(E$1:E1017)*(E1018=E$1:E1017))))))</f>
        <v/>
      </c>
      <c r="K1018" s="14" t="str">
        <f aca="false">IF(OR(E1018="",E1018="!!!",F1018="NEW"),"",INDEX(J$1:J1017,SUMPRODUCT(MAX(ROW(E$1:E1017)*(E1018=E$1:E1017)))))</f>
        <v/>
      </c>
      <c r="L1018" s="15"/>
    </row>
    <row r="1019" customFormat="false" ht="12.75" hidden="false" customHeight="false" outlineLevel="0" collapsed="false">
      <c r="A1019" s="0" t="s">
        <v>136</v>
      </c>
      <c r="E1019" s="9" t="str">
        <f aca="false">IF(D1019="?OLD","!!!","")</f>
        <v/>
      </c>
      <c r="F1019" s="10" t="str">
        <f aca="false">IF(OR(E1019="",E1019="!!!"),"",IF(NOT(ISNA(VLOOKUP(E1019,E$1:E1018,1,FALSE()))),"OLD",IF(AND(E1019&lt;&gt;"",E1019&lt;&gt;"!!!"),"NEW","")))</f>
        <v/>
      </c>
      <c r="G1019" s="11" t="str">
        <f aca="false">IF(OR(E1019="",E1019="!!!"),"",IF(OR(J1019=0,AND(J1019=1,K1019=1),AND(J1019=1,I1019="SBJ"),AND(J1019=1,I1019=0)),"?IN_FOCUS",IF(J1019&lt;=2,"?ACTIVATED",IF(J1019&lt;&gt;"","?FAMILIAR",IF(F1019="NEW",IF(ISNA(VLOOKUP(E1019,#REF!,1,FALSE())),"?TYPE_IDENTIFIABLE","?REFERENTIAL"),"_")))))</f>
        <v/>
      </c>
      <c r="H1019" s="12" t="str">
        <f aca="false">IF(J1019&lt;&gt;1,"",IF(I1019="SBJ","CB","?"))</f>
        <v/>
      </c>
      <c r="I1019" s="13" t="str">
        <f aca="false">IF(OR(E1019="",E1019="!!!",F1019="NEW"),"",INDEX(B$2:B1018,-1+SUMPRODUCT(MAX(ROW(E$2:E1018)*(E1019=E$2:E1018)))))</f>
        <v/>
      </c>
      <c r="J1019" s="14" t="str">
        <f aca="true">IF(OR(E1019="",E1019="!!!",F1019="NEW"),"",COUNTBLANK(OFFSET(A$1,,,SUMPRODUCT(MAX(ROW(E$2:E1019)*(E1019=E$2:E1019)))))-COUNTBLANK(OFFSET(A$1,,,SUMPRODUCT(MAX(ROW(E$1:E1018)*(E1019=E$1:E1018))))))</f>
        <v/>
      </c>
      <c r="K1019" s="14" t="str">
        <f aca="false">IF(OR(E1019="",E1019="!!!",F1019="NEW"),"",INDEX(J$1:J1018,SUMPRODUCT(MAX(ROW(E$1:E1018)*(E1019=E$1:E1018)))))</f>
        <v/>
      </c>
      <c r="L1019" s="15"/>
    </row>
    <row r="1020" customFormat="false" ht="12.75" hidden="false" customHeight="false" outlineLevel="0" collapsed="false">
      <c r="A1020" s="0" t="s">
        <v>519</v>
      </c>
      <c r="E1020" s="9" t="str">
        <f aca="false">IF(D1020="?OLD","!!!","")</f>
        <v/>
      </c>
      <c r="F1020" s="10" t="str">
        <f aca="false">IF(OR(E1020="",E1020="!!!"),"",IF(NOT(ISNA(VLOOKUP(E1020,E$1:E1019,1,FALSE()))),"OLD",IF(AND(E1020&lt;&gt;"",E1020&lt;&gt;"!!!"),"NEW","")))</f>
        <v/>
      </c>
      <c r="G1020" s="11" t="str">
        <f aca="false">IF(OR(E1020="",E1020="!!!"),"",IF(OR(J1020=0,AND(J1020=1,K1020=1),AND(J1020=1,I1020="SBJ"),AND(J1020=1,I1020=0)),"?IN_FOCUS",IF(J1020&lt;=2,"?ACTIVATED",IF(J1020&lt;&gt;"","?FAMILIAR",IF(F1020="NEW",IF(ISNA(VLOOKUP(E1020,#REF!,1,FALSE())),"?TYPE_IDENTIFIABLE","?REFERENTIAL"),"_")))))</f>
        <v/>
      </c>
      <c r="H1020" s="12" t="str">
        <f aca="false">IF(J1020&lt;&gt;1,"",IF(I1020="SBJ","CB","?"))</f>
        <v/>
      </c>
      <c r="I1020" s="13" t="str">
        <f aca="false">IF(OR(E1020="",E1020="!!!",F1020="NEW"),"",INDEX(B$2:B1019,-1+SUMPRODUCT(MAX(ROW(E$2:E1019)*(E1020=E$2:E1019)))))</f>
        <v/>
      </c>
      <c r="J1020" s="14" t="str">
        <f aca="true">IF(OR(E1020="",E1020="!!!",F1020="NEW"),"",COUNTBLANK(OFFSET(A$1,,,SUMPRODUCT(MAX(ROW(E$2:E1020)*(E1020=E$2:E1020)))))-COUNTBLANK(OFFSET(A$1,,,SUMPRODUCT(MAX(ROW(E$1:E1019)*(E1020=E$1:E1019))))))</f>
        <v/>
      </c>
      <c r="K1020" s="14" t="str">
        <f aca="false">IF(OR(E1020="",E1020="!!!",F1020="NEW"),"",INDEX(J$1:J1019,SUMPRODUCT(MAX(ROW(E$1:E1019)*(E1020=E$1:E1019)))))</f>
        <v/>
      </c>
      <c r="L1020" s="15"/>
    </row>
    <row r="1021" customFormat="false" ht="12.75" hidden="false" customHeight="false" outlineLevel="0" collapsed="false">
      <c r="A1021" s="0" t="s">
        <v>48</v>
      </c>
      <c r="E1021" s="9" t="str">
        <f aca="false">IF(D1021="?OLD","!!!","")</f>
        <v/>
      </c>
      <c r="F1021" s="10" t="str">
        <f aca="false">IF(OR(E1021="",E1021="!!!"),"",IF(NOT(ISNA(VLOOKUP(E1021,E$1:E1020,1,FALSE()))),"OLD",IF(AND(E1021&lt;&gt;"",E1021&lt;&gt;"!!!"),"NEW","")))</f>
        <v/>
      </c>
      <c r="G1021" s="11" t="str">
        <f aca="false">IF(OR(E1021="",E1021="!!!"),"",IF(OR(J1021=0,AND(J1021=1,K1021=1),AND(J1021=1,I1021="SBJ"),AND(J1021=1,I1021=0)),"?IN_FOCUS",IF(J1021&lt;=2,"?ACTIVATED",IF(J1021&lt;&gt;"","?FAMILIAR",IF(F1021="NEW",IF(ISNA(VLOOKUP(E1021,#REF!,1,FALSE())),"?TYPE_IDENTIFIABLE","?REFERENTIAL"),"_")))))</f>
        <v/>
      </c>
      <c r="H1021" s="12" t="str">
        <f aca="false">IF(J1021&lt;&gt;1,"",IF(I1021="SBJ","CB","?"))</f>
        <v/>
      </c>
      <c r="I1021" s="13" t="str">
        <f aca="false">IF(OR(E1021="",E1021="!!!",F1021="NEW"),"",INDEX(B$2:B1020,-1+SUMPRODUCT(MAX(ROW(E$2:E1020)*(E1021=E$2:E1020)))))</f>
        <v/>
      </c>
      <c r="J1021" s="14" t="str">
        <f aca="true">IF(OR(E1021="",E1021="!!!",F1021="NEW"),"",COUNTBLANK(OFFSET(A$1,,,SUMPRODUCT(MAX(ROW(E$2:E1021)*(E1021=E$2:E1021)))))-COUNTBLANK(OFFSET(A$1,,,SUMPRODUCT(MAX(ROW(E$1:E1020)*(E1021=E$1:E1020))))))</f>
        <v/>
      </c>
      <c r="K1021" s="14" t="str">
        <f aca="false">IF(OR(E1021="",E1021="!!!",F1021="NEW"),"",INDEX(J$1:J1020,SUMPRODUCT(MAX(ROW(E$1:E1020)*(E1021=E$1:E1020)))))</f>
        <v/>
      </c>
      <c r="L1021" s="15"/>
    </row>
    <row r="1022" customFormat="false" ht="12.75" hidden="false" customHeight="false" outlineLevel="0" collapsed="false">
      <c r="A1022" s="0" t="s">
        <v>40</v>
      </c>
      <c r="E1022" s="9" t="str">
        <f aca="false">IF(D1022="?OLD","!!!","")</f>
        <v/>
      </c>
      <c r="F1022" s="10" t="str">
        <f aca="false">IF(OR(E1022="",E1022="!!!"),"",IF(NOT(ISNA(VLOOKUP(E1022,E$1:E1021,1,FALSE()))),"OLD",IF(AND(E1022&lt;&gt;"",E1022&lt;&gt;"!!!"),"NEW","")))</f>
        <v/>
      </c>
      <c r="G1022" s="11" t="str">
        <f aca="false">IF(OR(E1022="",E1022="!!!"),"",IF(OR(J1022=0,AND(J1022=1,K1022=1),AND(J1022=1,I1022="SBJ"),AND(J1022=1,I1022=0)),"?IN_FOCUS",IF(J1022&lt;=2,"?ACTIVATED",IF(J1022&lt;&gt;"","?FAMILIAR",IF(F1022="NEW",IF(ISNA(VLOOKUP(E1022,#REF!,1,FALSE())),"?TYPE_IDENTIFIABLE","?REFERENTIAL"),"_")))))</f>
        <v/>
      </c>
      <c r="H1022" s="12" t="str">
        <f aca="false">IF(J1022&lt;&gt;1,"",IF(I1022="SBJ","CB","?"))</f>
        <v/>
      </c>
      <c r="I1022" s="13" t="str">
        <f aca="false">IF(OR(E1022="",E1022="!!!",F1022="NEW"),"",INDEX(B$2:B1021,-1+SUMPRODUCT(MAX(ROW(E$2:E1021)*(E1022=E$2:E1021)))))</f>
        <v/>
      </c>
      <c r="J1022" s="14" t="str">
        <f aca="true">IF(OR(E1022="",E1022="!!!",F1022="NEW"),"",COUNTBLANK(OFFSET(A$1,,,SUMPRODUCT(MAX(ROW(E$2:E1022)*(E1022=E$2:E1022)))))-COUNTBLANK(OFFSET(A$1,,,SUMPRODUCT(MAX(ROW(E$1:E1021)*(E1022=E$1:E1021))))))</f>
        <v/>
      </c>
      <c r="K1022" s="14" t="str">
        <f aca="false">IF(OR(E1022="",E1022="!!!",F1022="NEW"),"",INDEX(J$1:J1021,SUMPRODUCT(MAX(ROW(E$1:E1021)*(E1022=E$1:E1021)))))</f>
        <v/>
      </c>
      <c r="L1022" s="15"/>
    </row>
    <row r="1023" customFormat="false" ht="12.75" hidden="false" customHeight="false" outlineLevel="0" collapsed="false">
      <c r="A1023" s="0" t="s">
        <v>520</v>
      </c>
      <c r="E1023" s="9" t="str">
        <f aca="false">IF(D1023="?OLD","!!!","")</f>
        <v/>
      </c>
      <c r="F1023" s="10" t="str">
        <f aca="false">IF(OR(E1023="",E1023="!!!"),"",IF(NOT(ISNA(VLOOKUP(E1023,E$1:E1022,1,FALSE()))),"OLD",IF(AND(E1023&lt;&gt;"",E1023&lt;&gt;"!!!"),"NEW","")))</f>
        <v/>
      </c>
      <c r="G1023" s="11" t="str">
        <f aca="false">IF(OR(E1023="",E1023="!!!"),"",IF(OR(J1023=0,AND(J1023=1,K1023=1),AND(J1023=1,I1023="SBJ"),AND(J1023=1,I1023=0)),"?IN_FOCUS",IF(J1023&lt;=2,"?ACTIVATED",IF(J1023&lt;&gt;"","?FAMILIAR",IF(F1023="NEW",IF(ISNA(VLOOKUP(E1023,#REF!,1,FALSE())),"?TYPE_IDENTIFIABLE","?REFERENTIAL"),"_")))))</f>
        <v/>
      </c>
      <c r="H1023" s="12" t="str">
        <f aca="false">IF(J1023&lt;&gt;1,"",IF(I1023="SBJ","CB","?"))</f>
        <v/>
      </c>
      <c r="I1023" s="13" t="str">
        <f aca="false">IF(OR(E1023="",E1023="!!!",F1023="NEW"),"",INDEX(B$2:B1022,-1+SUMPRODUCT(MAX(ROW(E$2:E1022)*(E1023=E$2:E1022)))))</f>
        <v/>
      </c>
      <c r="J1023" s="14" t="str">
        <f aca="true">IF(OR(E1023="",E1023="!!!",F1023="NEW"),"",COUNTBLANK(OFFSET(A$1,,,SUMPRODUCT(MAX(ROW(E$2:E1023)*(E1023=E$2:E1023)))))-COUNTBLANK(OFFSET(A$1,,,SUMPRODUCT(MAX(ROW(E$1:E1022)*(E1023=E$1:E1022))))))</f>
        <v/>
      </c>
      <c r="K1023" s="14" t="str">
        <f aca="false">IF(OR(E1023="",E1023="!!!",F1023="NEW"),"",INDEX(J$1:J1022,SUMPRODUCT(MAX(ROW(E$1:E1022)*(E1023=E$1:E1022)))))</f>
        <v/>
      </c>
      <c r="L1023" s="15"/>
    </row>
    <row r="1024" customFormat="false" ht="12.75" hidden="false" customHeight="false" outlineLevel="0" collapsed="false">
      <c r="A1024" s="0" t="s">
        <v>521</v>
      </c>
      <c r="E1024" s="9" t="str">
        <f aca="false">IF(D1024="?OLD","!!!","")</f>
        <v/>
      </c>
      <c r="F1024" s="10" t="str">
        <f aca="false">IF(OR(E1024="",E1024="!!!"),"",IF(NOT(ISNA(VLOOKUP(E1024,E$1:E1023,1,FALSE()))),"OLD",IF(AND(E1024&lt;&gt;"",E1024&lt;&gt;"!!!"),"NEW","")))</f>
        <v/>
      </c>
      <c r="G1024" s="11" t="str">
        <f aca="false">IF(OR(E1024="",E1024="!!!"),"",IF(OR(J1024=0,AND(J1024=1,K1024=1),AND(J1024=1,I1024="SBJ"),AND(J1024=1,I1024=0)),"?IN_FOCUS",IF(J1024&lt;=2,"?ACTIVATED",IF(J1024&lt;&gt;"","?FAMILIAR",IF(F1024="NEW",IF(ISNA(VLOOKUP(E1024,#REF!,1,FALSE())),"?TYPE_IDENTIFIABLE","?REFERENTIAL"),"_")))))</f>
        <v/>
      </c>
      <c r="H1024" s="12" t="str">
        <f aca="false">IF(J1024&lt;&gt;1,"",IF(I1024="SBJ","CB","?"))</f>
        <v/>
      </c>
      <c r="I1024" s="13" t="str">
        <f aca="false">IF(OR(E1024="",E1024="!!!",F1024="NEW"),"",INDEX(B$2:B1023,-1+SUMPRODUCT(MAX(ROW(E$2:E1023)*(E1024=E$2:E1023)))))</f>
        <v/>
      </c>
      <c r="J1024" s="14" t="str">
        <f aca="true">IF(OR(E1024="",E1024="!!!",F1024="NEW"),"",COUNTBLANK(OFFSET(A$1,,,SUMPRODUCT(MAX(ROW(E$2:E1024)*(E1024=E$2:E1024)))))-COUNTBLANK(OFFSET(A$1,,,SUMPRODUCT(MAX(ROW(E$1:E1023)*(E1024=E$1:E1023))))))</f>
        <v/>
      </c>
      <c r="K1024" s="14" t="str">
        <f aca="false">IF(OR(E1024="",E1024="!!!",F1024="NEW"),"",INDEX(J$1:J1023,SUMPRODUCT(MAX(ROW(E$1:E1023)*(E1024=E$1:E1023)))))</f>
        <v/>
      </c>
      <c r="L1024" s="15"/>
    </row>
    <row r="1025" customFormat="false" ht="12.75" hidden="false" customHeight="false" outlineLevel="0" collapsed="false">
      <c r="A1025" s="0" t="s">
        <v>522</v>
      </c>
      <c r="B1025" s="0" t="s">
        <v>62</v>
      </c>
      <c r="C1025" s="0" t="s">
        <v>43</v>
      </c>
      <c r="E1025" s="9" t="str">
        <f aca="false">IF(D1025="?OLD","!!!","")</f>
        <v/>
      </c>
      <c r="F1025" s="10" t="str">
        <f aca="false">IF(OR(E1025="",E1025="!!!"),"",IF(NOT(ISNA(VLOOKUP(E1025,E$1:E1024,1,FALSE()))),"OLD",IF(AND(E1025&lt;&gt;"",E1025&lt;&gt;"!!!"),"NEW","")))</f>
        <v/>
      </c>
      <c r="G1025" s="11" t="str">
        <f aca="false">IF(OR(E1025="",E1025="!!!"),"",IF(OR(J1025=0,AND(J1025=1,K1025=1),AND(J1025=1,I1025="SBJ"),AND(J1025=1,I1025=0)),"?IN_FOCUS",IF(J1025&lt;=2,"?ACTIVATED",IF(J1025&lt;&gt;"","?FAMILIAR",IF(F1025="NEW",IF(ISNA(VLOOKUP(E1025,#REF!,1,FALSE())),"?TYPE_IDENTIFIABLE","?REFERENTIAL"),"_")))))</f>
        <v/>
      </c>
      <c r="H1025" s="12" t="str">
        <f aca="false">IF(J1025&lt;&gt;1,"",IF(I1025="SBJ","CB","?"))</f>
        <v/>
      </c>
      <c r="I1025" s="13" t="str">
        <f aca="false">IF(OR(E1025="",E1025="!!!",F1025="NEW"),"",INDEX(B$2:B1024,-1+SUMPRODUCT(MAX(ROW(E$2:E1024)*(E1025=E$2:E1024)))))</f>
        <v/>
      </c>
      <c r="J1025" s="14" t="str">
        <f aca="true">IF(OR(E1025="",E1025="!!!",F1025="NEW"),"",COUNTBLANK(OFFSET(A$1,,,SUMPRODUCT(MAX(ROW(E$2:E1025)*(E1025=E$2:E1025)))))-COUNTBLANK(OFFSET(A$1,,,SUMPRODUCT(MAX(ROW(E$1:E1024)*(E1025=E$1:E1024))))))</f>
        <v/>
      </c>
      <c r="K1025" s="14" t="str">
        <f aca="false">IF(OR(E1025="",E1025="!!!",F1025="NEW"),"",INDEX(J$1:J1024,SUMPRODUCT(MAX(ROW(E$1:E1024)*(E1025=E$1:E1024)))))</f>
        <v/>
      </c>
      <c r="L1025" s="15"/>
    </row>
    <row r="1026" customFormat="false" ht="12.75" hidden="false" customHeight="false" outlineLevel="0" collapsed="false">
      <c r="A1026" s="0" t="s">
        <v>79</v>
      </c>
      <c r="E1026" s="9" t="str">
        <f aca="false">IF(D1026="?OLD","!!!","")</f>
        <v/>
      </c>
      <c r="F1026" s="10" t="str">
        <f aca="false">IF(OR(E1026="",E1026="!!!"),"",IF(NOT(ISNA(VLOOKUP(E1026,E$1:E1025,1,FALSE()))),"OLD",IF(AND(E1026&lt;&gt;"",E1026&lt;&gt;"!!!"),"NEW","")))</f>
        <v/>
      </c>
      <c r="G1026" s="11" t="str">
        <f aca="false">IF(OR(E1026="",E1026="!!!"),"",IF(OR(J1026=0,AND(J1026=1,K1026=1),AND(J1026=1,I1026="SBJ"),AND(J1026=1,I1026=0)),"?IN_FOCUS",IF(J1026&lt;=2,"?ACTIVATED",IF(J1026&lt;&gt;"","?FAMILIAR",IF(F1026="NEW",IF(ISNA(VLOOKUP(E1026,#REF!,1,FALSE())),"?TYPE_IDENTIFIABLE","?REFERENTIAL"),"_")))))</f>
        <v/>
      </c>
      <c r="H1026" s="12" t="str">
        <f aca="false">IF(J1026&lt;&gt;1,"",IF(I1026="SBJ","CB","?"))</f>
        <v/>
      </c>
      <c r="I1026" s="13" t="str">
        <f aca="false">IF(OR(E1026="",E1026="!!!",F1026="NEW"),"",INDEX(B$2:B1025,-1+SUMPRODUCT(MAX(ROW(E$2:E1025)*(E1026=E$2:E1025)))))</f>
        <v/>
      </c>
      <c r="J1026" s="14" t="str">
        <f aca="true">IF(OR(E1026="",E1026="!!!",F1026="NEW"),"",COUNTBLANK(OFFSET(A$1,,,SUMPRODUCT(MAX(ROW(E$2:E1026)*(E1026=E$2:E1026)))))-COUNTBLANK(OFFSET(A$1,,,SUMPRODUCT(MAX(ROW(E$1:E1025)*(E1026=E$1:E1025))))))</f>
        <v/>
      </c>
      <c r="K1026" s="14" t="str">
        <f aca="false">IF(OR(E1026="",E1026="!!!",F1026="NEW"),"",INDEX(J$1:J1025,SUMPRODUCT(MAX(ROW(E$1:E1025)*(E1026=E$1:E1025)))))</f>
        <v/>
      </c>
      <c r="L1026" s="15"/>
    </row>
    <row r="1027" customFormat="false" ht="12.75" hidden="false" customHeight="false" outlineLevel="0" collapsed="false">
      <c r="A1027" s="0" t="s">
        <v>523</v>
      </c>
      <c r="B1027" s="0" t="s">
        <v>62</v>
      </c>
      <c r="C1027" s="0" t="s">
        <v>120</v>
      </c>
      <c r="E1027" s="9" t="str">
        <f aca="false">IF(D1027="?OLD","!!!","")</f>
        <v/>
      </c>
      <c r="F1027" s="10" t="str">
        <f aca="false">IF(OR(E1027="",E1027="!!!"),"",IF(NOT(ISNA(VLOOKUP(E1027,E$1:E1026,1,FALSE()))),"OLD",IF(AND(E1027&lt;&gt;"",E1027&lt;&gt;"!!!"),"NEW","")))</f>
        <v/>
      </c>
      <c r="G1027" s="11" t="str">
        <f aca="false">IF(OR(E1027="",E1027="!!!"),"",IF(OR(J1027=0,AND(J1027=1,K1027=1),AND(J1027=1,I1027="SBJ"),AND(J1027=1,I1027=0)),"?IN_FOCUS",IF(J1027&lt;=2,"?ACTIVATED",IF(J1027&lt;&gt;"","?FAMILIAR",IF(F1027="NEW",IF(ISNA(VLOOKUP(E1027,#REF!,1,FALSE())),"?TYPE_IDENTIFIABLE","?REFERENTIAL"),"_")))))</f>
        <v/>
      </c>
      <c r="H1027" s="12" t="str">
        <f aca="false">IF(J1027&lt;&gt;1,"",IF(I1027="SBJ","CB","?"))</f>
        <v/>
      </c>
      <c r="I1027" s="13" t="str">
        <f aca="false">IF(OR(E1027="",E1027="!!!",F1027="NEW"),"",INDEX(B$2:B1026,-1+SUMPRODUCT(MAX(ROW(E$2:E1026)*(E1027=E$2:E1026)))))</f>
        <v/>
      </c>
      <c r="J1027" s="14" t="str">
        <f aca="true">IF(OR(E1027="",E1027="!!!",F1027="NEW"),"",COUNTBLANK(OFFSET(A$1,,,SUMPRODUCT(MAX(ROW(E$2:E1027)*(E1027=E$2:E1027)))))-COUNTBLANK(OFFSET(A$1,,,SUMPRODUCT(MAX(ROW(E$1:E1026)*(E1027=E$1:E1026))))))</f>
        <v/>
      </c>
      <c r="K1027" s="14" t="str">
        <f aca="false">IF(OR(E1027="",E1027="!!!",F1027="NEW"),"",INDEX(J$1:J1026,SUMPRODUCT(MAX(ROW(E$1:E1026)*(E1027=E$1:E1026)))))</f>
        <v/>
      </c>
      <c r="L1027" s="15"/>
    </row>
    <row r="1028" customFormat="false" ht="12.75" hidden="false" customHeight="false" outlineLevel="0" collapsed="false">
      <c r="A1028" s="0" t="s">
        <v>73</v>
      </c>
      <c r="E1028" s="9" t="str">
        <f aca="false">IF(D1028="?OLD","!!!","")</f>
        <v/>
      </c>
      <c r="F1028" s="10" t="str">
        <f aca="false">IF(OR(E1028="",E1028="!!!"),"",IF(NOT(ISNA(VLOOKUP(E1028,E$1:E1027,1,FALSE()))),"OLD",IF(AND(E1028&lt;&gt;"",E1028&lt;&gt;"!!!"),"NEW","")))</f>
        <v/>
      </c>
      <c r="G1028" s="11" t="str">
        <f aca="false">IF(OR(E1028="",E1028="!!!"),"",IF(OR(J1028=0,AND(J1028=1,K1028=1),AND(J1028=1,I1028="SBJ"),AND(J1028=1,I1028=0)),"?IN_FOCUS",IF(J1028&lt;=2,"?ACTIVATED",IF(J1028&lt;&gt;"","?FAMILIAR",IF(F1028="NEW",IF(ISNA(VLOOKUP(E1028,#REF!,1,FALSE())),"?TYPE_IDENTIFIABLE","?REFERENTIAL"),"_")))))</f>
        <v/>
      </c>
      <c r="H1028" s="12" t="str">
        <f aca="false">IF(J1028&lt;&gt;1,"",IF(I1028="SBJ","CB","?"))</f>
        <v/>
      </c>
      <c r="I1028" s="13" t="str">
        <f aca="false">IF(OR(E1028="",E1028="!!!",F1028="NEW"),"",INDEX(B$2:B1027,-1+SUMPRODUCT(MAX(ROW(E$2:E1027)*(E1028=E$2:E1027)))))</f>
        <v/>
      </c>
      <c r="J1028" s="14" t="str">
        <f aca="true">IF(OR(E1028="",E1028="!!!",F1028="NEW"),"",COUNTBLANK(OFFSET(A$1,,,SUMPRODUCT(MAX(ROW(E$2:E1028)*(E1028=E$2:E1028)))))-COUNTBLANK(OFFSET(A$1,,,SUMPRODUCT(MAX(ROW(E$1:E1027)*(E1028=E$1:E1027))))))</f>
        <v/>
      </c>
      <c r="K1028" s="14" t="str">
        <f aca="false">IF(OR(E1028="",E1028="!!!",F1028="NEW"),"",INDEX(J$1:J1027,SUMPRODUCT(MAX(ROW(E$1:E1027)*(E1028=E$1:E1027)))))</f>
        <v/>
      </c>
      <c r="L1028" s="15"/>
    </row>
    <row r="1029" customFormat="false" ht="12.75" hidden="false" customHeight="false" outlineLevel="0" collapsed="false">
      <c r="E1029" s="9" t="str">
        <f aca="false">IF(D1029="?OLD","!!!","")</f>
        <v/>
      </c>
      <c r="F1029" s="10" t="str">
        <f aca="false">IF(OR(E1029="",E1029="!!!"),"",IF(NOT(ISNA(VLOOKUP(E1029,E$1:E1028,1,FALSE()))),"OLD",IF(AND(E1029&lt;&gt;"",E1029&lt;&gt;"!!!"),"NEW","")))</f>
        <v/>
      </c>
      <c r="G1029" s="11" t="str">
        <f aca="false">IF(OR(E1029="",E1029="!!!"),"",IF(OR(J1029=0,AND(J1029=1,K1029=1),AND(J1029=1,I1029="SBJ"),AND(J1029=1,I1029=0)),"?IN_FOCUS",IF(J1029&lt;=2,"?ACTIVATED",IF(J1029&lt;&gt;"","?FAMILIAR",IF(F1029="NEW",IF(ISNA(VLOOKUP(E1029,#REF!,1,FALSE())),"?TYPE_IDENTIFIABLE","?REFERENTIAL"),"_")))))</f>
        <v/>
      </c>
      <c r="H1029" s="12" t="str">
        <f aca="false">IF(J1029&lt;&gt;1,"",IF(I1029="SBJ","CB","?"))</f>
        <v/>
      </c>
      <c r="I1029" s="13" t="str">
        <f aca="false">IF(OR(E1029="",E1029="!!!",F1029="NEW"),"",INDEX(B$2:B1028,-1+SUMPRODUCT(MAX(ROW(E$2:E1028)*(E1029=E$2:E1028)))))</f>
        <v/>
      </c>
      <c r="J1029" s="14" t="str">
        <f aca="true">IF(OR(E1029="",E1029="!!!",F1029="NEW"),"",COUNTBLANK(OFFSET(A$1,,,SUMPRODUCT(MAX(ROW(E$2:E1029)*(E1029=E$2:E1029)))))-COUNTBLANK(OFFSET(A$1,,,SUMPRODUCT(MAX(ROW(E$1:E1028)*(E1029=E$1:E1028))))))</f>
        <v/>
      </c>
      <c r="K1029" s="14" t="str">
        <f aca="false">IF(OR(E1029="",E1029="!!!",F1029="NEW"),"",INDEX(J$1:J1028,SUMPRODUCT(MAX(ROW(E$1:E1028)*(E1029=E$1:E1028)))))</f>
        <v/>
      </c>
      <c r="L1029" s="15"/>
    </row>
    <row r="1030" customFormat="false" ht="12.75" hidden="false" customHeight="false" outlineLevel="0" collapsed="false">
      <c r="A1030" s="0" t="s">
        <v>524</v>
      </c>
      <c r="E1030" s="9" t="str">
        <f aca="false">IF(D1030="?OLD","!!!","")</f>
        <v/>
      </c>
      <c r="F1030" s="10" t="str">
        <f aca="false">IF(OR(E1030="",E1030="!!!"),"",IF(NOT(ISNA(VLOOKUP(E1030,E$1:E1029,1,FALSE()))),"OLD",IF(AND(E1030&lt;&gt;"",E1030&lt;&gt;"!!!"),"NEW","")))</f>
        <v/>
      </c>
      <c r="G1030" s="11" t="str">
        <f aca="false">IF(OR(E1030="",E1030="!!!"),"",IF(OR(J1030=0,AND(J1030=1,K1030=1),AND(J1030=1,I1030="SBJ"),AND(J1030=1,I1030=0)),"?IN_FOCUS",IF(J1030&lt;=2,"?ACTIVATED",IF(J1030&lt;&gt;"","?FAMILIAR",IF(F1030="NEW",IF(ISNA(VLOOKUP(E1030,#REF!,1,FALSE())),"?TYPE_IDENTIFIABLE","?REFERENTIAL"),"_")))))</f>
        <v/>
      </c>
      <c r="H1030" s="12" t="str">
        <f aca="false">IF(J1030&lt;&gt;1,"",IF(I1030="SBJ","CB","?"))</f>
        <v/>
      </c>
      <c r="I1030" s="13" t="str">
        <f aca="false">IF(OR(E1030="",E1030="!!!",F1030="NEW"),"",INDEX(B$2:B1029,-1+SUMPRODUCT(MAX(ROW(E$2:E1029)*(E1030=E$2:E1029)))))</f>
        <v/>
      </c>
      <c r="J1030" s="14" t="str">
        <f aca="true">IF(OR(E1030="",E1030="!!!",F1030="NEW"),"",COUNTBLANK(OFFSET(A$1,,,SUMPRODUCT(MAX(ROW(E$2:E1030)*(E1030=E$2:E1030)))))-COUNTBLANK(OFFSET(A$1,,,SUMPRODUCT(MAX(ROW(E$1:E1029)*(E1030=E$1:E1029))))))</f>
        <v/>
      </c>
      <c r="K1030" s="14" t="str">
        <f aca="false">IF(OR(E1030="",E1030="!!!",F1030="NEW"),"",INDEX(J$1:J1029,SUMPRODUCT(MAX(ROW(E$1:E1029)*(E1030=E$1:E1029)))))</f>
        <v/>
      </c>
      <c r="L1030" s="15"/>
    </row>
    <row r="1031" customFormat="false" ht="12.75" hidden="false" customHeight="false" outlineLevel="0" collapsed="false">
      <c r="A1031" s="0" t="s">
        <v>525</v>
      </c>
      <c r="B1031" s="0" t="s">
        <v>14</v>
      </c>
      <c r="C1031" s="0" t="s">
        <v>38</v>
      </c>
      <c r="D1031" s="0" t="s">
        <v>29</v>
      </c>
      <c r="E1031" s="9" t="str">
        <f aca="false">IF(D1031="?OLD","!!!","")</f>
        <v>!!!</v>
      </c>
      <c r="F1031" s="10" t="str">
        <f aca="false">IF(OR(E1031="",E1031="!!!"),"",IF(NOT(ISNA(VLOOKUP(E1031,E$1:E1030,1,FALSE()))),"OLD",IF(AND(E1031&lt;&gt;"",E1031&lt;&gt;"!!!"),"NEW","")))</f>
        <v/>
      </c>
      <c r="G1031" s="11" t="str">
        <f aca="false">IF(OR(E1031="",E1031="!!!"),"",IF(OR(J1031=0,AND(J1031=1,K1031=1),AND(J1031=1,I1031="SBJ"),AND(J1031=1,I1031=0)),"?IN_FOCUS",IF(J1031&lt;=2,"?ACTIVATED",IF(J1031&lt;&gt;"","?FAMILIAR",IF(F1031="NEW",IF(ISNA(VLOOKUP(E1031,#REF!,1,FALSE())),"?TYPE_IDENTIFIABLE","?REFERENTIAL"),"_")))))</f>
        <v/>
      </c>
      <c r="H1031" s="12" t="str">
        <f aca="false">IF(J1031&lt;&gt;1,"",IF(I1031="SBJ","CB","?"))</f>
        <v/>
      </c>
      <c r="I1031" s="13" t="str">
        <f aca="false">IF(OR(E1031="",E1031="!!!",F1031="NEW"),"",INDEX(B$2:B1030,-1+SUMPRODUCT(MAX(ROW(E$2:E1030)*(E1031=E$2:E1030)))))</f>
        <v/>
      </c>
      <c r="J1031" s="14" t="str">
        <f aca="true">IF(OR(E1031="",E1031="!!!",F1031="NEW"),"",COUNTBLANK(OFFSET(A$1,,,SUMPRODUCT(MAX(ROW(E$2:E1031)*(E1031=E$2:E1031)))))-COUNTBLANK(OFFSET(A$1,,,SUMPRODUCT(MAX(ROW(E$1:E1030)*(E1031=E$1:E1030))))))</f>
        <v/>
      </c>
      <c r="K1031" s="14" t="str">
        <f aca="false">IF(OR(E1031="",E1031="!!!",F1031="NEW"),"",INDEX(J$1:J1030,SUMPRODUCT(MAX(ROW(E$1:E1030)*(E1031=E$1:E1030)))))</f>
        <v/>
      </c>
      <c r="L1031" s="15"/>
    </row>
    <row r="1032" customFormat="false" ht="12.75" hidden="false" customHeight="false" outlineLevel="0" collapsed="false">
      <c r="A1032" s="0" t="s">
        <v>48</v>
      </c>
      <c r="E1032" s="9" t="str">
        <f aca="false">IF(D1032="?OLD","!!!","")</f>
        <v/>
      </c>
      <c r="F1032" s="10" t="str">
        <f aca="false">IF(OR(E1032="",E1032="!!!"),"",IF(NOT(ISNA(VLOOKUP(E1032,E$1:E1031,1,FALSE()))),"OLD",IF(AND(E1032&lt;&gt;"",E1032&lt;&gt;"!!!"),"NEW","")))</f>
        <v/>
      </c>
      <c r="G1032" s="11" t="str">
        <f aca="false">IF(OR(E1032="",E1032="!!!"),"",IF(OR(J1032=0,AND(J1032=1,K1032=1),AND(J1032=1,I1032="SBJ"),AND(J1032=1,I1032=0)),"?IN_FOCUS",IF(J1032&lt;=2,"?ACTIVATED",IF(J1032&lt;&gt;"","?FAMILIAR",IF(F1032="NEW",IF(ISNA(VLOOKUP(E1032,#REF!,1,FALSE())),"?TYPE_IDENTIFIABLE","?REFERENTIAL"),"_")))))</f>
        <v/>
      </c>
      <c r="H1032" s="12" t="str">
        <f aca="false">IF(J1032&lt;&gt;1,"",IF(I1032="SBJ","CB","?"))</f>
        <v/>
      </c>
      <c r="I1032" s="13" t="str">
        <f aca="false">IF(OR(E1032="",E1032="!!!",F1032="NEW"),"",INDEX(B$2:B1031,-1+SUMPRODUCT(MAX(ROW(E$2:E1031)*(E1032=E$2:E1031)))))</f>
        <v/>
      </c>
      <c r="J1032" s="14" t="str">
        <f aca="true">IF(OR(E1032="",E1032="!!!",F1032="NEW"),"",COUNTBLANK(OFFSET(A$1,,,SUMPRODUCT(MAX(ROW(E$2:E1032)*(E1032=E$2:E1032)))))-COUNTBLANK(OFFSET(A$1,,,SUMPRODUCT(MAX(ROW(E$1:E1031)*(E1032=E$1:E1031))))))</f>
        <v/>
      </c>
      <c r="K1032" s="14" t="str">
        <f aca="false">IF(OR(E1032="",E1032="!!!",F1032="NEW"),"",INDEX(J$1:J1031,SUMPRODUCT(MAX(ROW(E$1:E1031)*(E1032=E$1:E1031)))))</f>
        <v/>
      </c>
      <c r="L1032" s="15"/>
    </row>
    <row r="1033" customFormat="false" ht="12.75" hidden="false" customHeight="false" outlineLevel="0" collapsed="false">
      <c r="A1033" s="0" t="s">
        <v>159</v>
      </c>
      <c r="E1033" s="9" t="str">
        <f aca="false">IF(D1033="?OLD","!!!","")</f>
        <v/>
      </c>
      <c r="F1033" s="10" t="str">
        <f aca="false">IF(OR(E1033="",E1033="!!!"),"",IF(NOT(ISNA(VLOOKUP(E1033,E$1:E1032,1,FALSE()))),"OLD",IF(AND(E1033&lt;&gt;"",E1033&lt;&gt;"!!!"),"NEW","")))</f>
        <v/>
      </c>
      <c r="G1033" s="11" t="str">
        <f aca="false">IF(OR(E1033="",E1033="!!!"),"",IF(OR(J1033=0,AND(J1033=1,K1033=1),AND(J1033=1,I1033="SBJ"),AND(J1033=1,I1033=0)),"?IN_FOCUS",IF(J1033&lt;=2,"?ACTIVATED",IF(J1033&lt;&gt;"","?FAMILIAR",IF(F1033="NEW",IF(ISNA(VLOOKUP(E1033,#REF!,1,FALSE())),"?TYPE_IDENTIFIABLE","?REFERENTIAL"),"_")))))</f>
        <v/>
      </c>
      <c r="H1033" s="12" t="str">
        <f aca="false">IF(J1033&lt;&gt;1,"",IF(I1033="SBJ","CB","?"))</f>
        <v/>
      </c>
      <c r="I1033" s="13" t="str">
        <f aca="false">IF(OR(E1033="",E1033="!!!",F1033="NEW"),"",INDEX(B$2:B1032,-1+SUMPRODUCT(MAX(ROW(E$2:E1032)*(E1033=E$2:E1032)))))</f>
        <v/>
      </c>
      <c r="J1033" s="14" t="str">
        <f aca="true">IF(OR(E1033="",E1033="!!!",F1033="NEW"),"",COUNTBLANK(OFFSET(A$1,,,SUMPRODUCT(MAX(ROW(E$2:E1033)*(E1033=E$2:E1033)))))-COUNTBLANK(OFFSET(A$1,,,SUMPRODUCT(MAX(ROW(E$1:E1032)*(E1033=E$1:E1032))))))</f>
        <v/>
      </c>
      <c r="K1033" s="14" t="str">
        <f aca="false">IF(OR(E1033="",E1033="!!!",F1033="NEW"),"",INDEX(J$1:J1032,SUMPRODUCT(MAX(ROW(E$1:E1032)*(E1033=E$1:E1032)))))</f>
        <v/>
      </c>
      <c r="L1033" s="15"/>
    </row>
    <row r="1034" customFormat="false" ht="12.75" hidden="false" customHeight="false" outlineLevel="0" collapsed="false">
      <c r="A1034" s="0" t="s">
        <v>40</v>
      </c>
      <c r="E1034" s="9" t="str">
        <f aca="false">IF(D1034="?OLD","!!!","")</f>
        <v/>
      </c>
      <c r="F1034" s="10" t="str">
        <f aca="false">IF(OR(E1034="",E1034="!!!"),"",IF(NOT(ISNA(VLOOKUP(E1034,E$1:E1033,1,FALSE()))),"OLD",IF(AND(E1034&lt;&gt;"",E1034&lt;&gt;"!!!"),"NEW","")))</f>
        <v/>
      </c>
      <c r="G1034" s="11" t="str">
        <f aca="false">IF(OR(E1034="",E1034="!!!"),"",IF(OR(J1034=0,AND(J1034=1,K1034=1),AND(J1034=1,I1034="SBJ"),AND(J1034=1,I1034=0)),"?IN_FOCUS",IF(J1034&lt;=2,"?ACTIVATED",IF(J1034&lt;&gt;"","?FAMILIAR",IF(F1034="NEW",IF(ISNA(VLOOKUP(E1034,#REF!,1,FALSE())),"?TYPE_IDENTIFIABLE","?REFERENTIAL"),"_")))))</f>
        <v/>
      </c>
      <c r="H1034" s="12" t="str">
        <f aca="false">IF(J1034&lt;&gt;1,"",IF(I1034="SBJ","CB","?"))</f>
        <v/>
      </c>
      <c r="I1034" s="13" t="str">
        <f aca="false">IF(OR(E1034="",E1034="!!!",F1034="NEW"),"",INDEX(B$2:B1033,-1+SUMPRODUCT(MAX(ROW(E$2:E1033)*(E1034=E$2:E1033)))))</f>
        <v/>
      </c>
      <c r="J1034" s="14" t="str">
        <f aca="true">IF(OR(E1034="",E1034="!!!",F1034="NEW"),"",COUNTBLANK(OFFSET(A$1,,,SUMPRODUCT(MAX(ROW(E$2:E1034)*(E1034=E$2:E1034)))))-COUNTBLANK(OFFSET(A$1,,,SUMPRODUCT(MAX(ROW(E$1:E1033)*(E1034=E$1:E1033))))))</f>
        <v/>
      </c>
      <c r="K1034" s="14" t="str">
        <f aca="false">IF(OR(E1034="",E1034="!!!",F1034="NEW"),"",INDEX(J$1:J1033,SUMPRODUCT(MAX(ROW(E$1:E1033)*(E1034=E$1:E1033)))))</f>
        <v/>
      </c>
      <c r="L1034" s="15"/>
    </row>
    <row r="1035" customFormat="false" ht="12.75" hidden="false" customHeight="false" outlineLevel="0" collapsed="false">
      <c r="A1035" s="0" t="s">
        <v>526</v>
      </c>
      <c r="B1035" s="0" t="s">
        <v>62</v>
      </c>
      <c r="C1035" s="0" t="s">
        <v>43</v>
      </c>
      <c r="E1035" s="9" t="str">
        <f aca="false">IF(D1035="?OLD","!!!","")</f>
        <v/>
      </c>
      <c r="F1035" s="10" t="str">
        <f aca="false">IF(OR(E1035="",E1035="!!!"),"",IF(NOT(ISNA(VLOOKUP(E1035,E$1:E1034,1,FALSE()))),"OLD",IF(AND(E1035&lt;&gt;"",E1035&lt;&gt;"!!!"),"NEW","")))</f>
        <v/>
      </c>
      <c r="G1035" s="11" t="str">
        <f aca="false">IF(OR(E1035="",E1035="!!!"),"",IF(OR(J1035=0,AND(J1035=1,K1035=1),AND(J1035=1,I1035="SBJ"),AND(J1035=1,I1035=0)),"?IN_FOCUS",IF(J1035&lt;=2,"?ACTIVATED",IF(J1035&lt;&gt;"","?FAMILIAR",IF(F1035="NEW",IF(ISNA(VLOOKUP(E1035,#REF!,1,FALSE())),"?TYPE_IDENTIFIABLE","?REFERENTIAL"),"_")))))</f>
        <v/>
      </c>
      <c r="H1035" s="12" t="str">
        <f aca="false">IF(J1035&lt;&gt;1,"",IF(I1035="SBJ","CB","?"))</f>
        <v/>
      </c>
      <c r="I1035" s="13" t="str">
        <f aca="false">IF(OR(E1035="",E1035="!!!",F1035="NEW"),"",INDEX(B$2:B1034,-1+SUMPRODUCT(MAX(ROW(E$2:E1034)*(E1035=E$2:E1034)))))</f>
        <v/>
      </c>
      <c r="J1035" s="14" t="str">
        <f aca="true">IF(OR(E1035="",E1035="!!!",F1035="NEW"),"",COUNTBLANK(OFFSET(A$1,,,SUMPRODUCT(MAX(ROW(E$2:E1035)*(E1035=E$2:E1035)))))-COUNTBLANK(OFFSET(A$1,,,SUMPRODUCT(MAX(ROW(E$1:E1034)*(E1035=E$1:E1034))))))</f>
        <v/>
      </c>
      <c r="K1035" s="14" t="str">
        <f aca="false">IF(OR(E1035="",E1035="!!!",F1035="NEW"),"",INDEX(J$1:J1034,SUMPRODUCT(MAX(ROW(E$1:E1034)*(E1035=E$1:E1034)))))</f>
        <v/>
      </c>
      <c r="L1035" s="15"/>
    </row>
    <row r="1036" customFormat="false" ht="12.75" hidden="false" customHeight="false" outlineLevel="0" collapsed="false">
      <c r="A1036" s="0" t="s">
        <v>527</v>
      </c>
      <c r="E1036" s="9" t="str">
        <f aca="false">IF(D1036="?OLD","!!!","")</f>
        <v/>
      </c>
      <c r="F1036" s="10" t="str">
        <f aca="false">IF(OR(E1036="",E1036="!!!"),"",IF(NOT(ISNA(VLOOKUP(E1036,E$1:E1035,1,FALSE()))),"OLD",IF(AND(E1036&lt;&gt;"",E1036&lt;&gt;"!!!"),"NEW","")))</f>
        <v/>
      </c>
      <c r="G1036" s="11" t="str">
        <f aca="false">IF(OR(E1036="",E1036="!!!"),"",IF(OR(J1036=0,AND(J1036=1,K1036=1),AND(J1036=1,I1036="SBJ"),AND(J1036=1,I1036=0)),"?IN_FOCUS",IF(J1036&lt;=2,"?ACTIVATED",IF(J1036&lt;&gt;"","?FAMILIAR",IF(F1036="NEW",IF(ISNA(VLOOKUP(E1036,#REF!,1,FALSE())),"?TYPE_IDENTIFIABLE","?REFERENTIAL"),"_")))))</f>
        <v/>
      </c>
      <c r="H1036" s="12" t="str">
        <f aca="false">IF(J1036&lt;&gt;1,"",IF(I1036="SBJ","CB","?"))</f>
        <v/>
      </c>
      <c r="I1036" s="13" t="str">
        <f aca="false">IF(OR(E1036="",E1036="!!!",F1036="NEW"),"",INDEX(B$2:B1035,-1+SUMPRODUCT(MAX(ROW(E$2:E1035)*(E1036=E$2:E1035)))))</f>
        <v/>
      </c>
      <c r="J1036" s="14" t="str">
        <f aca="true">IF(OR(E1036="",E1036="!!!",F1036="NEW"),"",COUNTBLANK(OFFSET(A$1,,,SUMPRODUCT(MAX(ROW(E$2:E1036)*(E1036=E$2:E1036)))))-COUNTBLANK(OFFSET(A$1,,,SUMPRODUCT(MAX(ROW(E$1:E1035)*(E1036=E$1:E1035))))))</f>
        <v/>
      </c>
      <c r="K1036" s="14" t="str">
        <f aca="false">IF(OR(E1036="",E1036="!!!",F1036="NEW"),"",INDEX(J$1:J1035,SUMPRODUCT(MAX(ROW(E$1:E1035)*(E1036=E$1:E1035)))))</f>
        <v/>
      </c>
      <c r="L1036" s="15"/>
    </row>
    <row r="1037" customFormat="false" ht="12.75" hidden="false" customHeight="false" outlineLevel="0" collapsed="false">
      <c r="A1037" s="0" t="s">
        <v>130</v>
      </c>
      <c r="E1037" s="9" t="str">
        <f aca="false">IF(D1037="?OLD","!!!","")</f>
        <v/>
      </c>
      <c r="F1037" s="10" t="str">
        <f aca="false">IF(OR(E1037="",E1037="!!!"),"",IF(NOT(ISNA(VLOOKUP(E1037,E$1:E1036,1,FALSE()))),"OLD",IF(AND(E1037&lt;&gt;"",E1037&lt;&gt;"!!!"),"NEW","")))</f>
        <v/>
      </c>
      <c r="G1037" s="11" t="str">
        <f aca="false">IF(OR(E1037="",E1037="!!!"),"",IF(OR(J1037=0,AND(J1037=1,K1037=1),AND(J1037=1,I1037="SBJ"),AND(J1037=1,I1037=0)),"?IN_FOCUS",IF(J1037&lt;=2,"?ACTIVATED",IF(J1037&lt;&gt;"","?FAMILIAR",IF(F1037="NEW",IF(ISNA(VLOOKUP(E1037,#REF!,1,FALSE())),"?TYPE_IDENTIFIABLE","?REFERENTIAL"),"_")))))</f>
        <v/>
      </c>
      <c r="H1037" s="12" t="str">
        <f aca="false">IF(J1037&lt;&gt;1,"",IF(I1037="SBJ","CB","?"))</f>
        <v/>
      </c>
      <c r="I1037" s="13" t="str">
        <f aca="false">IF(OR(E1037="",E1037="!!!",F1037="NEW"),"",INDEX(B$2:B1036,-1+SUMPRODUCT(MAX(ROW(E$2:E1036)*(E1037=E$2:E1036)))))</f>
        <v/>
      </c>
      <c r="J1037" s="14" t="str">
        <f aca="true">IF(OR(E1037="",E1037="!!!",F1037="NEW"),"",COUNTBLANK(OFFSET(A$1,,,SUMPRODUCT(MAX(ROW(E$2:E1037)*(E1037=E$2:E1037)))))-COUNTBLANK(OFFSET(A$1,,,SUMPRODUCT(MAX(ROW(E$1:E1036)*(E1037=E$1:E1036))))))</f>
        <v/>
      </c>
      <c r="K1037" s="14" t="str">
        <f aca="false">IF(OR(E1037="",E1037="!!!",F1037="NEW"),"",INDEX(J$1:J1036,SUMPRODUCT(MAX(ROW(E$1:E1036)*(E1037=E$1:E1036)))))</f>
        <v/>
      </c>
      <c r="L1037" s="15"/>
    </row>
    <row r="1038" customFormat="false" ht="12.75" hidden="false" customHeight="false" outlineLevel="0" collapsed="false">
      <c r="A1038" s="0" t="s">
        <v>389</v>
      </c>
      <c r="E1038" s="9" t="str">
        <f aca="false">IF(D1038="?OLD","!!!","")</f>
        <v/>
      </c>
      <c r="F1038" s="10" t="str">
        <f aca="false">IF(OR(E1038="",E1038="!!!"),"",IF(NOT(ISNA(VLOOKUP(E1038,E$1:E1037,1,FALSE()))),"OLD",IF(AND(E1038&lt;&gt;"",E1038&lt;&gt;"!!!"),"NEW","")))</f>
        <v/>
      </c>
      <c r="G1038" s="11" t="str">
        <f aca="false">IF(OR(E1038="",E1038="!!!"),"",IF(OR(J1038=0,AND(J1038=1,K1038=1),AND(J1038=1,I1038="SBJ"),AND(J1038=1,I1038=0)),"?IN_FOCUS",IF(J1038&lt;=2,"?ACTIVATED",IF(J1038&lt;&gt;"","?FAMILIAR",IF(F1038="NEW",IF(ISNA(VLOOKUP(E1038,#REF!,1,FALSE())),"?TYPE_IDENTIFIABLE","?REFERENTIAL"),"_")))))</f>
        <v/>
      </c>
      <c r="H1038" s="12" t="str">
        <f aca="false">IF(J1038&lt;&gt;1,"",IF(I1038="SBJ","CB","?"))</f>
        <v/>
      </c>
      <c r="I1038" s="13" t="str">
        <f aca="false">IF(OR(E1038="",E1038="!!!",F1038="NEW"),"",INDEX(B$2:B1037,-1+SUMPRODUCT(MAX(ROW(E$2:E1037)*(E1038=E$2:E1037)))))</f>
        <v/>
      </c>
      <c r="J1038" s="14" t="str">
        <f aca="true">IF(OR(E1038="",E1038="!!!",F1038="NEW"),"",COUNTBLANK(OFFSET(A$1,,,SUMPRODUCT(MAX(ROW(E$2:E1038)*(E1038=E$2:E1038)))))-COUNTBLANK(OFFSET(A$1,,,SUMPRODUCT(MAX(ROW(E$1:E1037)*(E1038=E$1:E1037))))))</f>
        <v/>
      </c>
      <c r="K1038" s="14" t="str">
        <f aca="false">IF(OR(E1038="",E1038="!!!",F1038="NEW"),"",INDEX(J$1:J1037,SUMPRODUCT(MAX(ROW(E$1:E1037)*(E1038=E$1:E1037)))))</f>
        <v/>
      </c>
      <c r="L1038" s="15"/>
    </row>
    <row r="1039" customFormat="false" ht="12.75" hidden="false" customHeight="false" outlineLevel="0" collapsed="false">
      <c r="A1039" s="0" t="s">
        <v>31</v>
      </c>
      <c r="E1039" s="9" t="str">
        <f aca="false">IF(D1039="?OLD","!!!","")</f>
        <v/>
      </c>
      <c r="F1039" s="10" t="str">
        <f aca="false">IF(OR(E1039="",E1039="!!!"),"",IF(NOT(ISNA(VLOOKUP(E1039,E$1:E1038,1,FALSE()))),"OLD",IF(AND(E1039&lt;&gt;"",E1039&lt;&gt;"!!!"),"NEW","")))</f>
        <v/>
      </c>
      <c r="G1039" s="11" t="str">
        <f aca="false">IF(OR(E1039="",E1039="!!!"),"",IF(OR(J1039=0,AND(J1039=1,K1039=1),AND(J1039=1,I1039="SBJ"),AND(J1039=1,I1039=0)),"?IN_FOCUS",IF(J1039&lt;=2,"?ACTIVATED",IF(J1039&lt;&gt;"","?FAMILIAR",IF(F1039="NEW",IF(ISNA(VLOOKUP(E1039,#REF!,1,FALSE())),"?TYPE_IDENTIFIABLE","?REFERENTIAL"),"_")))))</f>
        <v/>
      </c>
      <c r="H1039" s="12" t="str">
        <f aca="false">IF(J1039&lt;&gt;1,"",IF(I1039="SBJ","CB","?"))</f>
        <v/>
      </c>
      <c r="I1039" s="13" t="str">
        <f aca="false">IF(OR(E1039="",E1039="!!!",F1039="NEW"),"",INDEX(B$2:B1038,-1+SUMPRODUCT(MAX(ROW(E$2:E1038)*(E1039=E$2:E1038)))))</f>
        <v/>
      </c>
      <c r="J1039" s="14" t="str">
        <f aca="true">IF(OR(E1039="",E1039="!!!",F1039="NEW"),"",COUNTBLANK(OFFSET(A$1,,,SUMPRODUCT(MAX(ROW(E$2:E1039)*(E1039=E$2:E1039)))))-COUNTBLANK(OFFSET(A$1,,,SUMPRODUCT(MAX(ROW(E$1:E1038)*(E1039=E$1:E1038))))))</f>
        <v/>
      </c>
      <c r="K1039" s="14" t="str">
        <f aca="false">IF(OR(E1039="",E1039="!!!",F1039="NEW"),"",INDEX(J$1:J1038,SUMPRODUCT(MAX(ROW(E$1:E1038)*(E1039=E$1:E1038)))))</f>
        <v/>
      </c>
      <c r="L1039" s="15"/>
    </row>
    <row r="1040" customFormat="false" ht="12.75" hidden="false" customHeight="false" outlineLevel="0" collapsed="false">
      <c r="A1040" s="0" t="s">
        <v>88</v>
      </c>
      <c r="E1040" s="9" t="str">
        <f aca="false">IF(D1040="?OLD","!!!","")</f>
        <v/>
      </c>
      <c r="F1040" s="10" t="str">
        <f aca="false">IF(OR(E1040="",E1040="!!!"),"",IF(NOT(ISNA(VLOOKUP(E1040,E$1:E1039,1,FALSE()))),"OLD",IF(AND(E1040&lt;&gt;"",E1040&lt;&gt;"!!!"),"NEW","")))</f>
        <v/>
      </c>
      <c r="G1040" s="11" t="str">
        <f aca="false">IF(OR(E1040="",E1040="!!!"),"",IF(OR(J1040=0,AND(J1040=1,K1040=1),AND(J1040=1,I1040="SBJ"),AND(J1040=1,I1040=0)),"?IN_FOCUS",IF(J1040&lt;=2,"?ACTIVATED",IF(J1040&lt;&gt;"","?FAMILIAR",IF(F1040="NEW",IF(ISNA(VLOOKUP(E1040,#REF!,1,FALSE())),"?TYPE_IDENTIFIABLE","?REFERENTIAL"),"_")))))</f>
        <v/>
      </c>
      <c r="H1040" s="12" t="str">
        <f aca="false">IF(J1040&lt;&gt;1,"",IF(I1040="SBJ","CB","?"))</f>
        <v/>
      </c>
      <c r="I1040" s="13" t="str">
        <f aca="false">IF(OR(E1040="",E1040="!!!",F1040="NEW"),"",INDEX(B$2:B1039,-1+SUMPRODUCT(MAX(ROW(E$2:E1039)*(E1040=E$2:E1039)))))</f>
        <v/>
      </c>
      <c r="J1040" s="14" t="str">
        <f aca="true">IF(OR(E1040="",E1040="!!!",F1040="NEW"),"",COUNTBLANK(OFFSET(A$1,,,SUMPRODUCT(MAX(ROW(E$2:E1040)*(E1040=E$2:E1040)))))-COUNTBLANK(OFFSET(A$1,,,SUMPRODUCT(MAX(ROW(E$1:E1039)*(E1040=E$1:E1039))))))</f>
        <v/>
      </c>
      <c r="K1040" s="14" t="str">
        <f aca="false">IF(OR(E1040="",E1040="!!!",F1040="NEW"),"",INDEX(J$1:J1039,SUMPRODUCT(MAX(ROW(E$1:E1039)*(E1040=E$1:E1039)))))</f>
        <v/>
      </c>
      <c r="L1040" s="15"/>
    </row>
    <row r="1041" customFormat="false" ht="12.75" hidden="false" customHeight="false" outlineLevel="0" collapsed="false">
      <c r="A1041" s="0" t="s">
        <v>528</v>
      </c>
      <c r="E1041" s="9" t="str">
        <f aca="false">IF(D1041="?OLD","!!!","")</f>
        <v/>
      </c>
      <c r="F1041" s="10" t="str">
        <f aca="false">IF(OR(E1041="",E1041="!!!"),"",IF(NOT(ISNA(VLOOKUP(E1041,E$1:E1040,1,FALSE()))),"OLD",IF(AND(E1041&lt;&gt;"",E1041&lt;&gt;"!!!"),"NEW","")))</f>
        <v/>
      </c>
      <c r="G1041" s="11" t="str">
        <f aca="false">IF(OR(E1041="",E1041="!!!"),"",IF(OR(J1041=0,AND(J1041=1,K1041=1),AND(J1041=1,I1041="SBJ"),AND(J1041=1,I1041=0)),"?IN_FOCUS",IF(J1041&lt;=2,"?ACTIVATED",IF(J1041&lt;&gt;"","?FAMILIAR",IF(F1041="NEW",IF(ISNA(VLOOKUP(E1041,#REF!,1,FALSE())),"?TYPE_IDENTIFIABLE","?REFERENTIAL"),"_")))))</f>
        <v/>
      </c>
      <c r="H1041" s="12" t="str">
        <f aca="false">IF(J1041&lt;&gt;1,"",IF(I1041="SBJ","CB","?"))</f>
        <v/>
      </c>
      <c r="I1041" s="13" t="str">
        <f aca="false">IF(OR(E1041="",E1041="!!!",F1041="NEW"),"",INDEX(B$2:B1040,-1+SUMPRODUCT(MAX(ROW(E$2:E1040)*(E1041=E$2:E1040)))))</f>
        <v/>
      </c>
      <c r="J1041" s="14" t="str">
        <f aca="true">IF(OR(E1041="",E1041="!!!",F1041="NEW"),"",COUNTBLANK(OFFSET(A$1,,,SUMPRODUCT(MAX(ROW(E$2:E1041)*(E1041=E$2:E1041)))))-COUNTBLANK(OFFSET(A$1,,,SUMPRODUCT(MAX(ROW(E$1:E1040)*(E1041=E$1:E1040))))))</f>
        <v/>
      </c>
      <c r="K1041" s="14" t="str">
        <f aca="false">IF(OR(E1041="",E1041="!!!",F1041="NEW"),"",INDEX(J$1:J1040,SUMPRODUCT(MAX(ROW(E$1:E1040)*(E1041=E$1:E1040)))))</f>
        <v/>
      </c>
      <c r="L1041" s="15"/>
    </row>
    <row r="1042" customFormat="false" ht="12.75" hidden="false" customHeight="false" outlineLevel="0" collapsed="false">
      <c r="A1042" s="0" t="s">
        <v>122</v>
      </c>
      <c r="B1042" s="0" t="s">
        <v>42</v>
      </c>
      <c r="C1042" s="0" t="s">
        <v>38</v>
      </c>
      <c r="D1042" s="0" t="s">
        <v>29</v>
      </c>
      <c r="E1042" s="9" t="str">
        <f aca="false">IF(D1042="?OLD","!!!","")</f>
        <v>!!!</v>
      </c>
      <c r="F1042" s="10" t="str">
        <f aca="false">IF(OR(E1042="",E1042="!!!"),"",IF(NOT(ISNA(VLOOKUP(E1042,E$1:E1041,1,FALSE()))),"OLD",IF(AND(E1042&lt;&gt;"",E1042&lt;&gt;"!!!"),"NEW","")))</f>
        <v/>
      </c>
      <c r="G1042" s="11" t="str">
        <f aca="false">IF(OR(E1042="",E1042="!!!"),"",IF(OR(J1042=0,AND(J1042=1,K1042=1),AND(J1042=1,I1042="SBJ"),AND(J1042=1,I1042=0)),"?IN_FOCUS",IF(J1042&lt;=2,"?ACTIVATED",IF(J1042&lt;&gt;"","?FAMILIAR",IF(F1042="NEW",IF(ISNA(VLOOKUP(E1042,#REF!,1,FALSE())),"?TYPE_IDENTIFIABLE","?REFERENTIAL"),"_")))))</f>
        <v/>
      </c>
      <c r="H1042" s="12" t="str">
        <f aca="false">IF(J1042&lt;&gt;1,"",IF(I1042="SBJ","CB","?"))</f>
        <v/>
      </c>
      <c r="I1042" s="13" t="str">
        <f aca="false">IF(OR(E1042="",E1042="!!!",F1042="NEW"),"",INDEX(B$2:B1041,-1+SUMPRODUCT(MAX(ROW(E$2:E1041)*(E1042=E$2:E1041)))))</f>
        <v/>
      </c>
      <c r="J1042" s="14" t="str">
        <f aca="true">IF(OR(E1042="",E1042="!!!",F1042="NEW"),"",COUNTBLANK(OFFSET(A$1,,,SUMPRODUCT(MAX(ROW(E$2:E1042)*(E1042=E$2:E1042)))))-COUNTBLANK(OFFSET(A$1,,,SUMPRODUCT(MAX(ROW(E$1:E1041)*(E1042=E$1:E1041))))))</f>
        <v/>
      </c>
      <c r="K1042" s="14" t="str">
        <f aca="false">IF(OR(E1042="",E1042="!!!",F1042="NEW"),"",INDEX(J$1:J1041,SUMPRODUCT(MAX(ROW(E$1:E1041)*(E1042=E$1:E1041)))))</f>
        <v/>
      </c>
      <c r="L1042" s="15"/>
    </row>
    <row r="1043" customFormat="false" ht="12.75" hidden="false" customHeight="false" outlineLevel="0" collapsed="false">
      <c r="A1043" s="0" t="s">
        <v>498</v>
      </c>
      <c r="E1043" s="9" t="str">
        <f aca="false">IF(D1043="?OLD","!!!","")</f>
        <v/>
      </c>
      <c r="F1043" s="10" t="str">
        <f aca="false">IF(OR(E1043="",E1043="!!!"),"",IF(NOT(ISNA(VLOOKUP(E1043,E$1:E1042,1,FALSE()))),"OLD",IF(AND(E1043&lt;&gt;"",E1043&lt;&gt;"!!!"),"NEW","")))</f>
        <v/>
      </c>
      <c r="G1043" s="11" t="str">
        <f aca="false">IF(OR(E1043="",E1043="!!!"),"",IF(OR(J1043=0,AND(J1043=1,K1043=1),AND(J1043=1,I1043="SBJ"),AND(J1043=1,I1043=0)),"?IN_FOCUS",IF(J1043&lt;=2,"?ACTIVATED",IF(J1043&lt;&gt;"","?FAMILIAR",IF(F1043="NEW",IF(ISNA(VLOOKUP(E1043,#REF!,1,FALSE())),"?TYPE_IDENTIFIABLE","?REFERENTIAL"),"_")))))</f>
        <v/>
      </c>
      <c r="H1043" s="12" t="str">
        <f aca="false">IF(J1043&lt;&gt;1,"",IF(I1043="SBJ","CB","?"))</f>
        <v/>
      </c>
      <c r="I1043" s="13" t="str">
        <f aca="false">IF(OR(E1043="",E1043="!!!",F1043="NEW"),"",INDEX(B$2:B1042,-1+SUMPRODUCT(MAX(ROW(E$2:E1042)*(E1043=E$2:E1042)))))</f>
        <v/>
      </c>
      <c r="J1043" s="14" t="str">
        <f aca="true">IF(OR(E1043="",E1043="!!!",F1043="NEW"),"",COUNTBLANK(OFFSET(A$1,,,SUMPRODUCT(MAX(ROW(E$2:E1043)*(E1043=E$2:E1043)))))-COUNTBLANK(OFFSET(A$1,,,SUMPRODUCT(MAX(ROW(E$1:E1042)*(E1043=E$1:E1042))))))</f>
        <v/>
      </c>
      <c r="K1043" s="14" t="str">
        <f aca="false">IF(OR(E1043="",E1043="!!!",F1043="NEW"),"",INDEX(J$1:J1042,SUMPRODUCT(MAX(ROW(E$1:E1042)*(E1043=E$1:E1042)))))</f>
        <v/>
      </c>
      <c r="L1043" s="15"/>
    </row>
    <row r="1044" customFormat="false" ht="12.75" hidden="false" customHeight="false" outlineLevel="0" collapsed="false">
      <c r="A1044" s="0" t="s">
        <v>66</v>
      </c>
      <c r="E1044" s="9" t="str">
        <f aca="false">IF(D1044="?OLD","!!!","")</f>
        <v/>
      </c>
      <c r="F1044" s="10" t="str">
        <f aca="false">IF(OR(E1044="",E1044="!!!"),"",IF(NOT(ISNA(VLOOKUP(E1044,E$1:E1043,1,FALSE()))),"OLD",IF(AND(E1044&lt;&gt;"",E1044&lt;&gt;"!!!"),"NEW","")))</f>
        <v/>
      </c>
      <c r="G1044" s="11" t="str">
        <f aca="false">IF(OR(E1044="",E1044="!!!"),"",IF(OR(J1044=0,AND(J1044=1,K1044=1),AND(J1044=1,I1044="SBJ"),AND(J1044=1,I1044=0)),"?IN_FOCUS",IF(J1044&lt;=2,"?ACTIVATED",IF(J1044&lt;&gt;"","?FAMILIAR",IF(F1044="NEW",IF(ISNA(VLOOKUP(E1044,#REF!,1,FALSE())),"?TYPE_IDENTIFIABLE","?REFERENTIAL"),"_")))))</f>
        <v/>
      </c>
      <c r="H1044" s="12" t="str">
        <f aca="false">IF(J1044&lt;&gt;1,"",IF(I1044="SBJ","CB","?"))</f>
        <v/>
      </c>
      <c r="I1044" s="13" t="str">
        <f aca="false">IF(OR(E1044="",E1044="!!!",F1044="NEW"),"",INDEX(B$2:B1043,-1+SUMPRODUCT(MAX(ROW(E$2:E1043)*(E1044=E$2:E1043)))))</f>
        <v/>
      </c>
      <c r="J1044" s="14" t="str">
        <f aca="true">IF(OR(E1044="",E1044="!!!",F1044="NEW"),"",COUNTBLANK(OFFSET(A$1,,,SUMPRODUCT(MAX(ROW(E$2:E1044)*(E1044=E$2:E1044)))))-COUNTBLANK(OFFSET(A$1,,,SUMPRODUCT(MAX(ROW(E$1:E1043)*(E1044=E$1:E1043))))))</f>
        <v/>
      </c>
      <c r="K1044" s="14" t="str">
        <f aca="false">IF(OR(E1044="",E1044="!!!",F1044="NEW"),"",INDEX(J$1:J1043,SUMPRODUCT(MAX(ROW(E$1:E1043)*(E1044=E$1:E1043)))))</f>
        <v/>
      </c>
      <c r="L1044" s="15"/>
    </row>
    <row r="1045" customFormat="false" ht="12.75" hidden="false" customHeight="false" outlineLevel="0" collapsed="false">
      <c r="A1045" s="0" t="s">
        <v>516</v>
      </c>
      <c r="E1045" s="9" t="str">
        <f aca="false">IF(D1045="?OLD","!!!","")</f>
        <v/>
      </c>
      <c r="F1045" s="10" t="str">
        <f aca="false">IF(OR(E1045="",E1045="!!!"),"",IF(NOT(ISNA(VLOOKUP(E1045,E$1:E1044,1,FALSE()))),"OLD",IF(AND(E1045&lt;&gt;"",E1045&lt;&gt;"!!!"),"NEW","")))</f>
        <v/>
      </c>
      <c r="G1045" s="11" t="str">
        <f aca="false">IF(OR(E1045="",E1045="!!!"),"",IF(OR(J1045=0,AND(J1045=1,K1045=1),AND(J1045=1,I1045="SBJ"),AND(J1045=1,I1045=0)),"?IN_FOCUS",IF(J1045&lt;=2,"?ACTIVATED",IF(J1045&lt;&gt;"","?FAMILIAR",IF(F1045="NEW",IF(ISNA(VLOOKUP(E1045,#REF!,1,FALSE())),"?TYPE_IDENTIFIABLE","?REFERENTIAL"),"_")))))</f>
        <v/>
      </c>
      <c r="H1045" s="12" t="str">
        <f aca="false">IF(J1045&lt;&gt;1,"",IF(I1045="SBJ","CB","?"))</f>
        <v/>
      </c>
      <c r="I1045" s="13" t="str">
        <f aca="false">IF(OR(E1045="",E1045="!!!",F1045="NEW"),"",INDEX(B$2:B1044,-1+SUMPRODUCT(MAX(ROW(E$2:E1044)*(E1045=E$2:E1044)))))</f>
        <v/>
      </c>
      <c r="J1045" s="14" t="str">
        <f aca="true">IF(OR(E1045="",E1045="!!!",F1045="NEW"),"",COUNTBLANK(OFFSET(A$1,,,SUMPRODUCT(MAX(ROW(E$2:E1045)*(E1045=E$2:E1045)))))-COUNTBLANK(OFFSET(A$1,,,SUMPRODUCT(MAX(ROW(E$1:E1044)*(E1045=E$1:E1044))))))</f>
        <v/>
      </c>
      <c r="K1045" s="14" t="str">
        <f aca="false">IF(OR(E1045="",E1045="!!!",F1045="NEW"),"",INDEX(J$1:J1044,SUMPRODUCT(MAX(ROW(E$1:E1044)*(E1045=E$1:E1044)))))</f>
        <v/>
      </c>
      <c r="L1045" s="15"/>
    </row>
    <row r="1046" customFormat="false" ht="12.75" hidden="false" customHeight="false" outlineLevel="0" collapsed="false">
      <c r="A1046" s="0" t="s">
        <v>201</v>
      </c>
      <c r="B1046" s="0" t="s">
        <v>103</v>
      </c>
      <c r="C1046" s="0" t="s">
        <v>111</v>
      </c>
      <c r="D1046" s="0" t="s">
        <v>29</v>
      </c>
      <c r="E1046" s="9" t="str">
        <f aca="false">IF(D1046="?OLD","!!!","")</f>
        <v>!!!</v>
      </c>
      <c r="F1046" s="10" t="str">
        <f aca="false">IF(OR(E1046="",E1046="!!!"),"",IF(NOT(ISNA(VLOOKUP(E1046,E$1:E1045,1,FALSE()))),"OLD",IF(AND(E1046&lt;&gt;"",E1046&lt;&gt;"!!!"),"NEW","")))</f>
        <v/>
      </c>
      <c r="G1046" s="11" t="str">
        <f aca="false">IF(OR(E1046="",E1046="!!!"),"",IF(OR(J1046=0,AND(J1046=1,K1046=1),AND(J1046=1,I1046="SBJ"),AND(J1046=1,I1046=0)),"?IN_FOCUS",IF(J1046&lt;=2,"?ACTIVATED",IF(J1046&lt;&gt;"","?FAMILIAR",IF(F1046="NEW",IF(ISNA(VLOOKUP(E1046,#REF!,1,FALSE())),"?TYPE_IDENTIFIABLE","?REFERENTIAL"),"_")))))</f>
        <v/>
      </c>
      <c r="H1046" s="12" t="str">
        <f aca="false">IF(J1046&lt;&gt;1,"",IF(I1046="SBJ","CB","?"))</f>
        <v/>
      </c>
      <c r="I1046" s="13" t="str">
        <f aca="false">IF(OR(E1046="",E1046="!!!",F1046="NEW"),"",INDEX(B$2:B1045,-1+SUMPRODUCT(MAX(ROW(E$2:E1045)*(E1046=E$2:E1045)))))</f>
        <v/>
      </c>
      <c r="J1046" s="14" t="str">
        <f aca="true">IF(OR(E1046="",E1046="!!!",F1046="NEW"),"",COUNTBLANK(OFFSET(A$1,,,SUMPRODUCT(MAX(ROW(E$2:E1046)*(E1046=E$2:E1046)))))-COUNTBLANK(OFFSET(A$1,,,SUMPRODUCT(MAX(ROW(E$1:E1045)*(E1046=E$1:E1045))))))</f>
        <v/>
      </c>
      <c r="K1046" s="14" t="str">
        <f aca="false">IF(OR(E1046="",E1046="!!!",F1046="NEW"),"",INDEX(J$1:J1045,SUMPRODUCT(MAX(ROW(E$1:E1045)*(E1046=E$1:E1045)))))</f>
        <v/>
      </c>
      <c r="L1046" s="15"/>
    </row>
    <row r="1047" customFormat="false" ht="12.75" hidden="false" customHeight="false" outlineLevel="0" collapsed="false">
      <c r="A1047" s="0" t="s">
        <v>194</v>
      </c>
      <c r="E1047" s="9" t="str">
        <f aca="false">IF(D1047="?OLD","!!!","")</f>
        <v/>
      </c>
      <c r="F1047" s="10" t="str">
        <f aca="false">IF(OR(E1047="",E1047="!!!"),"",IF(NOT(ISNA(VLOOKUP(E1047,E$1:E1046,1,FALSE()))),"OLD",IF(AND(E1047&lt;&gt;"",E1047&lt;&gt;"!!!"),"NEW","")))</f>
        <v/>
      </c>
      <c r="G1047" s="11" t="str">
        <f aca="false">IF(OR(E1047="",E1047="!!!"),"",IF(OR(J1047=0,AND(J1047=1,K1047=1),AND(J1047=1,I1047="SBJ"),AND(J1047=1,I1047=0)),"?IN_FOCUS",IF(J1047&lt;=2,"?ACTIVATED",IF(J1047&lt;&gt;"","?FAMILIAR",IF(F1047="NEW",IF(ISNA(VLOOKUP(E1047,#REF!,1,FALSE())),"?TYPE_IDENTIFIABLE","?REFERENTIAL"),"_")))))</f>
        <v/>
      </c>
      <c r="H1047" s="12" t="str">
        <f aca="false">IF(J1047&lt;&gt;1,"",IF(I1047="SBJ","CB","?"))</f>
        <v/>
      </c>
      <c r="I1047" s="13" t="str">
        <f aca="false">IF(OR(E1047="",E1047="!!!",F1047="NEW"),"",INDEX(B$2:B1046,-1+SUMPRODUCT(MAX(ROW(E$2:E1046)*(E1047=E$2:E1046)))))</f>
        <v/>
      </c>
      <c r="J1047" s="14" t="str">
        <f aca="true">IF(OR(E1047="",E1047="!!!",F1047="NEW"),"",COUNTBLANK(OFFSET(A$1,,,SUMPRODUCT(MAX(ROW(E$2:E1047)*(E1047=E$2:E1047)))))-COUNTBLANK(OFFSET(A$1,,,SUMPRODUCT(MAX(ROW(E$1:E1046)*(E1047=E$1:E1046))))))</f>
        <v/>
      </c>
      <c r="K1047" s="14" t="str">
        <f aca="false">IF(OR(E1047="",E1047="!!!",F1047="NEW"),"",INDEX(J$1:J1046,SUMPRODUCT(MAX(ROW(E$1:E1046)*(E1047=E$1:E1046)))))</f>
        <v/>
      </c>
      <c r="L1047" s="15"/>
    </row>
    <row r="1048" customFormat="false" ht="12.75" hidden="false" customHeight="false" outlineLevel="0" collapsed="false">
      <c r="A1048" s="0" t="s">
        <v>129</v>
      </c>
      <c r="E1048" s="9" t="str">
        <f aca="false">IF(D1048="?OLD","!!!","")</f>
        <v/>
      </c>
      <c r="F1048" s="10" t="str">
        <f aca="false">IF(OR(E1048="",E1048="!!!"),"",IF(NOT(ISNA(VLOOKUP(E1048,E$1:E1047,1,FALSE()))),"OLD",IF(AND(E1048&lt;&gt;"",E1048&lt;&gt;"!!!"),"NEW","")))</f>
        <v/>
      </c>
      <c r="G1048" s="11" t="str">
        <f aca="false">IF(OR(E1048="",E1048="!!!"),"",IF(OR(J1048=0,AND(J1048=1,K1048=1),AND(J1048=1,I1048="SBJ"),AND(J1048=1,I1048=0)),"?IN_FOCUS",IF(J1048&lt;=2,"?ACTIVATED",IF(J1048&lt;&gt;"","?FAMILIAR",IF(F1048="NEW",IF(ISNA(VLOOKUP(E1048,#REF!,1,FALSE())),"?TYPE_IDENTIFIABLE","?REFERENTIAL"),"_")))))</f>
        <v/>
      </c>
      <c r="H1048" s="12" t="str">
        <f aca="false">IF(J1048&lt;&gt;1,"",IF(I1048="SBJ","CB","?"))</f>
        <v/>
      </c>
      <c r="I1048" s="13" t="str">
        <f aca="false">IF(OR(E1048="",E1048="!!!",F1048="NEW"),"",INDEX(B$2:B1047,-1+SUMPRODUCT(MAX(ROW(E$2:E1047)*(E1048=E$2:E1047)))))</f>
        <v/>
      </c>
      <c r="J1048" s="14" t="str">
        <f aca="true">IF(OR(E1048="",E1048="!!!",F1048="NEW"),"",COUNTBLANK(OFFSET(A$1,,,SUMPRODUCT(MAX(ROW(E$2:E1048)*(E1048=E$2:E1048)))))-COUNTBLANK(OFFSET(A$1,,,SUMPRODUCT(MAX(ROW(E$1:E1047)*(E1048=E$1:E1047))))))</f>
        <v/>
      </c>
      <c r="K1048" s="14" t="str">
        <f aca="false">IF(OR(E1048="",E1048="!!!",F1048="NEW"),"",INDEX(J$1:J1047,SUMPRODUCT(MAX(ROW(E$1:E1047)*(E1048=E$1:E1047)))))</f>
        <v/>
      </c>
      <c r="L1048" s="15"/>
    </row>
    <row r="1049" customFormat="false" ht="12.75" hidden="false" customHeight="false" outlineLevel="0" collapsed="false">
      <c r="A1049" s="0" t="s">
        <v>88</v>
      </c>
      <c r="E1049" s="9" t="str">
        <f aca="false">IF(D1049="?OLD","!!!","")</f>
        <v/>
      </c>
      <c r="F1049" s="10" t="str">
        <f aca="false">IF(OR(E1049="",E1049="!!!"),"",IF(NOT(ISNA(VLOOKUP(E1049,E$1:E1048,1,FALSE()))),"OLD",IF(AND(E1049&lt;&gt;"",E1049&lt;&gt;"!!!"),"NEW","")))</f>
        <v/>
      </c>
      <c r="G1049" s="11" t="str">
        <f aca="false">IF(OR(E1049="",E1049="!!!"),"",IF(OR(J1049=0,AND(J1049=1,K1049=1),AND(J1049=1,I1049="SBJ"),AND(J1049=1,I1049=0)),"?IN_FOCUS",IF(J1049&lt;=2,"?ACTIVATED",IF(J1049&lt;&gt;"","?FAMILIAR",IF(F1049="NEW",IF(ISNA(VLOOKUP(E1049,#REF!,1,FALSE())),"?TYPE_IDENTIFIABLE","?REFERENTIAL"),"_")))))</f>
        <v/>
      </c>
      <c r="H1049" s="12" t="str">
        <f aca="false">IF(J1049&lt;&gt;1,"",IF(I1049="SBJ","CB","?"))</f>
        <v/>
      </c>
      <c r="I1049" s="13" t="str">
        <f aca="false">IF(OR(E1049="",E1049="!!!",F1049="NEW"),"",INDEX(B$2:B1048,-1+SUMPRODUCT(MAX(ROW(E$2:E1048)*(E1049=E$2:E1048)))))</f>
        <v/>
      </c>
      <c r="J1049" s="14" t="str">
        <f aca="true">IF(OR(E1049="",E1049="!!!",F1049="NEW"),"",COUNTBLANK(OFFSET(A$1,,,SUMPRODUCT(MAX(ROW(E$2:E1049)*(E1049=E$2:E1049)))))-COUNTBLANK(OFFSET(A$1,,,SUMPRODUCT(MAX(ROW(E$1:E1048)*(E1049=E$1:E1048))))))</f>
        <v/>
      </c>
      <c r="K1049" s="14" t="str">
        <f aca="false">IF(OR(E1049="",E1049="!!!",F1049="NEW"),"",INDEX(J$1:J1048,SUMPRODUCT(MAX(ROW(E$1:E1048)*(E1049=E$1:E1048)))))</f>
        <v/>
      </c>
      <c r="L1049" s="15"/>
    </row>
    <row r="1050" customFormat="false" ht="12.75" hidden="false" customHeight="false" outlineLevel="0" collapsed="false">
      <c r="A1050" s="0" t="s">
        <v>46</v>
      </c>
      <c r="B1050" s="0" t="s">
        <v>42</v>
      </c>
      <c r="C1050" s="0" t="s">
        <v>38</v>
      </c>
      <c r="D1050" s="0" t="s">
        <v>29</v>
      </c>
      <c r="E1050" s="9" t="str">
        <f aca="false">IF(D1050="?OLD","!!!","")</f>
        <v>!!!</v>
      </c>
      <c r="F1050" s="10" t="str">
        <f aca="false">IF(OR(E1050="",E1050="!!!"),"",IF(NOT(ISNA(VLOOKUP(E1050,E$1:E1049,1,FALSE()))),"OLD",IF(AND(E1050&lt;&gt;"",E1050&lt;&gt;"!!!"),"NEW","")))</f>
        <v/>
      </c>
      <c r="G1050" s="11" t="str">
        <f aca="false">IF(OR(E1050="",E1050="!!!"),"",IF(OR(J1050=0,AND(J1050=1,K1050=1),AND(J1050=1,I1050="SBJ"),AND(J1050=1,I1050=0)),"?IN_FOCUS",IF(J1050&lt;=2,"?ACTIVATED",IF(J1050&lt;&gt;"","?FAMILIAR",IF(F1050="NEW",IF(ISNA(VLOOKUP(E1050,#REF!,1,FALSE())),"?TYPE_IDENTIFIABLE","?REFERENTIAL"),"_")))))</f>
        <v/>
      </c>
      <c r="H1050" s="12" t="str">
        <f aca="false">IF(J1050&lt;&gt;1,"",IF(I1050="SBJ","CB","?"))</f>
        <v/>
      </c>
      <c r="I1050" s="13" t="str">
        <f aca="false">IF(OR(E1050="",E1050="!!!",F1050="NEW"),"",INDEX(B$2:B1049,-1+SUMPRODUCT(MAX(ROW(E$2:E1049)*(E1050=E$2:E1049)))))</f>
        <v/>
      </c>
      <c r="J1050" s="14" t="str">
        <f aca="true">IF(OR(E1050="",E1050="!!!",F1050="NEW"),"",COUNTBLANK(OFFSET(A$1,,,SUMPRODUCT(MAX(ROW(E$2:E1050)*(E1050=E$2:E1050)))))-COUNTBLANK(OFFSET(A$1,,,SUMPRODUCT(MAX(ROW(E$1:E1049)*(E1050=E$1:E1049))))))</f>
        <v/>
      </c>
      <c r="K1050" s="14" t="str">
        <f aca="false">IF(OR(E1050="",E1050="!!!",F1050="NEW"),"",INDEX(J$1:J1049,SUMPRODUCT(MAX(ROW(E$1:E1049)*(E1050=E$1:E1049)))))</f>
        <v/>
      </c>
      <c r="L1050" s="15"/>
    </row>
    <row r="1051" customFormat="false" ht="12.75" hidden="false" customHeight="false" outlineLevel="0" collapsed="false">
      <c r="A1051" s="0" t="s">
        <v>229</v>
      </c>
      <c r="E1051" s="9" t="str">
        <f aca="false">IF(D1051="?OLD","!!!","")</f>
        <v/>
      </c>
      <c r="F1051" s="10" t="str">
        <f aca="false">IF(OR(E1051="",E1051="!!!"),"",IF(NOT(ISNA(VLOOKUP(E1051,E$1:E1050,1,FALSE()))),"OLD",IF(AND(E1051&lt;&gt;"",E1051&lt;&gt;"!!!"),"NEW","")))</f>
        <v/>
      </c>
      <c r="G1051" s="11" t="str">
        <f aca="false">IF(OR(E1051="",E1051="!!!"),"",IF(OR(J1051=0,AND(J1051=1,K1051=1),AND(J1051=1,I1051="SBJ"),AND(J1051=1,I1051=0)),"?IN_FOCUS",IF(J1051&lt;=2,"?ACTIVATED",IF(J1051&lt;&gt;"","?FAMILIAR",IF(F1051="NEW",IF(ISNA(VLOOKUP(E1051,#REF!,1,FALSE())),"?TYPE_IDENTIFIABLE","?REFERENTIAL"),"_")))))</f>
        <v/>
      </c>
      <c r="H1051" s="12" t="str">
        <f aca="false">IF(J1051&lt;&gt;1,"",IF(I1051="SBJ","CB","?"))</f>
        <v/>
      </c>
      <c r="I1051" s="13" t="str">
        <f aca="false">IF(OR(E1051="",E1051="!!!",F1051="NEW"),"",INDEX(B$2:B1050,-1+SUMPRODUCT(MAX(ROW(E$2:E1050)*(E1051=E$2:E1050)))))</f>
        <v/>
      </c>
      <c r="J1051" s="14" t="str">
        <f aca="true">IF(OR(E1051="",E1051="!!!",F1051="NEW"),"",COUNTBLANK(OFFSET(A$1,,,SUMPRODUCT(MAX(ROW(E$2:E1051)*(E1051=E$2:E1051)))))-COUNTBLANK(OFFSET(A$1,,,SUMPRODUCT(MAX(ROW(E$1:E1050)*(E1051=E$1:E1050))))))</f>
        <v/>
      </c>
      <c r="K1051" s="14" t="str">
        <f aca="false">IF(OR(E1051="",E1051="!!!",F1051="NEW"),"",INDEX(J$1:J1050,SUMPRODUCT(MAX(ROW(E$1:E1050)*(E1051=E$1:E1050)))))</f>
        <v/>
      </c>
      <c r="L1051" s="15"/>
    </row>
    <row r="1052" customFormat="false" ht="12.75" hidden="false" customHeight="false" outlineLevel="0" collapsed="false">
      <c r="A1052" s="0" t="s">
        <v>190</v>
      </c>
      <c r="B1052" s="0" t="s">
        <v>103</v>
      </c>
      <c r="C1052" s="0" t="s">
        <v>38</v>
      </c>
      <c r="D1052" s="0" t="s">
        <v>29</v>
      </c>
      <c r="E1052" s="9" t="str">
        <f aca="false">IF(D1052="?OLD","!!!","")</f>
        <v>!!!</v>
      </c>
      <c r="F1052" s="10" t="str">
        <f aca="false">IF(OR(E1052="",E1052="!!!"),"",IF(NOT(ISNA(VLOOKUP(E1052,E$1:E1051,1,FALSE()))),"OLD",IF(AND(E1052&lt;&gt;"",E1052&lt;&gt;"!!!"),"NEW","")))</f>
        <v/>
      </c>
      <c r="G1052" s="11" t="str">
        <f aca="false">IF(OR(E1052="",E1052="!!!"),"",IF(OR(J1052=0,AND(J1052=1,K1052=1),AND(J1052=1,I1052="SBJ"),AND(J1052=1,I1052=0)),"?IN_FOCUS",IF(J1052&lt;=2,"?ACTIVATED",IF(J1052&lt;&gt;"","?FAMILIAR",IF(F1052="NEW",IF(ISNA(VLOOKUP(E1052,#REF!,1,FALSE())),"?TYPE_IDENTIFIABLE","?REFERENTIAL"),"_")))))</f>
        <v/>
      </c>
      <c r="H1052" s="12" t="str">
        <f aca="false">IF(J1052&lt;&gt;1,"",IF(I1052="SBJ","CB","?"))</f>
        <v/>
      </c>
      <c r="I1052" s="13" t="str">
        <f aca="false">IF(OR(E1052="",E1052="!!!",F1052="NEW"),"",INDEX(B$2:B1051,-1+SUMPRODUCT(MAX(ROW(E$2:E1051)*(E1052=E$2:E1051)))))</f>
        <v/>
      </c>
      <c r="J1052" s="14" t="str">
        <f aca="true">IF(OR(E1052="",E1052="!!!",F1052="NEW"),"",COUNTBLANK(OFFSET(A$1,,,SUMPRODUCT(MAX(ROW(E$2:E1052)*(E1052=E$2:E1052)))))-COUNTBLANK(OFFSET(A$1,,,SUMPRODUCT(MAX(ROW(E$1:E1051)*(E1052=E$1:E1051))))))</f>
        <v/>
      </c>
      <c r="K1052" s="14" t="str">
        <f aca="false">IF(OR(E1052="",E1052="!!!",F1052="NEW"),"",INDEX(J$1:J1051,SUMPRODUCT(MAX(ROW(E$1:E1051)*(E1052=E$1:E1051)))))</f>
        <v/>
      </c>
      <c r="L1052" s="15"/>
    </row>
    <row r="1053" customFormat="false" ht="12.75" hidden="false" customHeight="false" outlineLevel="0" collapsed="false">
      <c r="A1053" s="0" t="s">
        <v>88</v>
      </c>
      <c r="E1053" s="9" t="str">
        <f aca="false">IF(D1053="?OLD","!!!","")</f>
        <v/>
      </c>
      <c r="F1053" s="10" t="str">
        <f aca="false">IF(OR(E1053="",E1053="!!!"),"",IF(NOT(ISNA(VLOOKUP(E1053,E$1:E1052,1,FALSE()))),"OLD",IF(AND(E1053&lt;&gt;"",E1053&lt;&gt;"!!!"),"NEW","")))</f>
        <v/>
      </c>
      <c r="G1053" s="11" t="str">
        <f aca="false">IF(OR(E1053="",E1053="!!!"),"",IF(OR(J1053=0,AND(J1053=1,K1053=1),AND(J1053=1,I1053="SBJ"),AND(J1053=1,I1053=0)),"?IN_FOCUS",IF(J1053&lt;=2,"?ACTIVATED",IF(J1053&lt;&gt;"","?FAMILIAR",IF(F1053="NEW",IF(ISNA(VLOOKUP(E1053,#REF!,1,FALSE())),"?TYPE_IDENTIFIABLE","?REFERENTIAL"),"_")))))</f>
        <v/>
      </c>
      <c r="H1053" s="12" t="str">
        <f aca="false">IF(J1053&lt;&gt;1,"",IF(I1053="SBJ","CB","?"))</f>
        <v/>
      </c>
      <c r="I1053" s="13" t="str">
        <f aca="false">IF(OR(E1053="",E1053="!!!",F1053="NEW"),"",INDEX(B$2:B1052,-1+SUMPRODUCT(MAX(ROW(E$2:E1052)*(E1053=E$2:E1052)))))</f>
        <v/>
      </c>
      <c r="J1053" s="14" t="str">
        <f aca="true">IF(OR(E1053="",E1053="!!!",F1053="NEW"),"",COUNTBLANK(OFFSET(A$1,,,SUMPRODUCT(MAX(ROW(E$2:E1053)*(E1053=E$2:E1053)))))-COUNTBLANK(OFFSET(A$1,,,SUMPRODUCT(MAX(ROW(E$1:E1052)*(E1053=E$1:E1052))))))</f>
        <v/>
      </c>
      <c r="K1053" s="14" t="str">
        <f aca="false">IF(OR(E1053="",E1053="!!!",F1053="NEW"),"",INDEX(J$1:J1052,SUMPRODUCT(MAX(ROW(E$1:E1052)*(E1053=E$1:E1052)))))</f>
        <v/>
      </c>
      <c r="L1053" s="15"/>
    </row>
    <row r="1054" customFormat="false" ht="12.75" hidden="false" customHeight="false" outlineLevel="0" collapsed="false">
      <c r="A1054" s="0" t="s">
        <v>529</v>
      </c>
      <c r="E1054" s="9" t="str">
        <f aca="false">IF(D1054="?OLD","!!!","")</f>
        <v/>
      </c>
      <c r="F1054" s="10" t="str">
        <f aca="false">IF(OR(E1054="",E1054="!!!"),"",IF(NOT(ISNA(VLOOKUP(E1054,E$1:E1053,1,FALSE()))),"OLD",IF(AND(E1054&lt;&gt;"",E1054&lt;&gt;"!!!"),"NEW","")))</f>
        <v/>
      </c>
      <c r="G1054" s="11" t="str">
        <f aca="false">IF(OR(E1054="",E1054="!!!"),"",IF(OR(J1054=0,AND(J1054=1,K1054=1),AND(J1054=1,I1054="SBJ"),AND(J1054=1,I1054=0)),"?IN_FOCUS",IF(J1054&lt;=2,"?ACTIVATED",IF(J1054&lt;&gt;"","?FAMILIAR",IF(F1054="NEW",IF(ISNA(VLOOKUP(E1054,#REF!,1,FALSE())),"?TYPE_IDENTIFIABLE","?REFERENTIAL"),"_")))))</f>
        <v/>
      </c>
      <c r="H1054" s="12" t="str">
        <f aca="false">IF(J1054&lt;&gt;1,"",IF(I1054="SBJ","CB","?"))</f>
        <v/>
      </c>
      <c r="I1054" s="13" t="str">
        <f aca="false">IF(OR(E1054="",E1054="!!!",F1054="NEW"),"",INDEX(B$2:B1053,-1+SUMPRODUCT(MAX(ROW(E$2:E1053)*(E1054=E$2:E1053)))))</f>
        <v/>
      </c>
      <c r="J1054" s="14" t="str">
        <f aca="true">IF(OR(E1054="",E1054="!!!",F1054="NEW"),"",COUNTBLANK(OFFSET(A$1,,,SUMPRODUCT(MAX(ROW(E$2:E1054)*(E1054=E$2:E1054)))))-COUNTBLANK(OFFSET(A$1,,,SUMPRODUCT(MAX(ROW(E$1:E1053)*(E1054=E$1:E1053))))))</f>
        <v/>
      </c>
      <c r="K1054" s="14" t="str">
        <f aca="false">IF(OR(E1054="",E1054="!!!",F1054="NEW"),"",INDEX(J$1:J1053,SUMPRODUCT(MAX(ROW(E$1:E1053)*(E1054=E$1:E1053)))))</f>
        <v/>
      </c>
      <c r="L1054" s="15"/>
    </row>
    <row r="1055" customFormat="false" ht="12.75" hidden="false" customHeight="false" outlineLevel="0" collapsed="false">
      <c r="A1055" s="0" t="s">
        <v>66</v>
      </c>
      <c r="E1055" s="9" t="str">
        <f aca="false">IF(D1055="?OLD","!!!","")</f>
        <v/>
      </c>
      <c r="F1055" s="10" t="str">
        <f aca="false">IF(OR(E1055="",E1055="!!!"),"",IF(NOT(ISNA(VLOOKUP(E1055,E$1:E1054,1,FALSE()))),"OLD",IF(AND(E1055&lt;&gt;"",E1055&lt;&gt;"!!!"),"NEW","")))</f>
        <v/>
      </c>
      <c r="G1055" s="11" t="str">
        <f aca="false">IF(OR(E1055="",E1055="!!!"),"",IF(OR(J1055=0,AND(J1055=1,K1055=1),AND(J1055=1,I1055="SBJ"),AND(J1055=1,I1055=0)),"?IN_FOCUS",IF(J1055&lt;=2,"?ACTIVATED",IF(J1055&lt;&gt;"","?FAMILIAR",IF(F1055="NEW",IF(ISNA(VLOOKUP(E1055,#REF!,1,FALSE())),"?TYPE_IDENTIFIABLE","?REFERENTIAL"),"_")))))</f>
        <v/>
      </c>
      <c r="H1055" s="12" t="str">
        <f aca="false">IF(J1055&lt;&gt;1,"",IF(I1055="SBJ","CB","?"))</f>
        <v/>
      </c>
      <c r="I1055" s="13" t="str">
        <f aca="false">IF(OR(E1055="",E1055="!!!",F1055="NEW"),"",INDEX(B$2:B1054,-1+SUMPRODUCT(MAX(ROW(E$2:E1054)*(E1055=E$2:E1054)))))</f>
        <v/>
      </c>
      <c r="J1055" s="14" t="str">
        <f aca="true">IF(OR(E1055="",E1055="!!!",F1055="NEW"),"",COUNTBLANK(OFFSET(A$1,,,SUMPRODUCT(MAX(ROW(E$2:E1055)*(E1055=E$2:E1055)))))-COUNTBLANK(OFFSET(A$1,,,SUMPRODUCT(MAX(ROW(E$1:E1054)*(E1055=E$1:E1054))))))</f>
        <v/>
      </c>
      <c r="K1055" s="14" t="str">
        <f aca="false">IF(OR(E1055="",E1055="!!!",F1055="NEW"),"",INDEX(J$1:J1054,SUMPRODUCT(MAX(ROW(E$1:E1054)*(E1055=E$1:E1054)))))</f>
        <v/>
      </c>
      <c r="L1055" s="15"/>
    </row>
    <row r="1056" customFormat="false" ht="12.75" hidden="false" customHeight="false" outlineLevel="0" collapsed="false">
      <c r="A1056" s="0" t="s">
        <v>231</v>
      </c>
      <c r="B1056" s="0" t="s">
        <v>107</v>
      </c>
      <c r="C1056" s="0" t="s">
        <v>111</v>
      </c>
      <c r="D1056" s="0" t="s">
        <v>29</v>
      </c>
      <c r="E1056" s="9" t="str">
        <f aca="false">IF(D1056="?OLD","!!!","")</f>
        <v>!!!</v>
      </c>
      <c r="F1056" s="10" t="str">
        <f aca="false">IF(OR(E1056="",E1056="!!!"),"",IF(NOT(ISNA(VLOOKUP(E1056,E$1:E1055,1,FALSE()))),"OLD",IF(AND(E1056&lt;&gt;"",E1056&lt;&gt;"!!!"),"NEW","")))</f>
        <v/>
      </c>
      <c r="G1056" s="11" t="str">
        <f aca="false">IF(OR(E1056="",E1056="!!!"),"",IF(OR(J1056=0,AND(J1056=1,K1056=1),AND(J1056=1,I1056="SBJ"),AND(J1056=1,I1056=0)),"?IN_FOCUS",IF(J1056&lt;=2,"?ACTIVATED",IF(J1056&lt;&gt;"","?FAMILIAR",IF(F1056="NEW",IF(ISNA(VLOOKUP(E1056,#REF!,1,FALSE())),"?TYPE_IDENTIFIABLE","?REFERENTIAL"),"_")))))</f>
        <v/>
      </c>
      <c r="H1056" s="12" t="str">
        <f aca="false">IF(J1056&lt;&gt;1,"",IF(I1056="SBJ","CB","?"))</f>
        <v/>
      </c>
      <c r="I1056" s="13" t="str">
        <f aca="false">IF(OR(E1056="",E1056="!!!",F1056="NEW"),"",INDEX(B$2:B1055,-1+SUMPRODUCT(MAX(ROW(E$2:E1055)*(E1056=E$2:E1055)))))</f>
        <v/>
      </c>
      <c r="J1056" s="14" t="str">
        <f aca="true">IF(OR(E1056="",E1056="!!!",F1056="NEW"),"",COUNTBLANK(OFFSET(A$1,,,SUMPRODUCT(MAX(ROW(E$2:E1056)*(E1056=E$2:E1056)))))-COUNTBLANK(OFFSET(A$1,,,SUMPRODUCT(MAX(ROW(E$1:E1055)*(E1056=E$1:E1055))))))</f>
        <v/>
      </c>
      <c r="K1056" s="14" t="str">
        <f aca="false">IF(OR(E1056="",E1056="!!!",F1056="NEW"),"",INDEX(J$1:J1055,SUMPRODUCT(MAX(ROW(E$1:E1055)*(E1056=E$1:E1055)))))</f>
        <v/>
      </c>
      <c r="L1056" s="15"/>
    </row>
    <row r="1057" customFormat="false" ht="12.75" hidden="false" customHeight="false" outlineLevel="0" collapsed="false">
      <c r="A1057" s="0" t="s">
        <v>73</v>
      </c>
      <c r="E1057" s="9" t="str">
        <f aca="false">IF(D1057="?OLD","!!!","")</f>
        <v/>
      </c>
      <c r="F1057" s="10" t="str">
        <f aca="false">IF(OR(E1057="",E1057="!!!"),"",IF(NOT(ISNA(VLOOKUP(E1057,E$1:E1056,1,FALSE()))),"OLD",IF(AND(E1057&lt;&gt;"",E1057&lt;&gt;"!!!"),"NEW","")))</f>
        <v/>
      </c>
      <c r="G1057" s="11" t="str">
        <f aca="false">IF(OR(E1057="",E1057="!!!"),"",IF(OR(J1057=0,AND(J1057=1,K1057=1),AND(J1057=1,I1057="SBJ"),AND(J1057=1,I1057=0)),"?IN_FOCUS",IF(J1057&lt;=2,"?ACTIVATED",IF(J1057&lt;&gt;"","?FAMILIAR",IF(F1057="NEW",IF(ISNA(VLOOKUP(E1057,#REF!,1,FALSE())),"?TYPE_IDENTIFIABLE","?REFERENTIAL"),"_")))))</f>
        <v/>
      </c>
      <c r="H1057" s="12" t="str">
        <f aca="false">IF(J1057&lt;&gt;1,"",IF(I1057="SBJ","CB","?"))</f>
        <v/>
      </c>
      <c r="I1057" s="13" t="str">
        <f aca="false">IF(OR(E1057="",E1057="!!!",F1057="NEW"),"",INDEX(B$2:B1056,-1+SUMPRODUCT(MAX(ROW(E$2:E1056)*(E1057=E$2:E1056)))))</f>
        <v/>
      </c>
      <c r="J1057" s="14" t="str">
        <f aca="true">IF(OR(E1057="",E1057="!!!",F1057="NEW"),"",COUNTBLANK(OFFSET(A$1,,,SUMPRODUCT(MAX(ROW(E$2:E1057)*(E1057=E$2:E1057)))))-COUNTBLANK(OFFSET(A$1,,,SUMPRODUCT(MAX(ROW(E$1:E1056)*(E1057=E$1:E1056))))))</f>
        <v/>
      </c>
      <c r="K1057" s="14" t="str">
        <f aca="false">IF(OR(E1057="",E1057="!!!",F1057="NEW"),"",INDEX(J$1:J1056,SUMPRODUCT(MAX(ROW(E$1:E1056)*(E1057=E$1:E1056)))))</f>
        <v/>
      </c>
      <c r="L1057" s="15"/>
    </row>
    <row r="1058" customFormat="false" ht="12.75" hidden="false" customHeight="false" outlineLevel="0" collapsed="false">
      <c r="E1058" s="9" t="str">
        <f aca="false">IF(D1058="?OLD","!!!","")</f>
        <v/>
      </c>
      <c r="F1058" s="10" t="str">
        <f aca="false">IF(OR(E1058="",E1058="!!!"),"",IF(NOT(ISNA(VLOOKUP(E1058,E$1:E1057,1,FALSE()))),"OLD",IF(AND(E1058&lt;&gt;"",E1058&lt;&gt;"!!!"),"NEW","")))</f>
        <v/>
      </c>
      <c r="G1058" s="11" t="str">
        <f aca="false">IF(OR(E1058="",E1058="!!!"),"",IF(OR(J1058=0,AND(J1058=1,K1058=1),AND(J1058=1,I1058="SBJ"),AND(J1058=1,I1058=0)),"?IN_FOCUS",IF(J1058&lt;=2,"?ACTIVATED",IF(J1058&lt;&gt;"","?FAMILIAR",IF(F1058="NEW",IF(ISNA(VLOOKUP(E1058,#REF!,1,FALSE())),"?TYPE_IDENTIFIABLE","?REFERENTIAL"),"_")))))</f>
        <v/>
      </c>
      <c r="H1058" s="12" t="str">
        <f aca="false">IF(J1058&lt;&gt;1,"",IF(I1058="SBJ","CB","?"))</f>
        <v/>
      </c>
      <c r="I1058" s="13" t="str">
        <f aca="false">IF(OR(E1058="",E1058="!!!",F1058="NEW"),"",INDEX(B$2:B1057,-1+SUMPRODUCT(MAX(ROW(E$2:E1057)*(E1058=E$2:E1057)))))</f>
        <v/>
      </c>
      <c r="J1058" s="14" t="str">
        <f aca="true">IF(OR(E1058="",E1058="!!!",F1058="NEW"),"",COUNTBLANK(OFFSET(A$1,,,SUMPRODUCT(MAX(ROW(E$2:E1058)*(E1058=E$2:E1058)))))-COUNTBLANK(OFFSET(A$1,,,SUMPRODUCT(MAX(ROW(E$1:E1057)*(E1058=E$1:E1057))))))</f>
        <v/>
      </c>
      <c r="K1058" s="14" t="str">
        <f aca="false">IF(OR(E1058="",E1058="!!!",F1058="NEW"),"",INDEX(J$1:J1057,SUMPRODUCT(MAX(ROW(E$1:E1057)*(E1058=E$1:E1057)))))</f>
        <v/>
      </c>
      <c r="L1058" s="15"/>
    </row>
    <row r="1059" customFormat="false" ht="12.75" hidden="false" customHeight="false" outlineLevel="0" collapsed="false">
      <c r="A1059" s="0" t="s">
        <v>530</v>
      </c>
      <c r="E1059" s="9" t="str">
        <f aca="false">IF(D1059="?OLD","!!!","")</f>
        <v/>
      </c>
      <c r="F1059" s="10" t="str">
        <f aca="false">IF(OR(E1059="",E1059="!!!"),"",IF(NOT(ISNA(VLOOKUP(E1059,E$1:E1058,1,FALSE()))),"OLD",IF(AND(E1059&lt;&gt;"",E1059&lt;&gt;"!!!"),"NEW","")))</f>
        <v/>
      </c>
      <c r="G1059" s="11" t="str">
        <f aca="false">IF(OR(E1059="",E1059="!!!"),"",IF(OR(J1059=0,AND(J1059=1,K1059=1),AND(J1059=1,I1059="SBJ"),AND(J1059=1,I1059=0)),"?IN_FOCUS",IF(J1059&lt;=2,"?ACTIVATED",IF(J1059&lt;&gt;"","?FAMILIAR",IF(F1059="NEW",IF(ISNA(VLOOKUP(E1059,#REF!,1,FALSE())),"?TYPE_IDENTIFIABLE","?REFERENTIAL"),"_")))))</f>
        <v/>
      </c>
      <c r="H1059" s="12" t="str">
        <f aca="false">IF(J1059&lt;&gt;1,"",IF(I1059="SBJ","CB","?"))</f>
        <v/>
      </c>
      <c r="I1059" s="13" t="str">
        <f aca="false">IF(OR(E1059="",E1059="!!!",F1059="NEW"),"",INDEX(B$2:B1058,-1+SUMPRODUCT(MAX(ROW(E$2:E1058)*(E1059=E$2:E1058)))))</f>
        <v/>
      </c>
      <c r="J1059" s="14" t="str">
        <f aca="true">IF(OR(E1059="",E1059="!!!",F1059="NEW"),"",COUNTBLANK(OFFSET(A$1,,,SUMPRODUCT(MAX(ROW(E$2:E1059)*(E1059=E$2:E1059)))))-COUNTBLANK(OFFSET(A$1,,,SUMPRODUCT(MAX(ROW(E$1:E1058)*(E1059=E$1:E1058))))))</f>
        <v/>
      </c>
      <c r="K1059" s="14" t="str">
        <f aca="false">IF(OR(E1059="",E1059="!!!",F1059="NEW"),"",INDEX(J$1:J1058,SUMPRODUCT(MAX(ROW(E$1:E1058)*(E1059=E$1:E1058)))))</f>
        <v/>
      </c>
      <c r="L1059" s="15"/>
    </row>
    <row r="1060" customFormat="false" ht="12.75" hidden="false" customHeight="false" outlineLevel="0" collapsed="false">
      <c r="A1060" s="0" t="s">
        <v>122</v>
      </c>
      <c r="B1060" s="0" t="s">
        <v>14</v>
      </c>
      <c r="C1060" s="0" t="s">
        <v>38</v>
      </c>
      <c r="D1060" s="0" t="s">
        <v>29</v>
      </c>
      <c r="E1060" s="9" t="str">
        <f aca="false">IF(D1060="?OLD","!!!","")</f>
        <v>!!!</v>
      </c>
      <c r="F1060" s="10" t="str">
        <f aca="false">IF(OR(E1060="",E1060="!!!"),"",IF(NOT(ISNA(VLOOKUP(E1060,E$1:E1059,1,FALSE()))),"OLD",IF(AND(E1060&lt;&gt;"",E1060&lt;&gt;"!!!"),"NEW","")))</f>
        <v/>
      </c>
      <c r="G1060" s="11" t="str">
        <f aca="false">IF(OR(E1060="",E1060="!!!"),"",IF(OR(J1060=0,AND(J1060=1,K1060=1),AND(J1060=1,I1060="SBJ"),AND(J1060=1,I1060=0)),"?IN_FOCUS",IF(J1060&lt;=2,"?ACTIVATED",IF(J1060&lt;&gt;"","?FAMILIAR",IF(F1060="NEW",IF(ISNA(VLOOKUP(E1060,#REF!,1,FALSE())),"?TYPE_IDENTIFIABLE","?REFERENTIAL"),"_")))))</f>
        <v/>
      </c>
      <c r="H1060" s="12" t="str">
        <f aca="false">IF(J1060&lt;&gt;1,"",IF(I1060="SBJ","CB","?"))</f>
        <v/>
      </c>
      <c r="I1060" s="13" t="str">
        <f aca="false">IF(OR(E1060="",E1060="!!!",F1060="NEW"),"",INDEX(B$2:B1059,-1+SUMPRODUCT(MAX(ROW(E$2:E1059)*(E1060=E$2:E1059)))))</f>
        <v/>
      </c>
      <c r="J1060" s="14" t="str">
        <f aca="true">IF(OR(E1060="",E1060="!!!",F1060="NEW"),"",COUNTBLANK(OFFSET(A$1,,,SUMPRODUCT(MAX(ROW(E$2:E1060)*(E1060=E$2:E1060)))))-COUNTBLANK(OFFSET(A$1,,,SUMPRODUCT(MAX(ROW(E$1:E1059)*(E1060=E$1:E1059))))))</f>
        <v/>
      </c>
      <c r="K1060" s="14" t="str">
        <f aca="false">IF(OR(E1060="",E1060="!!!",F1060="NEW"),"",INDEX(J$1:J1059,SUMPRODUCT(MAX(ROW(E$1:E1059)*(E1060=E$1:E1059)))))</f>
        <v/>
      </c>
      <c r="L1060" s="15"/>
    </row>
    <row r="1061" customFormat="false" ht="12.75" hidden="false" customHeight="false" outlineLevel="0" collapsed="false">
      <c r="A1061" s="0" t="s">
        <v>510</v>
      </c>
      <c r="E1061" s="9" t="str">
        <f aca="false">IF(D1061="?OLD","!!!","")</f>
        <v/>
      </c>
      <c r="F1061" s="10" t="str">
        <f aca="false">IF(OR(E1061="",E1061="!!!"),"",IF(NOT(ISNA(VLOOKUP(E1061,E$1:E1060,1,FALSE()))),"OLD",IF(AND(E1061&lt;&gt;"",E1061&lt;&gt;"!!!"),"NEW","")))</f>
        <v/>
      </c>
      <c r="G1061" s="11" t="str">
        <f aca="false">IF(OR(E1061="",E1061="!!!"),"",IF(OR(J1061=0,AND(J1061=1,K1061=1),AND(J1061=1,I1061="SBJ"),AND(J1061=1,I1061=0)),"?IN_FOCUS",IF(J1061&lt;=2,"?ACTIVATED",IF(J1061&lt;&gt;"","?FAMILIAR",IF(F1061="NEW",IF(ISNA(VLOOKUP(E1061,#REF!,1,FALSE())),"?TYPE_IDENTIFIABLE","?REFERENTIAL"),"_")))))</f>
        <v/>
      </c>
      <c r="H1061" s="12" t="str">
        <f aca="false">IF(J1061&lt;&gt;1,"",IF(I1061="SBJ","CB","?"))</f>
        <v/>
      </c>
      <c r="I1061" s="13" t="str">
        <f aca="false">IF(OR(E1061="",E1061="!!!",F1061="NEW"),"",INDEX(B$2:B1060,-1+SUMPRODUCT(MAX(ROW(E$2:E1060)*(E1061=E$2:E1060)))))</f>
        <v/>
      </c>
      <c r="J1061" s="14" t="str">
        <f aca="true">IF(OR(E1061="",E1061="!!!",F1061="NEW"),"",COUNTBLANK(OFFSET(A$1,,,SUMPRODUCT(MAX(ROW(E$2:E1061)*(E1061=E$2:E1061)))))-COUNTBLANK(OFFSET(A$1,,,SUMPRODUCT(MAX(ROW(E$1:E1060)*(E1061=E$1:E1060))))))</f>
        <v/>
      </c>
      <c r="K1061" s="14" t="str">
        <f aca="false">IF(OR(E1061="",E1061="!!!",F1061="NEW"),"",INDEX(J$1:J1060,SUMPRODUCT(MAX(ROW(E$1:E1060)*(E1061=E$1:E1060)))))</f>
        <v/>
      </c>
      <c r="L1061" s="15"/>
    </row>
    <row r="1062" customFormat="false" ht="12.75" hidden="false" customHeight="false" outlineLevel="0" collapsed="false">
      <c r="A1062" s="0" t="s">
        <v>97</v>
      </c>
      <c r="B1062" s="0" t="s">
        <v>37</v>
      </c>
      <c r="C1062" s="0" t="s">
        <v>38</v>
      </c>
      <c r="D1062" s="0" t="s">
        <v>29</v>
      </c>
      <c r="E1062" s="9" t="str">
        <f aca="false">IF(D1062="?OLD","!!!","")</f>
        <v>!!!</v>
      </c>
      <c r="F1062" s="10" t="str">
        <f aca="false">IF(OR(E1062="",E1062="!!!"),"",IF(NOT(ISNA(VLOOKUP(E1062,E$1:E1061,1,FALSE()))),"OLD",IF(AND(E1062&lt;&gt;"",E1062&lt;&gt;"!!!"),"NEW","")))</f>
        <v/>
      </c>
      <c r="G1062" s="11" t="str">
        <f aca="false">IF(OR(E1062="",E1062="!!!"),"",IF(OR(J1062=0,AND(J1062=1,K1062=1),AND(J1062=1,I1062="SBJ"),AND(J1062=1,I1062=0)),"?IN_FOCUS",IF(J1062&lt;=2,"?ACTIVATED",IF(J1062&lt;&gt;"","?FAMILIAR",IF(F1062="NEW",IF(ISNA(VLOOKUP(E1062,#REF!,1,FALSE())),"?TYPE_IDENTIFIABLE","?REFERENTIAL"),"_")))))</f>
        <v/>
      </c>
      <c r="H1062" s="12" t="str">
        <f aca="false">IF(J1062&lt;&gt;1,"",IF(I1062="SBJ","CB","?"))</f>
        <v/>
      </c>
      <c r="I1062" s="13" t="str">
        <f aca="false">IF(OR(E1062="",E1062="!!!",F1062="NEW"),"",INDEX(B$2:B1061,-1+SUMPRODUCT(MAX(ROW(E$2:E1061)*(E1062=E$2:E1061)))))</f>
        <v/>
      </c>
      <c r="J1062" s="14" t="str">
        <f aca="true">IF(OR(E1062="",E1062="!!!",F1062="NEW"),"",COUNTBLANK(OFFSET(A$1,,,SUMPRODUCT(MAX(ROW(E$2:E1062)*(E1062=E$2:E1062)))))-COUNTBLANK(OFFSET(A$1,,,SUMPRODUCT(MAX(ROW(E$1:E1061)*(E1062=E$1:E1061))))))</f>
        <v/>
      </c>
      <c r="K1062" s="14" t="str">
        <f aca="false">IF(OR(E1062="",E1062="!!!",F1062="NEW"),"",INDEX(J$1:J1061,SUMPRODUCT(MAX(ROW(E$1:E1061)*(E1062=E$1:E1061)))))</f>
        <v/>
      </c>
      <c r="L1062" s="15"/>
    </row>
    <row r="1063" customFormat="false" ht="12.75" hidden="false" customHeight="false" outlineLevel="0" collapsed="false">
      <c r="A1063" s="0" t="s">
        <v>531</v>
      </c>
      <c r="E1063" s="9" t="str">
        <f aca="false">IF(D1063="?OLD","!!!","")</f>
        <v/>
      </c>
      <c r="F1063" s="10" t="str">
        <f aca="false">IF(OR(E1063="",E1063="!!!"),"",IF(NOT(ISNA(VLOOKUP(E1063,E$1:E1062,1,FALSE()))),"OLD",IF(AND(E1063&lt;&gt;"",E1063&lt;&gt;"!!!"),"NEW","")))</f>
        <v/>
      </c>
      <c r="G1063" s="11" t="str">
        <f aca="false">IF(OR(E1063="",E1063="!!!"),"",IF(OR(J1063=0,AND(J1063=1,K1063=1),AND(J1063=1,I1063="SBJ"),AND(J1063=1,I1063=0)),"?IN_FOCUS",IF(J1063&lt;=2,"?ACTIVATED",IF(J1063&lt;&gt;"","?FAMILIAR",IF(F1063="NEW",IF(ISNA(VLOOKUP(E1063,#REF!,1,FALSE())),"?TYPE_IDENTIFIABLE","?REFERENTIAL"),"_")))))</f>
        <v/>
      </c>
      <c r="H1063" s="12" t="str">
        <f aca="false">IF(J1063&lt;&gt;1,"",IF(I1063="SBJ","CB","?"))</f>
        <v/>
      </c>
      <c r="I1063" s="13" t="str">
        <f aca="false">IF(OR(E1063="",E1063="!!!",F1063="NEW"),"",INDEX(B$2:B1062,-1+SUMPRODUCT(MAX(ROW(E$2:E1062)*(E1063=E$2:E1062)))))</f>
        <v/>
      </c>
      <c r="J1063" s="14" t="str">
        <f aca="true">IF(OR(E1063="",E1063="!!!",F1063="NEW"),"",COUNTBLANK(OFFSET(A$1,,,SUMPRODUCT(MAX(ROW(E$2:E1063)*(E1063=E$2:E1063)))))-COUNTBLANK(OFFSET(A$1,,,SUMPRODUCT(MAX(ROW(E$1:E1062)*(E1063=E$1:E1062))))))</f>
        <v/>
      </c>
      <c r="K1063" s="14" t="str">
        <f aca="false">IF(OR(E1063="",E1063="!!!",F1063="NEW"),"",INDEX(J$1:J1062,SUMPRODUCT(MAX(ROW(E$1:E1062)*(E1063=E$1:E1062)))))</f>
        <v/>
      </c>
      <c r="L1063" s="15"/>
    </row>
    <row r="1064" customFormat="false" ht="12.75" hidden="false" customHeight="false" outlineLevel="0" collapsed="false">
      <c r="A1064" s="0" t="s">
        <v>53</v>
      </c>
      <c r="B1064" s="0" t="s">
        <v>28</v>
      </c>
      <c r="C1064" s="0" t="s">
        <v>55</v>
      </c>
      <c r="D1064" s="0" t="s">
        <v>29</v>
      </c>
      <c r="E1064" s="9" t="str">
        <f aca="false">IF(D1064="?OLD","!!!","")</f>
        <v>!!!</v>
      </c>
      <c r="F1064" s="10" t="str">
        <f aca="false">IF(OR(E1064="",E1064="!!!"),"",IF(NOT(ISNA(VLOOKUP(E1064,E$1:E1063,1,FALSE()))),"OLD",IF(AND(E1064&lt;&gt;"",E1064&lt;&gt;"!!!"),"NEW","")))</f>
        <v/>
      </c>
      <c r="G1064" s="11" t="str">
        <f aca="false">IF(OR(E1064="",E1064="!!!"),"",IF(OR(J1064=0,AND(J1064=1,K1064=1),AND(J1064=1,I1064="SBJ"),AND(J1064=1,I1064=0)),"?IN_FOCUS",IF(J1064&lt;=2,"?ACTIVATED",IF(J1064&lt;&gt;"","?FAMILIAR",IF(F1064="NEW",IF(ISNA(VLOOKUP(E1064,#REF!,1,FALSE())),"?TYPE_IDENTIFIABLE","?REFERENTIAL"),"_")))))</f>
        <v/>
      </c>
      <c r="H1064" s="12" t="str">
        <f aca="false">IF(J1064&lt;&gt;1,"",IF(I1064="SBJ","CB","?"))</f>
        <v/>
      </c>
      <c r="I1064" s="13" t="str">
        <f aca="false">IF(OR(E1064="",E1064="!!!",F1064="NEW"),"",INDEX(B$2:B1063,-1+SUMPRODUCT(MAX(ROW(E$2:E1063)*(E1064=E$2:E1063)))))</f>
        <v/>
      </c>
      <c r="J1064" s="14" t="str">
        <f aca="true">IF(OR(E1064="",E1064="!!!",F1064="NEW"),"",COUNTBLANK(OFFSET(A$1,,,SUMPRODUCT(MAX(ROW(E$2:E1064)*(E1064=E$2:E1064)))))-COUNTBLANK(OFFSET(A$1,,,SUMPRODUCT(MAX(ROW(E$1:E1063)*(E1064=E$1:E1063))))))</f>
        <v/>
      </c>
      <c r="K1064" s="14" t="str">
        <f aca="false">IF(OR(E1064="",E1064="!!!",F1064="NEW"),"",INDEX(J$1:J1063,SUMPRODUCT(MAX(ROW(E$1:E1063)*(E1064=E$1:E1063)))))</f>
        <v/>
      </c>
      <c r="L1064" s="15"/>
    </row>
    <row r="1065" customFormat="false" ht="12.75" hidden="false" customHeight="false" outlineLevel="0" collapsed="false">
      <c r="A1065" s="0" t="s">
        <v>532</v>
      </c>
      <c r="B1065" s="0" t="s">
        <v>62</v>
      </c>
      <c r="C1065" s="0" t="s">
        <v>15</v>
      </c>
      <c r="D1065" s="0" t="s">
        <v>29</v>
      </c>
      <c r="E1065" s="9" t="str">
        <f aca="false">IF(D1065="?OLD","!!!","")</f>
        <v>!!!</v>
      </c>
      <c r="F1065" s="10" t="str">
        <f aca="false">IF(OR(E1065="",E1065="!!!"),"",IF(NOT(ISNA(VLOOKUP(E1065,E$1:E1064,1,FALSE()))),"OLD",IF(AND(E1065&lt;&gt;"",E1065&lt;&gt;"!!!"),"NEW","")))</f>
        <v/>
      </c>
      <c r="G1065" s="11" t="str">
        <f aca="false">IF(OR(E1065="",E1065="!!!"),"",IF(OR(J1065=0,AND(J1065=1,K1065=1),AND(J1065=1,I1065="SBJ"),AND(J1065=1,I1065=0)),"?IN_FOCUS",IF(J1065&lt;=2,"?ACTIVATED",IF(J1065&lt;&gt;"","?FAMILIAR",IF(F1065="NEW",IF(ISNA(VLOOKUP(E1065,#REF!,1,FALSE())),"?TYPE_IDENTIFIABLE","?REFERENTIAL"),"_")))))</f>
        <v/>
      </c>
      <c r="H1065" s="12" t="str">
        <f aca="false">IF(J1065&lt;&gt;1,"",IF(I1065="SBJ","CB","?"))</f>
        <v/>
      </c>
      <c r="I1065" s="13" t="str">
        <f aca="false">IF(OR(E1065="",E1065="!!!",F1065="NEW"),"",INDEX(B$2:B1064,-1+SUMPRODUCT(MAX(ROW(E$2:E1064)*(E1065=E$2:E1064)))))</f>
        <v/>
      </c>
      <c r="J1065" s="14" t="str">
        <f aca="true">IF(OR(E1065="",E1065="!!!",F1065="NEW"),"",COUNTBLANK(OFFSET(A$1,,,SUMPRODUCT(MAX(ROW(E$2:E1065)*(E1065=E$2:E1065)))))-COUNTBLANK(OFFSET(A$1,,,SUMPRODUCT(MAX(ROW(E$1:E1064)*(E1065=E$1:E1064))))))</f>
        <v/>
      </c>
      <c r="K1065" s="14" t="str">
        <f aca="false">IF(OR(E1065="",E1065="!!!",F1065="NEW"),"",INDEX(J$1:J1064,SUMPRODUCT(MAX(ROW(E$1:E1064)*(E1065=E$1:E1064)))))</f>
        <v/>
      </c>
      <c r="L1065" s="15"/>
    </row>
    <row r="1066" customFormat="false" ht="12.75" hidden="false" customHeight="false" outlineLevel="0" collapsed="false">
      <c r="A1066" s="0" t="s">
        <v>31</v>
      </c>
      <c r="E1066" s="9" t="str">
        <f aca="false">IF(D1066="?OLD","!!!","")</f>
        <v/>
      </c>
      <c r="F1066" s="10" t="str">
        <f aca="false">IF(OR(E1066="",E1066="!!!"),"",IF(NOT(ISNA(VLOOKUP(E1066,E$1:E1065,1,FALSE()))),"OLD",IF(AND(E1066&lt;&gt;"",E1066&lt;&gt;"!!!"),"NEW","")))</f>
        <v/>
      </c>
      <c r="G1066" s="11" t="str">
        <f aca="false">IF(OR(E1066="",E1066="!!!"),"",IF(OR(J1066=0,AND(J1066=1,K1066=1),AND(J1066=1,I1066="SBJ"),AND(J1066=1,I1066=0)),"?IN_FOCUS",IF(J1066&lt;=2,"?ACTIVATED",IF(J1066&lt;&gt;"","?FAMILIAR",IF(F1066="NEW",IF(ISNA(VLOOKUP(E1066,#REF!,1,FALSE())),"?TYPE_IDENTIFIABLE","?REFERENTIAL"),"_")))))</f>
        <v/>
      </c>
      <c r="H1066" s="12" t="str">
        <f aca="false">IF(J1066&lt;&gt;1,"",IF(I1066="SBJ","CB","?"))</f>
        <v/>
      </c>
      <c r="I1066" s="13" t="str">
        <f aca="false">IF(OR(E1066="",E1066="!!!",F1066="NEW"),"",INDEX(B$2:B1065,-1+SUMPRODUCT(MAX(ROW(E$2:E1065)*(E1066=E$2:E1065)))))</f>
        <v/>
      </c>
      <c r="J1066" s="14" t="str">
        <f aca="true">IF(OR(E1066="",E1066="!!!",F1066="NEW"),"",COUNTBLANK(OFFSET(A$1,,,SUMPRODUCT(MAX(ROW(E$2:E1066)*(E1066=E$2:E1066)))))-COUNTBLANK(OFFSET(A$1,,,SUMPRODUCT(MAX(ROW(E$1:E1065)*(E1066=E$1:E1065))))))</f>
        <v/>
      </c>
      <c r="K1066" s="14" t="str">
        <f aca="false">IF(OR(E1066="",E1066="!!!",F1066="NEW"),"",INDEX(J$1:J1065,SUMPRODUCT(MAX(ROW(E$1:E1065)*(E1066=E$1:E1065)))))</f>
        <v/>
      </c>
      <c r="L1066" s="15"/>
    </row>
    <row r="1067" customFormat="false" ht="12.75" hidden="false" customHeight="false" outlineLevel="0" collapsed="false">
      <c r="A1067" s="0" t="s">
        <v>88</v>
      </c>
      <c r="E1067" s="9" t="str">
        <f aca="false">IF(D1067="?OLD","!!!","")</f>
        <v/>
      </c>
      <c r="F1067" s="10" t="str">
        <f aca="false">IF(OR(E1067="",E1067="!!!"),"",IF(NOT(ISNA(VLOOKUP(E1067,E$1:E1066,1,FALSE()))),"OLD",IF(AND(E1067&lt;&gt;"",E1067&lt;&gt;"!!!"),"NEW","")))</f>
        <v/>
      </c>
      <c r="G1067" s="11" t="str">
        <f aca="false">IF(OR(E1067="",E1067="!!!"),"",IF(OR(J1067=0,AND(J1067=1,K1067=1),AND(J1067=1,I1067="SBJ"),AND(J1067=1,I1067=0)),"?IN_FOCUS",IF(J1067&lt;=2,"?ACTIVATED",IF(J1067&lt;&gt;"","?FAMILIAR",IF(F1067="NEW",IF(ISNA(VLOOKUP(E1067,#REF!,1,FALSE())),"?TYPE_IDENTIFIABLE","?REFERENTIAL"),"_")))))</f>
        <v/>
      </c>
      <c r="H1067" s="12" t="str">
        <f aca="false">IF(J1067&lt;&gt;1,"",IF(I1067="SBJ","CB","?"))</f>
        <v/>
      </c>
      <c r="I1067" s="13" t="str">
        <f aca="false">IF(OR(E1067="",E1067="!!!",F1067="NEW"),"",INDEX(B$2:B1066,-1+SUMPRODUCT(MAX(ROW(E$2:E1066)*(E1067=E$2:E1066)))))</f>
        <v/>
      </c>
      <c r="J1067" s="14" t="str">
        <f aca="true">IF(OR(E1067="",E1067="!!!",F1067="NEW"),"",COUNTBLANK(OFFSET(A$1,,,SUMPRODUCT(MAX(ROW(E$2:E1067)*(E1067=E$2:E1067)))))-COUNTBLANK(OFFSET(A$1,,,SUMPRODUCT(MAX(ROW(E$1:E1066)*(E1067=E$1:E1066))))))</f>
        <v/>
      </c>
      <c r="K1067" s="14" t="str">
        <f aca="false">IF(OR(E1067="",E1067="!!!",F1067="NEW"),"",INDEX(J$1:J1066,SUMPRODUCT(MAX(ROW(E$1:E1066)*(E1067=E$1:E1066)))))</f>
        <v/>
      </c>
      <c r="L1067" s="15"/>
    </row>
    <row r="1068" customFormat="false" ht="12.75" hidden="false" customHeight="false" outlineLevel="0" collapsed="false">
      <c r="A1068" s="0" t="s">
        <v>122</v>
      </c>
      <c r="B1068" s="0" t="s">
        <v>42</v>
      </c>
      <c r="C1068" s="0" t="s">
        <v>38</v>
      </c>
      <c r="D1068" s="0" t="s">
        <v>29</v>
      </c>
      <c r="E1068" s="9" t="str">
        <f aca="false">IF(D1068="?OLD","!!!","")</f>
        <v>!!!</v>
      </c>
      <c r="F1068" s="10" t="str">
        <f aca="false">IF(OR(E1068="",E1068="!!!"),"",IF(NOT(ISNA(VLOOKUP(E1068,E$1:E1067,1,FALSE()))),"OLD",IF(AND(E1068&lt;&gt;"",E1068&lt;&gt;"!!!"),"NEW","")))</f>
        <v/>
      </c>
      <c r="G1068" s="11" t="str">
        <f aca="false">IF(OR(E1068="",E1068="!!!"),"",IF(OR(J1068=0,AND(J1068=1,K1068=1),AND(J1068=1,I1068="SBJ"),AND(J1068=1,I1068=0)),"?IN_FOCUS",IF(J1068&lt;=2,"?ACTIVATED",IF(J1068&lt;&gt;"","?FAMILIAR",IF(F1068="NEW",IF(ISNA(VLOOKUP(E1068,#REF!,1,FALSE())),"?TYPE_IDENTIFIABLE","?REFERENTIAL"),"_")))))</f>
        <v/>
      </c>
      <c r="H1068" s="12" t="str">
        <f aca="false">IF(J1068&lt;&gt;1,"",IF(I1068="SBJ","CB","?"))</f>
        <v/>
      </c>
      <c r="I1068" s="13" t="str">
        <f aca="false">IF(OR(E1068="",E1068="!!!",F1068="NEW"),"",INDEX(B$2:B1067,-1+SUMPRODUCT(MAX(ROW(E$2:E1067)*(E1068=E$2:E1067)))))</f>
        <v/>
      </c>
      <c r="J1068" s="14" t="str">
        <f aca="true">IF(OR(E1068="",E1068="!!!",F1068="NEW"),"",COUNTBLANK(OFFSET(A$1,,,SUMPRODUCT(MAX(ROW(E$2:E1068)*(E1068=E$2:E1068)))))-COUNTBLANK(OFFSET(A$1,,,SUMPRODUCT(MAX(ROW(E$1:E1067)*(E1068=E$1:E1067))))))</f>
        <v/>
      </c>
      <c r="K1068" s="14" t="str">
        <f aca="false">IF(OR(E1068="",E1068="!!!",F1068="NEW"),"",INDEX(J$1:J1067,SUMPRODUCT(MAX(ROW(E$1:E1067)*(E1068=E$1:E1067)))))</f>
        <v/>
      </c>
      <c r="L1068" s="15"/>
    </row>
    <row r="1069" customFormat="false" ht="12.75" hidden="false" customHeight="false" outlineLevel="0" collapsed="false">
      <c r="A1069" s="0" t="s">
        <v>533</v>
      </c>
      <c r="E1069" s="9" t="str">
        <f aca="false">IF(D1069="?OLD","!!!","")</f>
        <v/>
      </c>
      <c r="F1069" s="10" t="str">
        <f aca="false">IF(OR(E1069="",E1069="!!!"),"",IF(NOT(ISNA(VLOOKUP(E1069,E$1:E1068,1,FALSE()))),"OLD",IF(AND(E1069&lt;&gt;"",E1069&lt;&gt;"!!!"),"NEW","")))</f>
        <v/>
      </c>
      <c r="G1069" s="11" t="str">
        <f aca="false">IF(OR(E1069="",E1069="!!!"),"",IF(OR(J1069=0,AND(J1069=1,K1069=1),AND(J1069=1,I1069="SBJ"),AND(J1069=1,I1069=0)),"?IN_FOCUS",IF(J1069&lt;=2,"?ACTIVATED",IF(J1069&lt;&gt;"","?FAMILIAR",IF(F1069="NEW",IF(ISNA(VLOOKUP(E1069,#REF!,1,FALSE())),"?TYPE_IDENTIFIABLE","?REFERENTIAL"),"_")))))</f>
        <v/>
      </c>
      <c r="H1069" s="12" t="str">
        <f aca="false">IF(J1069&lt;&gt;1,"",IF(I1069="SBJ","CB","?"))</f>
        <v/>
      </c>
      <c r="I1069" s="13" t="str">
        <f aca="false">IF(OR(E1069="",E1069="!!!",F1069="NEW"),"",INDEX(B$2:B1068,-1+SUMPRODUCT(MAX(ROW(E$2:E1068)*(E1069=E$2:E1068)))))</f>
        <v/>
      </c>
      <c r="J1069" s="14" t="str">
        <f aca="true">IF(OR(E1069="",E1069="!!!",F1069="NEW"),"",COUNTBLANK(OFFSET(A$1,,,SUMPRODUCT(MAX(ROW(E$2:E1069)*(E1069=E$2:E1069)))))-COUNTBLANK(OFFSET(A$1,,,SUMPRODUCT(MAX(ROW(E$1:E1068)*(E1069=E$1:E1068))))))</f>
        <v/>
      </c>
      <c r="K1069" s="14" t="str">
        <f aca="false">IF(OR(E1069="",E1069="!!!",F1069="NEW"),"",INDEX(J$1:J1068,SUMPRODUCT(MAX(ROW(E$1:E1068)*(E1069=E$1:E1068)))))</f>
        <v/>
      </c>
      <c r="L1069" s="15"/>
    </row>
    <row r="1070" customFormat="false" ht="12.75" hidden="false" customHeight="false" outlineLevel="0" collapsed="false">
      <c r="A1070" s="0" t="s">
        <v>422</v>
      </c>
      <c r="E1070" s="9" t="str">
        <f aca="false">IF(D1070="?OLD","!!!","")</f>
        <v/>
      </c>
      <c r="F1070" s="10" t="str">
        <f aca="false">IF(OR(E1070="",E1070="!!!"),"",IF(NOT(ISNA(VLOOKUP(E1070,E$1:E1069,1,FALSE()))),"OLD",IF(AND(E1070&lt;&gt;"",E1070&lt;&gt;"!!!"),"NEW","")))</f>
        <v/>
      </c>
      <c r="G1070" s="11" t="str">
        <f aca="false">IF(OR(E1070="",E1070="!!!"),"",IF(OR(J1070=0,AND(J1070=1,K1070=1),AND(J1070=1,I1070="SBJ"),AND(J1070=1,I1070=0)),"?IN_FOCUS",IF(J1070&lt;=2,"?ACTIVATED",IF(J1070&lt;&gt;"","?FAMILIAR",IF(F1070="NEW",IF(ISNA(VLOOKUP(E1070,#REF!,1,FALSE())),"?TYPE_IDENTIFIABLE","?REFERENTIAL"),"_")))))</f>
        <v/>
      </c>
      <c r="H1070" s="12" t="str">
        <f aca="false">IF(J1070&lt;&gt;1,"",IF(I1070="SBJ","CB","?"))</f>
        <v/>
      </c>
      <c r="I1070" s="13" t="str">
        <f aca="false">IF(OR(E1070="",E1070="!!!",F1070="NEW"),"",INDEX(B$2:B1069,-1+SUMPRODUCT(MAX(ROW(E$2:E1069)*(E1070=E$2:E1069)))))</f>
        <v/>
      </c>
      <c r="J1070" s="14" t="str">
        <f aca="true">IF(OR(E1070="",E1070="!!!",F1070="NEW"),"",COUNTBLANK(OFFSET(A$1,,,SUMPRODUCT(MAX(ROW(E$2:E1070)*(E1070=E$2:E1070)))))-COUNTBLANK(OFFSET(A$1,,,SUMPRODUCT(MAX(ROW(E$1:E1069)*(E1070=E$1:E1069))))))</f>
        <v/>
      </c>
      <c r="K1070" s="14" t="str">
        <f aca="false">IF(OR(E1070="",E1070="!!!",F1070="NEW"),"",INDEX(J$1:J1069,SUMPRODUCT(MAX(ROW(E$1:E1069)*(E1070=E$1:E1069)))))</f>
        <v/>
      </c>
      <c r="L1070" s="15"/>
    </row>
    <row r="1071" customFormat="false" ht="12.75" hidden="false" customHeight="false" outlineLevel="0" collapsed="false">
      <c r="A1071" s="0" t="s">
        <v>191</v>
      </c>
      <c r="E1071" s="9" t="str">
        <f aca="false">IF(D1071="?OLD","!!!","")</f>
        <v/>
      </c>
      <c r="F1071" s="10" t="str">
        <f aca="false">IF(OR(E1071="",E1071="!!!"),"",IF(NOT(ISNA(VLOOKUP(E1071,E$1:E1070,1,FALSE()))),"OLD",IF(AND(E1071&lt;&gt;"",E1071&lt;&gt;"!!!"),"NEW","")))</f>
        <v/>
      </c>
      <c r="G1071" s="11" t="str">
        <f aca="false">IF(OR(E1071="",E1071="!!!"),"",IF(OR(J1071=0,AND(J1071=1,K1071=1),AND(J1071=1,I1071="SBJ"),AND(J1071=1,I1071=0)),"?IN_FOCUS",IF(J1071&lt;=2,"?ACTIVATED",IF(J1071&lt;&gt;"","?FAMILIAR",IF(F1071="NEW",IF(ISNA(VLOOKUP(E1071,#REF!,1,FALSE())),"?TYPE_IDENTIFIABLE","?REFERENTIAL"),"_")))))</f>
        <v/>
      </c>
      <c r="H1071" s="12" t="str">
        <f aca="false">IF(J1071&lt;&gt;1,"",IF(I1071="SBJ","CB","?"))</f>
        <v/>
      </c>
      <c r="I1071" s="13" t="str">
        <f aca="false">IF(OR(E1071="",E1071="!!!",F1071="NEW"),"",INDEX(B$2:B1070,-1+SUMPRODUCT(MAX(ROW(E$2:E1070)*(E1071=E$2:E1070)))))</f>
        <v/>
      </c>
      <c r="J1071" s="14" t="str">
        <f aca="true">IF(OR(E1071="",E1071="!!!",F1071="NEW"),"",COUNTBLANK(OFFSET(A$1,,,SUMPRODUCT(MAX(ROW(E$2:E1071)*(E1071=E$2:E1071)))))-COUNTBLANK(OFFSET(A$1,,,SUMPRODUCT(MAX(ROW(E$1:E1070)*(E1071=E$1:E1070))))))</f>
        <v/>
      </c>
      <c r="K1071" s="14" t="str">
        <f aca="false">IF(OR(E1071="",E1071="!!!",F1071="NEW"),"",INDEX(J$1:J1070,SUMPRODUCT(MAX(ROW(E$1:E1070)*(E1071=E$1:E1070)))))</f>
        <v/>
      </c>
      <c r="L1071" s="15"/>
    </row>
    <row r="1072" customFormat="false" ht="12.75" hidden="false" customHeight="false" outlineLevel="0" collapsed="false">
      <c r="A1072" s="0" t="s">
        <v>51</v>
      </c>
      <c r="E1072" s="9" t="str">
        <f aca="false">IF(D1072="?OLD","!!!","")</f>
        <v/>
      </c>
      <c r="F1072" s="10" t="str">
        <f aca="false">IF(OR(E1072="",E1072="!!!"),"",IF(NOT(ISNA(VLOOKUP(E1072,E$1:E1071,1,FALSE()))),"OLD",IF(AND(E1072&lt;&gt;"",E1072&lt;&gt;"!!!"),"NEW","")))</f>
        <v/>
      </c>
      <c r="G1072" s="11" t="str">
        <f aca="false">IF(OR(E1072="",E1072="!!!"),"",IF(OR(J1072=0,AND(J1072=1,K1072=1),AND(J1072=1,I1072="SBJ"),AND(J1072=1,I1072=0)),"?IN_FOCUS",IF(J1072&lt;=2,"?ACTIVATED",IF(J1072&lt;&gt;"","?FAMILIAR",IF(F1072="NEW",IF(ISNA(VLOOKUP(E1072,#REF!,1,FALSE())),"?TYPE_IDENTIFIABLE","?REFERENTIAL"),"_")))))</f>
        <v/>
      </c>
      <c r="H1072" s="12" t="str">
        <f aca="false">IF(J1072&lt;&gt;1,"",IF(I1072="SBJ","CB","?"))</f>
        <v/>
      </c>
      <c r="I1072" s="13" t="str">
        <f aca="false">IF(OR(E1072="",E1072="!!!",F1072="NEW"),"",INDEX(B$2:B1071,-1+SUMPRODUCT(MAX(ROW(E$2:E1071)*(E1072=E$2:E1071)))))</f>
        <v/>
      </c>
      <c r="J1072" s="14" t="str">
        <f aca="true">IF(OR(E1072="",E1072="!!!",F1072="NEW"),"",COUNTBLANK(OFFSET(A$1,,,SUMPRODUCT(MAX(ROW(E$2:E1072)*(E1072=E$2:E1072)))))-COUNTBLANK(OFFSET(A$1,,,SUMPRODUCT(MAX(ROW(E$1:E1071)*(E1072=E$1:E1071))))))</f>
        <v/>
      </c>
      <c r="K1072" s="14" t="str">
        <f aca="false">IF(OR(E1072="",E1072="!!!",F1072="NEW"),"",INDEX(J$1:J1071,SUMPRODUCT(MAX(ROW(E$1:E1071)*(E1072=E$1:E1071)))))</f>
        <v/>
      </c>
      <c r="L1072" s="15"/>
    </row>
    <row r="1073" customFormat="false" ht="12.75" hidden="false" customHeight="false" outlineLevel="0" collapsed="false">
      <c r="A1073" s="0" t="s">
        <v>534</v>
      </c>
      <c r="E1073" s="9" t="str">
        <f aca="false">IF(D1073="?OLD","!!!","")</f>
        <v/>
      </c>
      <c r="F1073" s="10" t="str">
        <f aca="false">IF(OR(E1073="",E1073="!!!"),"",IF(NOT(ISNA(VLOOKUP(E1073,E$1:E1072,1,FALSE()))),"OLD",IF(AND(E1073&lt;&gt;"",E1073&lt;&gt;"!!!"),"NEW","")))</f>
        <v/>
      </c>
      <c r="G1073" s="11" t="str">
        <f aca="false">IF(OR(E1073="",E1073="!!!"),"",IF(OR(J1073=0,AND(J1073=1,K1073=1),AND(J1073=1,I1073="SBJ"),AND(J1073=1,I1073=0)),"?IN_FOCUS",IF(J1073&lt;=2,"?ACTIVATED",IF(J1073&lt;&gt;"","?FAMILIAR",IF(F1073="NEW",IF(ISNA(VLOOKUP(E1073,#REF!,1,FALSE())),"?TYPE_IDENTIFIABLE","?REFERENTIAL"),"_")))))</f>
        <v/>
      </c>
      <c r="H1073" s="12" t="str">
        <f aca="false">IF(J1073&lt;&gt;1,"",IF(I1073="SBJ","CB","?"))</f>
        <v/>
      </c>
      <c r="I1073" s="13" t="str">
        <f aca="false">IF(OR(E1073="",E1073="!!!",F1073="NEW"),"",INDEX(B$2:B1072,-1+SUMPRODUCT(MAX(ROW(E$2:E1072)*(E1073=E$2:E1072)))))</f>
        <v/>
      </c>
      <c r="J1073" s="14" t="str">
        <f aca="true">IF(OR(E1073="",E1073="!!!",F1073="NEW"),"",COUNTBLANK(OFFSET(A$1,,,SUMPRODUCT(MAX(ROW(E$2:E1073)*(E1073=E$2:E1073)))))-COUNTBLANK(OFFSET(A$1,,,SUMPRODUCT(MAX(ROW(E$1:E1072)*(E1073=E$1:E1072))))))</f>
        <v/>
      </c>
      <c r="K1073" s="14" t="str">
        <f aca="false">IF(OR(E1073="",E1073="!!!",F1073="NEW"),"",INDEX(J$1:J1072,SUMPRODUCT(MAX(ROW(E$1:E1072)*(E1073=E$1:E1072)))))</f>
        <v/>
      </c>
      <c r="L1073" s="15"/>
    </row>
    <row r="1074" customFormat="false" ht="12.75" hidden="false" customHeight="false" outlineLevel="0" collapsed="false">
      <c r="A1074" s="0" t="s">
        <v>277</v>
      </c>
      <c r="B1074" s="0" t="s">
        <v>54</v>
      </c>
      <c r="C1074" s="0" t="s">
        <v>55</v>
      </c>
      <c r="D1074" s="0" t="s">
        <v>29</v>
      </c>
      <c r="E1074" s="9" t="str">
        <f aca="false">IF(D1074="?OLD","!!!","")</f>
        <v>!!!</v>
      </c>
      <c r="F1074" s="10" t="str">
        <f aca="false">IF(OR(E1074="",E1074="!!!"),"",IF(NOT(ISNA(VLOOKUP(E1074,E$1:E1073,1,FALSE()))),"OLD",IF(AND(E1074&lt;&gt;"",E1074&lt;&gt;"!!!"),"NEW","")))</f>
        <v/>
      </c>
      <c r="G1074" s="11" t="str">
        <f aca="false">IF(OR(E1074="",E1074="!!!"),"",IF(OR(J1074=0,AND(J1074=1,K1074=1),AND(J1074=1,I1074="SBJ"),AND(J1074=1,I1074=0)),"?IN_FOCUS",IF(J1074&lt;=2,"?ACTIVATED",IF(J1074&lt;&gt;"","?FAMILIAR",IF(F1074="NEW",IF(ISNA(VLOOKUP(E1074,#REF!,1,FALSE())),"?TYPE_IDENTIFIABLE","?REFERENTIAL"),"_")))))</f>
        <v/>
      </c>
      <c r="H1074" s="12" t="str">
        <f aca="false">IF(J1074&lt;&gt;1,"",IF(I1074="SBJ","CB","?"))</f>
        <v/>
      </c>
      <c r="I1074" s="13" t="str">
        <f aca="false">IF(OR(E1074="",E1074="!!!",F1074="NEW"),"",INDEX(B$2:B1073,-1+SUMPRODUCT(MAX(ROW(E$2:E1073)*(E1074=E$2:E1073)))))</f>
        <v/>
      </c>
      <c r="J1074" s="14" t="str">
        <f aca="true">IF(OR(E1074="",E1074="!!!",F1074="NEW"),"",COUNTBLANK(OFFSET(A$1,,,SUMPRODUCT(MAX(ROW(E$2:E1074)*(E1074=E$2:E1074)))))-COUNTBLANK(OFFSET(A$1,,,SUMPRODUCT(MAX(ROW(E$1:E1073)*(E1074=E$1:E1073))))))</f>
        <v/>
      </c>
      <c r="K1074" s="14" t="str">
        <f aca="false">IF(OR(E1074="",E1074="!!!",F1074="NEW"),"",INDEX(J$1:J1073,SUMPRODUCT(MAX(ROW(E$1:E1073)*(E1074=E$1:E1073)))))</f>
        <v/>
      </c>
      <c r="L1074" s="15"/>
    </row>
    <row r="1075" customFormat="false" ht="12.75" hidden="false" customHeight="false" outlineLevel="0" collapsed="false">
      <c r="A1075" s="0" t="s">
        <v>535</v>
      </c>
      <c r="B1075" s="0" t="s">
        <v>157</v>
      </c>
      <c r="C1075" s="0" t="s">
        <v>15</v>
      </c>
      <c r="D1075" s="0" t="s">
        <v>29</v>
      </c>
      <c r="E1075" s="9" t="str">
        <f aca="false">IF(D1075="?OLD","!!!","")</f>
        <v>!!!</v>
      </c>
      <c r="F1075" s="10" t="str">
        <f aca="false">IF(OR(E1075="",E1075="!!!"),"",IF(NOT(ISNA(VLOOKUP(E1075,E$1:E1074,1,FALSE()))),"OLD",IF(AND(E1075&lt;&gt;"",E1075&lt;&gt;"!!!"),"NEW","")))</f>
        <v/>
      </c>
      <c r="G1075" s="11" t="str">
        <f aca="false">IF(OR(E1075="",E1075="!!!"),"",IF(OR(J1075=0,AND(J1075=1,K1075=1),AND(J1075=1,I1075="SBJ"),AND(J1075=1,I1075=0)),"?IN_FOCUS",IF(J1075&lt;=2,"?ACTIVATED",IF(J1075&lt;&gt;"","?FAMILIAR",IF(F1075="NEW",IF(ISNA(VLOOKUP(E1075,#REF!,1,FALSE())),"?TYPE_IDENTIFIABLE","?REFERENTIAL"),"_")))))</f>
        <v/>
      </c>
      <c r="H1075" s="12" t="str">
        <f aca="false">IF(J1075&lt;&gt;1,"",IF(I1075="SBJ","CB","?"))</f>
        <v/>
      </c>
      <c r="I1075" s="13" t="str">
        <f aca="false">IF(OR(E1075="",E1075="!!!",F1075="NEW"),"",INDEX(B$2:B1074,-1+SUMPRODUCT(MAX(ROW(E$2:E1074)*(E1075=E$2:E1074)))))</f>
        <v/>
      </c>
      <c r="J1075" s="14" t="str">
        <f aca="true">IF(OR(E1075="",E1075="!!!",F1075="NEW"),"",COUNTBLANK(OFFSET(A$1,,,SUMPRODUCT(MAX(ROW(E$2:E1075)*(E1075=E$2:E1075)))))-COUNTBLANK(OFFSET(A$1,,,SUMPRODUCT(MAX(ROW(E$1:E1074)*(E1075=E$1:E1074))))))</f>
        <v/>
      </c>
      <c r="K1075" s="14" t="str">
        <f aca="false">IF(OR(E1075="",E1075="!!!",F1075="NEW"),"",INDEX(J$1:J1074,SUMPRODUCT(MAX(ROW(E$1:E1074)*(E1075=E$1:E1074)))))</f>
        <v/>
      </c>
      <c r="L1075" s="15"/>
    </row>
    <row r="1076" customFormat="false" ht="12.75" hidden="false" customHeight="false" outlineLevel="0" collapsed="false">
      <c r="A1076" s="0" t="s">
        <v>95</v>
      </c>
      <c r="E1076" s="9" t="str">
        <f aca="false">IF(D1076="?OLD","!!!","")</f>
        <v/>
      </c>
      <c r="F1076" s="10" t="str">
        <f aca="false">IF(OR(E1076="",E1076="!!!"),"",IF(NOT(ISNA(VLOOKUP(E1076,E$1:E1075,1,FALSE()))),"OLD",IF(AND(E1076&lt;&gt;"",E1076&lt;&gt;"!!!"),"NEW","")))</f>
        <v/>
      </c>
      <c r="G1076" s="11" t="str">
        <f aca="false">IF(OR(E1076="",E1076="!!!"),"",IF(OR(J1076=0,AND(J1076=1,K1076=1),AND(J1076=1,I1076="SBJ"),AND(J1076=1,I1076=0)),"?IN_FOCUS",IF(J1076&lt;=2,"?ACTIVATED",IF(J1076&lt;&gt;"","?FAMILIAR",IF(F1076="NEW",IF(ISNA(VLOOKUP(E1076,#REF!,1,FALSE())),"?TYPE_IDENTIFIABLE","?REFERENTIAL"),"_")))))</f>
        <v/>
      </c>
      <c r="H1076" s="12" t="str">
        <f aca="false">IF(J1076&lt;&gt;1,"",IF(I1076="SBJ","CB","?"))</f>
        <v/>
      </c>
      <c r="I1076" s="13" t="str">
        <f aca="false">IF(OR(E1076="",E1076="!!!",F1076="NEW"),"",INDEX(B$2:B1075,-1+SUMPRODUCT(MAX(ROW(E$2:E1075)*(E1076=E$2:E1075)))))</f>
        <v/>
      </c>
      <c r="J1076" s="14" t="str">
        <f aca="true">IF(OR(E1076="",E1076="!!!",F1076="NEW"),"",COUNTBLANK(OFFSET(A$1,,,SUMPRODUCT(MAX(ROW(E$2:E1076)*(E1076=E$2:E1076)))))-COUNTBLANK(OFFSET(A$1,,,SUMPRODUCT(MAX(ROW(E$1:E1075)*(E1076=E$1:E1075))))))</f>
        <v/>
      </c>
      <c r="K1076" s="14" t="str">
        <f aca="false">IF(OR(E1076="",E1076="!!!",F1076="NEW"),"",INDEX(J$1:J1075,SUMPRODUCT(MAX(ROW(E$1:E1075)*(E1076=E$1:E1075)))))</f>
        <v/>
      </c>
      <c r="L1076" s="15"/>
    </row>
    <row r="1077" customFormat="false" ht="12.75" hidden="false" customHeight="false" outlineLevel="0" collapsed="false">
      <c r="A1077" s="0" t="s">
        <v>312</v>
      </c>
      <c r="E1077" s="9" t="str">
        <f aca="false">IF(D1077="?OLD","!!!","")</f>
        <v/>
      </c>
      <c r="F1077" s="10" t="str">
        <f aca="false">IF(OR(E1077="",E1077="!!!"),"",IF(NOT(ISNA(VLOOKUP(E1077,E$1:E1076,1,FALSE()))),"OLD",IF(AND(E1077&lt;&gt;"",E1077&lt;&gt;"!!!"),"NEW","")))</f>
        <v/>
      </c>
      <c r="G1077" s="11" t="str">
        <f aca="false">IF(OR(E1077="",E1077="!!!"),"",IF(OR(J1077=0,AND(J1077=1,K1077=1),AND(J1077=1,I1077="SBJ"),AND(J1077=1,I1077=0)),"?IN_FOCUS",IF(J1077&lt;=2,"?ACTIVATED",IF(J1077&lt;&gt;"","?FAMILIAR",IF(F1077="NEW",IF(ISNA(VLOOKUP(E1077,#REF!,1,FALSE())),"?TYPE_IDENTIFIABLE","?REFERENTIAL"),"_")))))</f>
        <v/>
      </c>
      <c r="H1077" s="12" t="str">
        <f aca="false">IF(J1077&lt;&gt;1,"",IF(I1077="SBJ","CB","?"))</f>
        <v/>
      </c>
      <c r="I1077" s="13" t="str">
        <f aca="false">IF(OR(E1077="",E1077="!!!",F1077="NEW"),"",INDEX(B$2:B1076,-1+SUMPRODUCT(MAX(ROW(E$2:E1076)*(E1077=E$2:E1076)))))</f>
        <v/>
      </c>
      <c r="J1077" s="14" t="str">
        <f aca="true">IF(OR(E1077="",E1077="!!!",F1077="NEW"),"",COUNTBLANK(OFFSET(A$1,,,SUMPRODUCT(MAX(ROW(E$2:E1077)*(E1077=E$2:E1077)))))-COUNTBLANK(OFFSET(A$1,,,SUMPRODUCT(MAX(ROW(E$1:E1076)*(E1077=E$1:E1076))))))</f>
        <v/>
      </c>
      <c r="K1077" s="14" t="str">
        <f aca="false">IF(OR(E1077="",E1077="!!!",F1077="NEW"),"",INDEX(J$1:J1076,SUMPRODUCT(MAX(ROW(E$1:E1076)*(E1077=E$1:E1076)))))</f>
        <v/>
      </c>
      <c r="L1077" s="15"/>
    </row>
    <row r="1078" customFormat="false" ht="12.75" hidden="false" customHeight="false" outlineLevel="0" collapsed="false">
      <c r="A1078" s="0" t="s">
        <v>51</v>
      </c>
      <c r="E1078" s="9" t="str">
        <f aca="false">IF(D1078="?OLD","!!!","")</f>
        <v/>
      </c>
      <c r="F1078" s="10" t="str">
        <f aca="false">IF(OR(E1078="",E1078="!!!"),"",IF(NOT(ISNA(VLOOKUP(E1078,E$1:E1077,1,FALSE()))),"OLD",IF(AND(E1078&lt;&gt;"",E1078&lt;&gt;"!!!"),"NEW","")))</f>
        <v/>
      </c>
      <c r="G1078" s="11" t="str">
        <f aca="false">IF(OR(E1078="",E1078="!!!"),"",IF(OR(J1078=0,AND(J1078=1,K1078=1),AND(J1078=1,I1078="SBJ"),AND(J1078=1,I1078=0)),"?IN_FOCUS",IF(J1078&lt;=2,"?ACTIVATED",IF(J1078&lt;&gt;"","?FAMILIAR",IF(F1078="NEW",IF(ISNA(VLOOKUP(E1078,#REF!,1,FALSE())),"?TYPE_IDENTIFIABLE","?REFERENTIAL"),"_")))))</f>
        <v/>
      </c>
      <c r="H1078" s="12" t="str">
        <f aca="false">IF(J1078&lt;&gt;1,"",IF(I1078="SBJ","CB","?"))</f>
        <v/>
      </c>
      <c r="I1078" s="13" t="str">
        <f aca="false">IF(OR(E1078="",E1078="!!!",F1078="NEW"),"",INDEX(B$2:B1077,-1+SUMPRODUCT(MAX(ROW(E$2:E1077)*(E1078=E$2:E1077)))))</f>
        <v/>
      </c>
      <c r="J1078" s="14" t="str">
        <f aca="true">IF(OR(E1078="",E1078="!!!",F1078="NEW"),"",COUNTBLANK(OFFSET(A$1,,,SUMPRODUCT(MAX(ROW(E$2:E1078)*(E1078=E$2:E1078)))))-COUNTBLANK(OFFSET(A$1,,,SUMPRODUCT(MAX(ROW(E$1:E1077)*(E1078=E$1:E1077))))))</f>
        <v/>
      </c>
      <c r="K1078" s="14" t="str">
        <f aca="false">IF(OR(E1078="",E1078="!!!",F1078="NEW"),"",INDEX(J$1:J1077,SUMPRODUCT(MAX(ROW(E$1:E1077)*(E1078=E$1:E1077)))))</f>
        <v/>
      </c>
      <c r="L1078" s="15"/>
    </row>
    <row r="1079" customFormat="false" ht="12.75" hidden="false" customHeight="false" outlineLevel="0" collapsed="false">
      <c r="A1079" s="0" t="s">
        <v>392</v>
      </c>
      <c r="E1079" s="9" t="str">
        <f aca="false">IF(D1079="?OLD","!!!","")</f>
        <v/>
      </c>
      <c r="F1079" s="10" t="str">
        <f aca="false">IF(OR(E1079="",E1079="!!!"),"",IF(NOT(ISNA(VLOOKUP(E1079,E$1:E1078,1,FALSE()))),"OLD",IF(AND(E1079&lt;&gt;"",E1079&lt;&gt;"!!!"),"NEW","")))</f>
        <v/>
      </c>
      <c r="G1079" s="11" t="str">
        <f aca="false">IF(OR(E1079="",E1079="!!!"),"",IF(OR(J1079=0,AND(J1079=1,K1079=1),AND(J1079=1,I1079="SBJ"),AND(J1079=1,I1079=0)),"?IN_FOCUS",IF(J1079&lt;=2,"?ACTIVATED",IF(J1079&lt;&gt;"","?FAMILIAR",IF(F1079="NEW",IF(ISNA(VLOOKUP(E1079,#REF!,1,FALSE())),"?TYPE_IDENTIFIABLE","?REFERENTIAL"),"_")))))</f>
        <v/>
      </c>
      <c r="H1079" s="12" t="str">
        <f aca="false">IF(J1079&lt;&gt;1,"",IF(I1079="SBJ","CB","?"))</f>
        <v/>
      </c>
      <c r="I1079" s="13" t="str">
        <f aca="false">IF(OR(E1079="",E1079="!!!",F1079="NEW"),"",INDEX(B$2:B1078,-1+SUMPRODUCT(MAX(ROW(E$2:E1078)*(E1079=E$2:E1078)))))</f>
        <v/>
      </c>
      <c r="J1079" s="14" t="str">
        <f aca="true">IF(OR(E1079="",E1079="!!!",F1079="NEW"),"",COUNTBLANK(OFFSET(A$1,,,SUMPRODUCT(MAX(ROW(E$2:E1079)*(E1079=E$2:E1079)))))-COUNTBLANK(OFFSET(A$1,,,SUMPRODUCT(MAX(ROW(E$1:E1078)*(E1079=E$1:E1078))))))</f>
        <v/>
      </c>
      <c r="K1079" s="14" t="str">
        <f aca="false">IF(OR(E1079="",E1079="!!!",F1079="NEW"),"",INDEX(J$1:J1078,SUMPRODUCT(MAX(ROW(E$1:E1078)*(E1079=E$1:E1078)))))</f>
        <v/>
      </c>
      <c r="L1079" s="15"/>
    </row>
    <row r="1080" customFormat="false" ht="12.75" hidden="false" customHeight="false" outlineLevel="0" collapsed="false">
      <c r="A1080" s="0" t="s">
        <v>429</v>
      </c>
      <c r="B1080" s="0" t="s">
        <v>91</v>
      </c>
      <c r="C1080" s="0" t="s">
        <v>38</v>
      </c>
      <c r="D1080" s="0" t="s">
        <v>29</v>
      </c>
      <c r="E1080" s="9" t="str">
        <f aca="false">IF(D1080="?OLD","!!!","")</f>
        <v>!!!</v>
      </c>
      <c r="F1080" s="10" t="str">
        <f aca="false">IF(OR(E1080="",E1080="!!!"),"",IF(NOT(ISNA(VLOOKUP(E1080,E$1:E1079,1,FALSE()))),"OLD",IF(AND(E1080&lt;&gt;"",E1080&lt;&gt;"!!!"),"NEW","")))</f>
        <v/>
      </c>
      <c r="G1080" s="11" t="str">
        <f aca="false">IF(OR(E1080="",E1080="!!!"),"",IF(OR(J1080=0,AND(J1080=1,K1080=1),AND(J1080=1,I1080="SBJ"),AND(J1080=1,I1080=0)),"?IN_FOCUS",IF(J1080&lt;=2,"?ACTIVATED",IF(J1080&lt;&gt;"","?FAMILIAR",IF(F1080="NEW",IF(ISNA(VLOOKUP(E1080,#REF!,1,FALSE())),"?TYPE_IDENTIFIABLE","?REFERENTIAL"),"_")))))</f>
        <v/>
      </c>
      <c r="H1080" s="12" t="str">
        <f aca="false">IF(J1080&lt;&gt;1,"",IF(I1080="SBJ","CB","?"))</f>
        <v/>
      </c>
      <c r="I1080" s="13" t="str">
        <f aca="false">IF(OR(E1080="",E1080="!!!",F1080="NEW"),"",INDEX(B$2:B1079,-1+SUMPRODUCT(MAX(ROW(E$2:E1079)*(E1080=E$2:E1079)))))</f>
        <v/>
      </c>
      <c r="J1080" s="14" t="str">
        <f aca="true">IF(OR(E1080="",E1080="!!!",F1080="NEW"),"",COUNTBLANK(OFFSET(A$1,,,SUMPRODUCT(MAX(ROW(E$2:E1080)*(E1080=E$2:E1080)))))-COUNTBLANK(OFFSET(A$1,,,SUMPRODUCT(MAX(ROW(E$1:E1079)*(E1080=E$1:E1079))))))</f>
        <v/>
      </c>
      <c r="K1080" s="14" t="str">
        <f aca="false">IF(OR(E1080="",E1080="!!!",F1080="NEW"),"",INDEX(J$1:J1079,SUMPRODUCT(MAX(ROW(E$1:E1079)*(E1080=E$1:E1079)))))</f>
        <v/>
      </c>
      <c r="L1080" s="15"/>
    </row>
    <row r="1081" customFormat="false" ht="12.75" hidden="false" customHeight="false" outlineLevel="0" collapsed="false">
      <c r="A1081" s="0" t="s">
        <v>161</v>
      </c>
      <c r="B1081" s="0" t="s">
        <v>536</v>
      </c>
      <c r="C1081" s="0" t="s">
        <v>162</v>
      </c>
      <c r="E1081" s="9" t="str">
        <f aca="false">IF(D1081="?OLD","!!!","")</f>
        <v/>
      </c>
      <c r="F1081" s="10" t="str">
        <f aca="false">IF(OR(E1081="",E1081="!!!"),"",IF(NOT(ISNA(VLOOKUP(E1081,E$1:E1080,1,FALSE()))),"OLD",IF(AND(E1081&lt;&gt;"",E1081&lt;&gt;"!!!"),"NEW","")))</f>
        <v/>
      </c>
      <c r="G1081" s="11" t="str">
        <f aca="false">IF(OR(E1081="",E1081="!!!"),"",IF(OR(J1081=0,AND(J1081=1,K1081=1),AND(J1081=1,I1081="SBJ"),AND(J1081=1,I1081=0)),"?IN_FOCUS",IF(J1081&lt;=2,"?ACTIVATED",IF(J1081&lt;&gt;"","?FAMILIAR",IF(F1081="NEW",IF(ISNA(VLOOKUP(E1081,#REF!,1,FALSE())),"?TYPE_IDENTIFIABLE","?REFERENTIAL"),"_")))))</f>
        <v/>
      </c>
      <c r="H1081" s="12" t="str">
        <f aca="false">IF(J1081&lt;&gt;1,"",IF(I1081="SBJ","CB","?"))</f>
        <v/>
      </c>
      <c r="I1081" s="13" t="str">
        <f aca="false">IF(OR(E1081="",E1081="!!!",F1081="NEW"),"",INDEX(B$2:B1080,-1+SUMPRODUCT(MAX(ROW(E$2:E1080)*(E1081=E$2:E1080)))))</f>
        <v/>
      </c>
      <c r="J1081" s="14" t="str">
        <f aca="true">IF(OR(E1081="",E1081="!!!",F1081="NEW"),"",COUNTBLANK(OFFSET(A$1,,,SUMPRODUCT(MAX(ROW(E$2:E1081)*(E1081=E$2:E1081)))))-COUNTBLANK(OFFSET(A$1,,,SUMPRODUCT(MAX(ROW(E$1:E1080)*(E1081=E$1:E1080))))))</f>
        <v/>
      </c>
      <c r="K1081" s="14" t="str">
        <f aca="false">IF(OR(E1081="",E1081="!!!",F1081="NEW"),"",INDEX(J$1:J1080,SUMPRODUCT(MAX(ROW(E$1:E1080)*(E1081=E$1:E1080)))))</f>
        <v/>
      </c>
      <c r="L1081" s="15"/>
    </row>
    <row r="1082" customFormat="false" ht="12.75" hidden="false" customHeight="false" outlineLevel="0" collapsed="false">
      <c r="A1082" s="0" t="s">
        <v>122</v>
      </c>
      <c r="B1082" s="0" t="s">
        <v>165</v>
      </c>
      <c r="C1082" s="0" t="s">
        <v>38</v>
      </c>
      <c r="D1082" s="0" t="s">
        <v>29</v>
      </c>
      <c r="E1082" s="9" t="str">
        <f aca="false">IF(D1082="?OLD","!!!","")</f>
        <v>!!!</v>
      </c>
      <c r="F1082" s="10" t="str">
        <f aca="false">IF(OR(E1082="",E1082="!!!"),"",IF(NOT(ISNA(VLOOKUP(E1082,E$1:E1081,1,FALSE()))),"OLD",IF(AND(E1082&lt;&gt;"",E1082&lt;&gt;"!!!"),"NEW","")))</f>
        <v/>
      </c>
      <c r="G1082" s="11" t="str">
        <f aca="false">IF(OR(E1082="",E1082="!!!"),"",IF(OR(J1082=0,AND(J1082=1,K1082=1),AND(J1082=1,I1082="SBJ"),AND(J1082=1,I1082=0)),"?IN_FOCUS",IF(J1082&lt;=2,"?ACTIVATED",IF(J1082&lt;&gt;"","?FAMILIAR",IF(F1082="NEW",IF(ISNA(VLOOKUP(E1082,#REF!,1,FALSE())),"?TYPE_IDENTIFIABLE","?REFERENTIAL"),"_")))))</f>
        <v/>
      </c>
      <c r="H1082" s="12" t="str">
        <f aca="false">IF(J1082&lt;&gt;1,"",IF(I1082="SBJ","CB","?"))</f>
        <v/>
      </c>
      <c r="I1082" s="13" t="str">
        <f aca="false">IF(OR(E1082="",E1082="!!!",F1082="NEW"),"",INDEX(B$2:B1081,-1+SUMPRODUCT(MAX(ROW(E$2:E1081)*(E1082=E$2:E1081)))))</f>
        <v/>
      </c>
      <c r="J1082" s="14" t="str">
        <f aca="true">IF(OR(E1082="",E1082="!!!",F1082="NEW"),"",COUNTBLANK(OFFSET(A$1,,,SUMPRODUCT(MAX(ROW(E$2:E1082)*(E1082=E$2:E1082)))))-COUNTBLANK(OFFSET(A$1,,,SUMPRODUCT(MAX(ROW(E$1:E1081)*(E1082=E$1:E1081))))))</f>
        <v/>
      </c>
      <c r="K1082" s="14" t="str">
        <f aca="false">IF(OR(E1082="",E1082="!!!",F1082="NEW"),"",INDEX(J$1:J1081,SUMPRODUCT(MAX(ROW(E$1:E1081)*(E1082=E$1:E1081)))))</f>
        <v/>
      </c>
      <c r="L1082" s="15"/>
    </row>
    <row r="1083" customFormat="false" ht="12.75" hidden="false" customHeight="false" outlineLevel="0" collapsed="false">
      <c r="A1083" s="0" t="s">
        <v>124</v>
      </c>
      <c r="E1083" s="9" t="str">
        <f aca="false">IF(D1083="?OLD","!!!","")</f>
        <v/>
      </c>
      <c r="F1083" s="10" t="str">
        <f aca="false">IF(OR(E1083="",E1083="!!!"),"",IF(NOT(ISNA(VLOOKUP(E1083,E$1:E1082,1,FALSE()))),"OLD",IF(AND(E1083&lt;&gt;"",E1083&lt;&gt;"!!!"),"NEW","")))</f>
        <v/>
      </c>
      <c r="G1083" s="11" t="str">
        <f aca="false">IF(OR(E1083="",E1083="!!!"),"",IF(OR(J1083=0,AND(J1083=1,K1083=1),AND(J1083=1,I1083="SBJ"),AND(J1083=1,I1083=0)),"?IN_FOCUS",IF(J1083&lt;=2,"?ACTIVATED",IF(J1083&lt;&gt;"","?FAMILIAR",IF(F1083="NEW",IF(ISNA(VLOOKUP(E1083,#REF!,1,FALSE())),"?TYPE_IDENTIFIABLE","?REFERENTIAL"),"_")))))</f>
        <v/>
      </c>
      <c r="H1083" s="12" t="str">
        <f aca="false">IF(J1083&lt;&gt;1,"",IF(I1083="SBJ","CB","?"))</f>
        <v/>
      </c>
      <c r="I1083" s="13" t="str">
        <f aca="false">IF(OR(E1083="",E1083="!!!",F1083="NEW"),"",INDEX(B$2:B1082,-1+SUMPRODUCT(MAX(ROW(E$2:E1082)*(E1083=E$2:E1082)))))</f>
        <v/>
      </c>
      <c r="J1083" s="14" t="str">
        <f aca="true">IF(OR(E1083="",E1083="!!!",F1083="NEW"),"",COUNTBLANK(OFFSET(A$1,,,SUMPRODUCT(MAX(ROW(E$2:E1083)*(E1083=E$2:E1083)))))-COUNTBLANK(OFFSET(A$1,,,SUMPRODUCT(MAX(ROW(E$1:E1082)*(E1083=E$1:E1082))))))</f>
        <v/>
      </c>
      <c r="K1083" s="14" t="str">
        <f aca="false">IF(OR(E1083="",E1083="!!!",F1083="NEW"),"",INDEX(J$1:J1082,SUMPRODUCT(MAX(ROW(E$1:E1082)*(E1083=E$1:E1082)))))</f>
        <v/>
      </c>
      <c r="L1083" s="15"/>
    </row>
    <row r="1084" customFormat="false" ht="12.75" hidden="false" customHeight="false" outlineLevel="0" collapsed="false">
      <c r="A1084" s="0" t="s">
        <v>537</v>
      </c>
      <c r="E1084" s="9" t="str">
        <f aca="false">IF(D1084="?OLD","!!!","")</f>
        <v/>
      </c>
      <c r="F1084" s="10" t="str">
        <f aca="false">IF(OR(E1084="",E1084="!!!"),"",IF(NOT(ISNA(VLOOKUP(E1084,E$1:E1083,1,FALSE()))),"OLD",IF(AND(E1084&lt;&gt;"",E1084&lt;&gt;"!!!"),"NEW","")))</f>
        <v/>
      </c>
      <c r="G1084" s="11" t="str">
        <f aca="false">IF(OR(E1084="",E1084="!!!"),"",IF(OR(J1084=0,AND(J1084=1,K1084=1),AND(J1084=1,I1084="SBJ"),AND(J1084=1,I1084=0)),"?IN_FOCUS",IF(J1084&lt;=2,"?ACTIVATED",IF(J1084&lt;&gt;"","?FAMILIAR",IF(F1084="NEW",IF(ISNA(VLOOKUP(E1084,#REF!,1,FALSE())),"?TYPE_IDENTIFIABLE","?REFERENTIAL"),"_")))))</f>
        <v/>
      </c>
      <c r="H1084" s="12" t="str">
        <f aca="false">IF(J1084&lt;&gt;1,"",IF(I1084="SBJ","CB","?"))</f>
        <v/>
      </c>
      <c r="I1084" s="13" t="str">
        <f aca="false">IF(OR(E1084="",E1084="!!!",F1084="NEW"),"",INDEX(B$2:B1083,-1+SUMPRODUCT(MAX(ROW(E$2:E1083)*(E1084=E$2:E1083)))))</f>
        <v/>
      </c>
      <c r="J1084" s="14" t="str">
        <f aca="true">IF(OR(E1084="",E1084="!!!",F1084="NEW"),"",COUNTBLANK(OFFSET(A$1,,,SUMPRODUCT(MAX(ROW(E$2:E1084)*(E1084=E$2:E1084)))))-COUNTBLANK(OFFSET(A$1,,,SUMPRODUCT(MAX(ROW(E$1:E1083)*(E1084=E$1:E1083))))))</f>
        <v/>
      </c>
      <c r="K1084" s="14" t="str">
        <f aca="false">IF(OR(E1084="",E1084="!!!",F1084="NEW"),"",INDEX(J$1:J1083,SUMPRODUCT(MAX(ROW(E$1:E1083)*(E1084=E$1:E1083)))))</f>
        <v/>
      </c>
      <c r="L1084" s="15"/>
    </row>
    <row r="1085" customFormat="false" ht="12.75" hidden="false" customHeight="false" outlineLevel="0" collapsed="false">
      <c r="A1085" s="0" t="s">
        <v>73</v>
      </c>
      <c r="E1085" s="9" t="str">
        <f aca="false">IF(D1085="?OLD","!!!","")</f>
        <v/>
      </c>
      <c r="F1085" s="10" t="str">
        <f aca="false">IF(OR(E1085="",E1085="!!!"),"",IF(NOT(ISNA(VLOOKUP(E1085,E$1:E1084,1,FALSE()))),"OLD",IF(AND(E1085&lt;&gt;"",E1085&lt;&gt;"!!!"),"NEW","")))</f>
        <v/>
      </c>
      <c r="G1085" s="11" t="str">
        <f aca="false">IF(OR(E1085="",E1085="!!!"),"",IF(OR(J1085=0,AND(J1085=1,K1085=1),AND(J1085=1,I1085="SBJ"),AND(J1085=1,I1085=0)),"?IN_FOCUS",IF(J1085&lt;=2,"?ACTIVATED",IF(J1085&lt;&gt;"","?FAMILIAR",IF(F1085="NEW",IF(ISNA(VLOOKUP(E1085,#REF!,1,FALSE())),"?TYPE_IDENTIFIABLE","?REFERENTIAL"),"_")))))</f>
        <v/>
      </c>
      <c r="H1085" s="12" t="str">
        <f aca="false">IF(J1085&lt;&gt;1,"",IF(I1085="SBJ","CB","?"))</f>
        <v/>
      </c>
      <c r="I1085" s="13" t="str">
        <f aca="false">IF(OR(E1085="",E1085="!!!",F1085="NEW"),"",INDEX(B$2:B1084,-1+SUMPRODUCT(MAX(ROW(E$2:E1084)*(E1085=E$2:E1084)))))</f>
        <v/>
      </c>
      <c r="J1085" s="14" t="str">
        <f aca="true">IF(OR(E1085="",E1085="!!!",F1085="NEW"),"",COUNTBLANK(OFFSET(A$1,,,SUMPRODUCT(MAX(ROW(E$2:E1085)*(E1085=E$2:E1085)))))-COUNTBLANK(OFFSET(A$1,,,SUMPRODUCT(MAX(ROW(E$1:E1084)*(E1085=E$1:E1084))))))</f>
        <v/>
      </c>
      <c r="K1085" s="14" t="str">
        <f aca="false">IF(OR(E1085="",E1085="!!!",F1085="NEW"),"",INDEX(J$1:J1084,SUMPRODUCT(MAX(ROW(E$1:E1084)*(E1085=E$1:E1084)))))</f>
        <v/>
      </c>
      <c r="L1085" s="15"/>
    </row>
    <row r="1086" customFormat="false" ht="12.75" hidden="false" customHeight="false" outlineLevel="0" collapsed="false">
      <c r="E1086" s="9" t="str">
        <f aca="false">IF(D1086="?OLD","!!!","")</f>
        <v/>
      </c>
      <c r="F1086" s="10" t="str">
        <f aca="false">IF(OR(E1086="",E1086="!!!"),"",IF(NOT(ISNA(VLOOKUP(E1086,E$1:E1085,1,FALSE()))),"OLD",IF(AND(E1086&lt;&gt;"",E1086&lt;&gt;"!!!"),"NEW","")))</f>
        <v/>
      </c>
      <c r="G1086" s="11" t="str">
        <f aca="false">IF(OR(E1086="",E1086="!!!"),"",IF(OR(J1086=0,AND(J1086=1,K1086=1),AND(J1086=1,I1086="SBJ"),AND(J1086=1,I1086=0)),"?IN_FOCUS",IF(J1086&lt;=2,"?ACTIVATED",IF(J1086&lt;&gt;"","?FAMILIAR",IF(F1086="NEW",IF(ISNA(VLOOKUP(E1086,#REF!,1,FALSE())),"?TYPE_IDENTIFIABLE","?REFERENTIAL"),"_")))))</f>
        <v/>
      </c>
      <c r="H1086" s="12" t="str">
        <f aca="false">IF(J1086&lt;&gt;1,"",IF(I1086="SBJ","CB","?"))</f>
        <v/>
      </c>
      <c r="I1086" s="13" t="str">
        <f aca="false">IF(OR(E1086="",E1086="!!!",F1086="NEW"),"",INDEX(B$2:B1085,-1+SUMPRODUCT(MAX(ROW(E$2:E1085)*(E1086=E$2:E1085)))))</f>
        <v/>
      </c>
      <c r="J1086" s="14" t="str">
        <f aca="true">IF(OR(E1086="",E1086="!!!",F1086="NEW"),"",COUNTBLANK(OFFSET(A$1,,,SUMPRODUCT(MAX(ROW(E$2:E1086)*(E1086=E$2:E1086)))))-COUNTBLANK(OFFSET(A$1,,,SUMPRODUCT(MAX(ROW(E$1:E1085)*(E1086=E$1:E1085))))))</f>
        <v/>
      </c>
      <c r="K1086" s="14" t="str">
        <f aca="false">IF(OR(E1086="",E1086="!!!",F1086="NEW"),"",INDEX(J$1:J1085,SUMPRODUCT(MAX(ROW(E$1:E1085)*(E1086=E$1:E1085)))))</f>
        <v/>
      </c>
      <c r="L1086" s="15"/>
    </row>
    <row r="1087" customFormat="false" ht="12.75" hidden="false" customHeight="false" outlineLevel="0" collapsed="false">
      <c r="A1087" s="0" t="s">
        <v>260</v>
      </c>
      <c r="E1087" s="9" t="str">
        <f aca="false">IF(D1087="?OLD","!!!","")</f>
        <v/>
      </c>
      <c r="F1087" s="10" t="str">
        <f aca="false">IF(OR(E1087="",E1087="!!!"),"",IF(NOT(ISNA(VLOOKUP(E1087,E$1:E1086,1,FALSE()))),"OLD",IF(AND(E1087&lt;&gt;"",E1087&lt;&gt;"!!!"),"NEW","")))</f>
        <v/>
      </c>
      <c r="G1087" s="11" t="str">
        <f aca="false">IF(OR(E1087="",E1087="!!!"),"",IF(OR(J1087=0,AND(J1087=1,K1087=1),AND(J1087=1,I1087="SBJ"),AND(J1087=1,I1087=0)),"?IN_FOCUS",IF(J1087&lt;=2,"?ACTIVATED",IF(J1087&lt;&gt;"","?FAMILIAR",IF(F1087="NEW",IF(ISNA(VLOOKUP(E1087,#REF!,1,FALSE())),"?TYPE_IDENTIFIABLE","?REFERENTIAL"),"_")))))</f>
        <v/>
      </c>
      <c r="H1087" s="12" t="str">
        <f aca="false">IF(J1087&lt;&gt;1,"",IF(I1087="SBJ","CB","?"))</f>
        <v/>
      </c>
      <c r="I1087" s="13" t="str">
        <f aca="false">IF(OR(E1087="",E1087="!!!",F1087="NEW"),"",INDEX(B$2:B1086,-1+SUMPRODUCT(MAX(ROW(E$2:E1086)*(E1087=E$2:E1086)))))</f>
        <v/>
      </c>
      <c r="J1087" s="14" t="str">
        <f aca="true">IF(OR(E1087="",E1087="!!!",F1087="NEW"),"",COUNTBLANK(OFFSET(A$1,,,SUMPRODUCT(MAX(ROW(E$2:E1087)*(E1087=E$2:E1087)))))-COUNTBLANK(OFFSET(A$1,,,SUMPRODUCT(MAX(ROW(E$1:E1086)*(E1087=E$1:E1086))))))</f>
        <v/>
      </c>
      <c r="K1087" s="14" t="str">
        <f aca="false">IF(OR(E1087="",E1087="!!!",F1087="NEW"),"",INDEX(J$1:J1086,SUMPRODUCT(MAX(ROW(E$1:E1086)*(E1087=E$1:E1086)))))</f>
        <v/>
      </c>
      <c r="L1087" s="15"/>
    </row>
    <row r="1088" customFormat="false" ht="12.75" hidden="false" customHeight="false" outlineLevel="0" collapsed="false">
      <c r="A1088" s="0" t="s">
        <v>538</v>
      </c>
      <c r="E1088" s="9" t="str">
        <f aca="false">IF(D1088="?OLD","!!!","")</f>
        <v/>
      </c>
      <c r="F1088" s="10" t="str">
        <f aca="false">IF(OR(E1088="",E1088="!!!"),"",IF(NOT(ISNA(VLOOKUP(E1088,E$1:E1087,1,FALSE()))),"OLD",IF(AND(E1088&lt;&gt;"",E1088&lt;&gt;"!!!"),"NEW","")))</f>
        <v/>
      </c>
      <c r="G1088" s="11" t="str">
        <f aca="false">IF(OR(E1088="",E1088="!!!"),"",IF(OR(J1088=0,AND(J1088=1,K1088=1),AND(J1088=1,I1088="SBJ"),AND(J1088=1,I1088=0)),"?IN_FOCUS",IF(J1088&lt;=2,"?ACTIVATED",IF(J1088&lt;&gt;"","?FAMILIAR",IF(F1088="NEW",IF(ISNA(VLOOKUP(E1088,#REF!,1,FALSE())),"?TYPE_IDENTIFIABLE","?REFERENTIAL"),"_")))))</f>
        <v/>
      </c>
      <c r="H1088" s="12" t="str">
        <f aca="false">IF(J1088&lt;&gt;1,"",IF(I1088="SBJ","CB","?"))</f>
        <v/>
      </c>
      <c r="I1088" s="13" t="str">
        <f aca="false">IF(OR(E1088="",E1088="!!!",F1088="NEW"),"",INDEX(B$2:B1087,-1+SUMPRODUCT(MAX(ROW(E$2:E1087)*(E1088=E$2:E1087)))))</f>
        <v/>
      </c>
      <c r="J1088" s="14" t="str">
        <f aca="true">IF(OR(E1088="",E1088="!!!",F1088="NEW"),"",COUNTBLANK(OFFSET(A$1,,,SUMPRODUCT(MAX(ROW(E$2:E1088)*(E1088=E$2:E1088)))))-COUNTBLANK(OFFSET(A$1,,,SUMPRODUCT(MAX(ROW(E$1:E1087)*(E1088=E$1:E1087))))))</f>
        <v/>
      </c>
      <c r="K1088" s="14" t="str">
        <f aca="false">IF(OR(E1088="",E1088="!!!",F1088="NEW"),"",INDEX(J$1:J1087,SUMPRODUCT(MAX(ROW(E$1:E1087)*(E1088=E$1:E1087)))))</f>
        <v/>
      </c>
      <c r="L1088" s="15"/>
    </row>
    <row r="1089" customFormat="false" ht="12.75" hidden="false" customHeight="false" outlineLevel="0" collapsed="false">
      <c r="A1089" s="0" t="s">
        <v>262</v>
      </c>
      <c r="E1089" s="9" t="str">
        <f aca="false">IF(D1089="?OLD","!!!","")</f>
        <v/>
      </c>
      <c r="F1089" s="10" t="str">
        <f aca="false">IF(OR(E1089="",E1089="!!!"),"",IF(NOT(ISNA(VLOOKUP(E1089,E$1:E1088,1,FALSE()))),"OLD",IF(AND(E1089&lt;&gt;"",E1089&lt;&gt;"!!!"),"NEW","")))</f>
        <v/>
      </c>
      <c r="G1089" s="11" t="str">
        <f aca="false">IF(OR(E1089="",E1089="!!!"),"",IF(OR(J1089=0,AND(J1089=1,K1089=1),AND(J1089=1,I1089="SBJ"),AND(J1089=1,I1089=0)),"?IN_FOCUS",IF(J1089&lt;=2,"?ACTIVATED",IF(J1089&lt;&gt;"","?FAMILIAR",IF(F1089="NEW",IF(ISNA(VLOOKUP(E1089,#REF!,1,FALSE())),"?TYPE_IDENTIFIABLE","?REFERENTIAL"),"_")))))</f>
        <v/>
      </c>
      <c r="H1089" s="12" t="str">
        <f aca="false">IF(J1089&lt;&gt;1,"",IF(I1089="SBJ","CB","?"))</f>
        <v/>
      </c>
      <c r="I1089" s="13" t="str">
        <f aca="false">IF(OR(E1089="",E1089="!!!",F1089="NEW"),"",INDEX(B$2:B1088,-1+SUMPRODUCT(MAX(ROW(E$2:E1088)*(E1089=E$2:E1088)))))</f>
        <v/>
      </c>
      <c r="J1089" s="14" t="str">
        <f aca="true">IF(OR(E1089="",E1089="!!!",F1089="NEW"),"",COUNTBLANK(OFFSET(A$1,,,SUMPRODUCT(MAX(ROW(E$2:E1089)*(E1089=E$2:E1089)))))-COUNTBLANK(OFFSET(A$1,,,SUMPRODUCT(MAX(ROW(E$1:E1088)*(E1089=E$1:E1088))))))</f>
        <v/>
      </c>
      <c r="K1089" s="14" t="str">
        <f aca="false">IF(OR(E1089="",E1089="!!!",F1089="NEW"),"",INDEX(J$1:J1088,SUMPRODUCT(MAX(ROW(E$1:E1088)*(E1089=E$1:E1088)))))</f>
        <v/>
      </c>
      <c r="L1089" s="15"/>
    </row>
    <row r="1090" customFormat="false" ht="12.75" hidden="false" customHeight="false" outlineLevel="0" collapsed="false">
      <c r="A1090" s="0" t="s">
        <v>298</v>
      </c>
      <c r="B1090" s="0" t="s">
        <v>14</v>
      </c>
      <c r="C1090" s="0" t="s">
        <v>38</v>
      </c>
      <c r="D1090" s="0" t="s">
        <v>29</v>
      </c>
      <c r="E1090" s="9" t="str">
        <f aca="false">IF(D1090="?OLD","!!!","")</f>
        <v>!!!</v>
      </c>
      <c r="F1090" s="10" t="str">
        <f aca="false">IF(OR(E1090="",E1090="!!!"),"",IF(NOT(ISNA(VLOOKUP(E1090,E$1:E1089,1,FALSE()))),"OLD",IF(AND(E1090&lt;&gt;"",E1090&lt;&gt;"!!!"),"NEW","")))</f>
        <v/>
      </c>
      <c r="G1090" s="11" t="str">
        <f aca="false">IF(OR(E1090="",E1090="!!!"),"",IF(OR(J1090=0,AND(J1090=1,K1090=1),AND(J1090=1,I1090="SBJ"),AND(J1090=1,I1090=0)),"?IN_FOCUS",IF(J1090&lt;=2,"?ACTIVATED",IF(J1090&lt;&gt;"","?FAMILIAR",IF(F1090="NEW",IF(ISNA(VLOOKUP(E1090,#REF!,1,FALSE())),"?TYPE_IDENTIFIABLE","?REFERENTIAL"),"_")))))</f>
        <v/>
      </c>
      <c r="H1090" s="12" t="str">
        <f aca="false">IF(J1090&lt;&gt;1,"",IF(I1090="SBJ","CB","?"))</f>
        <v/>
      </c>
      <c r="I1090" s="13" t="str">
        <f aca="false">IF(OR(E1090="",E1090="!!!",F1090="NEW"),"",INDEX(B$2:B1089,-1+SUMPRODUCT(MAX(ROW(E$2:E1089)*(E1090=E$2:E1089)))))</f>
        <v/>
      </c>
      <c r="J1090" s="14" t="str">
        <f aca="true">IF(OR(E1090="",E1090="!!!",F1090="NEW"),"",COUNTBLANK(OFFSET(A$1,,,SUMPRODUCT(MAX(ROW(E$2:E1090)*(E1090=E$2:E1090)))))-COUNTBLANK(OFFSET(A$1,,,SUMPRODUCT(MAX(ROW(E$1:E1089)*(E1090=E$1:E1089))))))</f>
        <v/>
      </c>
      <c r="K1090" s="14" t="str">
        <f aca="false">IF(OR(E1090="",E1090="!!!",F1090="NEW"),"",INDEX(J$1:J1089,SUMPRODUCT(MAX(ROW(E$1:E1089)*(E1090=E$1:E1089)))))</f>
        <v/>
      </c>
      <c r="L1090" s="15"/>
    </row>
    <row r="1091" customFormat="false" ht="12.75" hidden="false" customHeight="false" outlineLevel="0" collapsed="false">
      <c r="A1091" s="0" t="s">
        <v>539</v>
      </c>
      <c r="E1091" s="9" t="str">
        <f aca="false">IF(D1091="?OLD","!!!","")</f>
        <v/>
      </c>
      <c r="F1091" s="10" t="str">
        <f aca="false">IF(OR(E1091="",E1091="!!!"),"",IF(NOT(ISNA(VLOOKUP(E1091,E$1:E1090,1,FALSE()))),"OLD",IF(AND(E1091&lt;&gt;"",E1091&lt;&gt;"!!!"),"NEW","")))</f>
        <v/>
      </c>
      <c r="G1091" s="11" t="str">
        <f aca="false">IF(OR(E1091="",E1091="!!!"),"",IF(OR(J1091=0,AND(J1091=1,K1091=1),AND(J1091=1,I1091="SBJ"),AND(J1091=1,I1091=0)),"?IN_FOCUS",IF(J1091&lt;=2,"?ACTIVATED",IF(J1091&lt;&gt;"","?FAMILIAR",IF(F1091="NEW",IF(ISNA(VLOOKUP(E1091,#REF!,1,FALSE())),"?TYPE_IDENTIFIABLE","?REFERENTIAL"),"_")))))</f>
        <v/>
      </c>
      <c r="H1091" s="12" t="str">
        <f aca="false">IF(J1091&lt;&gt;1,"",IF(I1091="SBJ","CB","?"))</f>
        <v/>
      </c>
      <c r="I1091" s="13" t="str">
        <f aca="false">IF(OR(E1091="",E1091="!!!",F1091="NEW"),"",INDEX(B$2:B1090,-1+SUMPRODUCT(MAX(ROW(E$2:E1090)*(E1091=E$2:E1090)))))</f>
        <v/>
      </c>
      <c r="J1091" s="14" t="str">
        <f aca="true">IF(OR(E1091="",E1091="!!!",F1091="NEW"),"",COUNTBLANK(OFFSET(A$1,,,SUMPRODUCT(MAX(ROW(E$2:E1091)*(E1091=E$2:E1091)))))-COUNTBLANK(OFFSET(A$1,,,SUMPRODUCT(MAX(ROW(E$1:E1090)*(E1091=E$1:E1090))))))</f>
        <v/>
      </c>
      <c r="K1091" s="14" t="str">
        <f aca="false">IF(OR(E1091="",E1091="!!!",F1091="NEW"),"",INDEX(J$1:J1090,SUMPRODUCT(MAX(ROW(E$1:E1090)*(E1091=E$1:E1090)))))</f>
        <v/>
      </c>
      <c r="L1091" s="15"/>
    </row>
    <row r="1092" customFormat="false" ht="12.75" hidden="false" customHeight="false" outlineLevel="0" collapsed="false">
      <c r="A1092" s="0" t="s">
        <v>31</v>
      </c>
      <c r="E1092" s="9" t="str">
        <f aca="false">IF(D1092="?OLD","!!!","")</f>
        <v/>
      </c>
      <c r="F1092" s="10" t="str">
        <f aca="false">IF(OR(E1092="",E1092="!!!"),"",IF(NOT(ISNA(VLOOKUP(E1092,E$1:E1091,1,FALSE()))),"OLD",IF(AND(E1092&lt;&gt;"",E1092&lt;&gt;"!!!"),"NEW","")))</f>
        <v/>
      </c>
      <c r="G1092" s="11" t="str">
        <f aca="false">IF(OR(E1092="",E1092="!!!"),"",IF(OR(J1092=0,AND(J1092=1,K1092=1),AND(J1092=1,I1092="SBJ"),AND(J1092=1,I1092=0)),"?IN_FOCUS",IF(J1092&lt;=2,"?ACTIVATED",IF(J1092&lt;&gt;"","?FAMILIAR",IF(F1092="NEW",IF(ISNA(VLOOKUP(E1092,#REF!,1,FALSE())),"?TYPE_IDENTIFIABLE","?REFERENTIAL"),"_")))))</f>
        <v/>
      </c>
      <c r="H1092" s="12" t="str">
        <f aca="false">IF(J1092&lt;&gt;1,"",IF(I1092="SBJ","CB","?"))</f>
        <v/>
      </c>
      <c r="I1092" s="13" t="str">
        <f aca="false">IF(OR(E1092="",E1092="!!!",F1092="NEW"),"",INDEX(B$2:B1091,-1+SUMPRODUCT(MAX(ROW(E$2:E1091)*(E1092=E$2:E1091)))))</f>
        <v/>
      </c>
      <c r="J1092" s="14" t="str">
        <f aca="true">IF(OR(E1092="",E1092="!!!",F1092="NEW"),"",COUNTBLANK(OFFSET(A$1,,,SUMPRODUCT(MAX(ROW(E$2:E1092)*(E1092=E$2:E1092)))))-COUNTBLANK(OFFSET(A$1,,,SUMPRODUCT(MAX(ROW(E$1:E1091)*(E1092=E$1:E1091))))))</f>
        <v/>
      </c>
      <c r="K1092" s="14" t="str">
        <f aca="false">IF(OR(E1092="",E1092="!!!",F1092="NEW"),"",INDEX(J$1:J1091,SUMPRODUCT(MAX(ROW(E$1:E1091)*(E1092=E$1:E1091)))))</f>
        <v/>
      </c>
      <c r="L1092" s="15"/>
    </row>
    <row r="1093" customFormat="false" ht="12.75" hidden="false" customHeight="false" outlineLevel="0" collapsed="false">
      <c r="A1093" s="0" t="s">
        <v>123</v>
      </c>
      <c r="B1093" s="0" t="s">
        <v>62</v>
      </c>
      <c r="C1093" s="0" t="s">
        <v>23</v>
      </c>
      <c r="D1093" s="0" t="s">
        <v>29</v>
      </c>
      <c r="E1093" s="9" t="str">
        <f aca="false">IF(D1093="?OLD","!!!","")</f>
        <v>!!!</v>
      </c>
      <c r="F1093" s="10" t="str">
        <f aca="false">IF(OR(E1093="",E1093="!!!"),"",IF(NOT(ISNA(VLOOKUP(E1093,E$1:E1092,1,FALSE()))),"OLD",IF(AND(E1093&lt;&gt;"",E1093&lt;&gt;"!!!"),"NEW","")))</f>
        <v/>
      </c>
      <c r="G1093" s="11" t="str">
        <f aca="false">IF(OR(E1093="",E1093="!!!"),"",IF(OR(J1093=0,AND(J1093=1,K1093=1),AND(J1093=1,I1093="SBJ"),AND(J1093=1,I1093=0)),"?IN_FOCUS",IF(J1093&lt;=2,"?ACTIVATED",IF(J1093&lt;&gt;"","?FAMILIAR",IF(F1093="NEW",IF(ISNA(VLOOKUP(E1093,#REF!,1,FALSE())),"?TYPE_IDENTIFIABLE","?REFERENTIAL"),"_")))))</f>
        <v/>
      </c>
      <c r="H1093" s="12" t="str">
        <f aca="false">IF(J1093&lt;&gt;1,"",IF(I1093="SBJ","CB","?"))</f>
        <v/>
      </c>
      <c r="I1093" s="13" t="str">
        <f aca="false">IF(OR(E1093="",E1093="!!!",F1093="NEW"),"",INDEX(B$2:B1092,-1+SUMPRODUCT(MAX(ROW(E$2:E1092)*(E1093=E$2:E1092)))))</f>
        <v/>
      </c>
      <c r="J1093" s="14" t="str">
        <f aca="true">IF(OR(E1093="",E1093="!!!",F1093="NEW"),"",COUNTBLANK(OFFSET(A$1,,,SUMPRODUCT(MAX(ROW(E$2:E1093)*(E1093=E$2:E1093)))))-COUNTBLANK(OFFSET(A$1,,,SUMPRODUCT(MAX(ROW(E$1:E1092)*(E1093=E$1:E1092))))))</f>
        <v/>
      </c>
      <c r="K1093" s="14" t="str">
        <f aca="false">IF(OR(E1093="",E1093="!!!",F1093="NEW"),"",INDEX(J$1:J1092,SUMPRODUCT(MAX(ROW(E$1:E1092)*(E1093=E$1:E1092)))))</f>
        <v/>
      </c>
      <c r="L1093" s="15"/>
    </row>
    <row r="1094" customFormat="false" ht="12.75" hidden="false" customHeight="false" outlineLevel="0" collapsed="false">
      <c r="A1094" s="0" t="s">
        <v>31</v>
      </c>
      <c r="E1094" s="9" t="str">
        <f aca="false">IF(D1094="?OLD","!!!","")</f>
        <v/>
      </c>
      <c r="F1094" s="10" t="str">
        <f aca="false">IF(OR(E1094="",E1094="!!!"),"",IF(NOT(ISNA(VLOOKUP(E1094,E$1:E1093,1,FALSE()))),"OLD",IF(AND(E1094&lt;&gt;"",E1094&lt;&gt;"!!!"),"NEW","")))</f>
        <v/>
      </c>
      <c r="G1094" s="11" t="str">
        <f aca="false">IF(OR(E1094="",E1094="!!!"),"",IF(OR(J1094=0,AND(J1094=1,K1094=1),AND(J1094=1,I1094="SBJ"),AND(J1094=1,I1094=0)),"?IN_FOCUS",IF(J1094&lt;=2,"?ACTIVATED",IF(J1094&lt;&gt;"","?FAMILIAR",IF(F1094="NEW",IF(ISNA(VLOOKUP(E1094,#REF!,1,FALSE())),"?TYPE_IDENTIFIABLE","?REFERENTIAL"),"_")))))</f>
        <v/>
      </c>
      <c r="H1094" s="12" t="str">
        <f aca="false">IF(J1094&lt;&gt;1,"",IF(I1094="SBJ","CB","?"))</f>
        <v/>
      </c>
      <c r="I1094" s="13" t="str">
        <f aca="false">IF(OR(E1094="",E1094="!!!",F1094="NEW"),"",INDEX(B$2:B1093,-1+SUMPRODUCT(MAX(ROW(E$2:E1093)*(E1094=E$2:E1093)))))</f>
        <v/>
      </c>
      <c r="J1094" s="14" t="str">
        <f aca="true">IF(OR(E1094="",E1094="!!!",F1094="NEW"),"",COUNTBLANK(OFFSET(A$1,,,SUMPRODUCT(MAX(ROW(E$2:E1094)*(E1094=E$2:E1094)))))-COUNTBLANK(OFFSET(A$1,,,SUMPRODUCT(MAX(ROW(E$1:E1093)*(E1094=E$1:E1093))))))</f>
        <v/>
      </c>
      <c r="K1094" s="14" t="str">
        <f aca="false">IF(OR(E1094="",E1094="!!!",F1094="NEW"),"",INDEX(J$1:J1093,SUMPRODUCT(MAX(ROW(E$1:E1093)*(E1094=E$1:E1093)))))</f>
        <v/>
      </c>
      <c r="L1094" s="15"/>
    </row>
    <row r="1095" customFormat="false" ht="12.75" hidden="false" customHeight="false" outlineLevel="0" collapsed="false">
      <c r="A1095" s="0" t="s">
        <v>45</v>
      </c>
      <c r="E1095" s="9" t="str">
        <f aca="false">IF(D1095="?OLD","!!!","")</f>
        <v/>
      </c>
      <c r="F1095" s="10" t="str">
        <f aca="false">IF(OR(E1095="",E1095="!!!"),"",IF(NOT(ISNA(VLOOKUP(E1095,E$1:E1094,1,FALSE()))),"OLD",IF(AND(E1095&lt;&gt;"",E1095&lt;&gt;"!!!"),"NEW","")))</f>
        <v/>
      </c>
      <c r="G1095" s="11" t="str">
        <f aca="false">IF(OR(E1095="",E1095="!!!"),"",IF(OR(J1095=0,AND(J1095=1,K1095=1),AND(J1095=1,I1095="SBJ"),AND(J1095=1,I1095=0)),"?IN_FOCUS",IF(J1095&lt;=2,"?ACTIVATED",IF(J1095&lt;&gt;"","?FAMILIAR",IF(F1095="NEW",IF(ISNA(VLOOKUP(E1095,#REF!,1,FALSE())),"?TYPE_IDENTIFIABLE","?REFERENTIAL"),"_")))))</f>
        <v/>
      </c>
      <c r="H1095" s="12" t="str">
        <f aca="false">IF(J1095&lt;&gt;1,"",IF(I1095="SBJ","CB","?"))</f>
        <v/>
      </c>
      <c r="I1095" s="13" t="str">
        <f aca="false">IF(OR(E1095="",E1095="!!!",F1095="NEW"),"",INDEX(B$2:B1094,-1+SUMPRODUCT(MAX(ROW(E$2:E1094)*(E1095=E$2:E1094)))))</f>
        <v/>
      </c>
      <c r="J1095" s="14" t="str">
        <f aca="true">IF(OR(E1095="",E1095="!!!",F1095="NEW"),"",COUNTBLANK(OFFSET(A$1,,,SUMPRODUCT(MAX(ROW(E$2:E1095)*(E1095=E$2:E1095)))))-COUNTBLANK(OFFSET(A$1,,,SUMPRODUCT(MAX(ROW(E$1:E1094)*(E1095=E$1:E1094))))))</f>
        <v/>
      </c>
      <c r="K1095" s="14" t="str">
        <f aca="false">IF(OR(E1095="",E1095="!!!",F1095="NEW"),"",INDEX(J$1:J1094,SUMPRODUCT(MAX(ROW(E$1:E1094)*(E1095=E$1:E1094)))))</f>
        <v/>
      </c>
      <c r="L1095" s="15"/>
    </row>
    <row r="1096" customFormat="false" ht="12.75" hidden="false" customHeight="false" outlineLevel="0" collapsed="false">
      <c r="A1096" s="0" t="s">
        <v>66</v>
      </c>
      <c r="E1096" s="9" t="str">
        <f aca="false">IF(D1096="?OLD","!!!","")</f>
        <v/>
      </c>
      <c r="F1096" s="10" t="str">
        <f aca="false">IF(OR(E1096="",E1096="!!!"),"",IF(NOT(ISNA(VLOOKUP(E1096,E$1:E1095,1,FALSE()))),"OLD",IF(AND(E1096&lt;&gt;"",E1096&lt;&gt;"!!!"),"NEW","")))</f>
        <v/>
      </c>
      <c r="G1096" s="11" t="str">
        <f aca="false">IF(OR(E1096="",E1096="!!!"),"",IF(OR(J1096=0,AND(J1096=1,K1096=1),AND(J1096=1,I1096="SBJ"),AND(J1096=1,I1096=0)),"?IN_FOCUS",IF(J1096&lt;=2,"?ACTIVATED",IF(J1096&lt;&gt;"","?FAMILIAR",IF(F1096="NEW",IF(ISNA(VLOOKUP(E1096,#REF!,1,FALSE())),"?TYPE_IDENTIFIABLE","?REFERENTIAL"),"_")))))</f>
        <v/>
      </c>
      <c r="H1096" s="12" t="str">
        <f aca="false">IF(J1096&lt;&gt;1,"",IF(I1096="SBJ","CB","?"))</f>
        <v/>
      </c>
      <c r="I1096" s="13" t="str">
        <f aca="false">IF(OR(E1096="",E1096="!!!",F1096="NEW"),"",INDEX(B$2:B1095,-1+SUMPRODUCT(MAX(ROW(E$2:E1095)*(E1096=E$2:E1095)))))</f>
        <v/>
      </c>
      <c r="J1096" s="14" t="str">
        <f aca="true">IF(OR(E1096="",E1096="!!!",F1096="NEW"),"",COUNTBLANK(OFFSET(A$1,,,SUMPRODUCT(MAX(ROW(E$2:E1096)*(E1096=E$2:E1096)))))-COUNTBLANK(OFFSET(A$1,,,SUMPRODUCT(MAX(ROW(E$1:E1095)*(E1096=E$1:E1095))))))</f>
        <v/>
      </c>
      <c r="K1096" s="14" t="str">
        <f aca="false">IF(OR(E1096="",E1096="!!!",F1096="NEW"),"",INDEX(J$1:J1095,SUMPRODUCT(MAX(ROW(E$1:E1095)*(E1096=E$1:E1095)))))</f>
        <v/>
      </c>
      <c r="L1096" s="15"/>
    </row>
    <row r="1097" customFormat="false" ht="12.75" hidden="false" customHeight="false" outlineLevel="0" collapsed="false">
      <c r="A1097" s="0" t="s">
        <v>540</v>
      </c>
      <c r="B1097" s="0" t="s">
        <v>47</v>
      </c>
      <c r="C1097" s="0" t="s">
        <v>111</v>
      </c>
      <c r="D1097" s="0" t="s">
        <v>29</v>
      </c>
      <c r="E1097" s="9" t="str">
        <f aca="false">IF(D1097="?OLD","!!!","")</f>
        <v>!!!</v>
      </c>
      <c r="F1097" s="10" t="str">
        <f aca="false">IF(OR(E1097="",E1097="!!!"),"",IF(NOT(ISNA(VLOOKUP(E1097,E$1:E1096,1,FALSE()))),"OLD",IF(AND(E1097&lt;&gt;"",E1097&lt;&gt;"!!!"),"NEW","")))</f>
        <v/>
      </c>
      <c r="G1097" s="11" t="str">
        <f aca="false">IF(OR(E1097="",E1097="!!!"),"",IF(OR(J1097=0,AND(J1097=1,K1097=1),AND(J1097=1,I1097="SBJ"),AND(J1097=1,I1097=0)),"?IN_FOCUS",IF(J1097&lt;=2,"?ACTIVATED",IF(J1097&lt;&gt;"","?FAMILIAR",IF(F1097="NEW",IF(ISNA(VLOOKUP(E1097,#REF!,1,FALSE())),"?TYPE_IDENTIFIABLE","?REFERENTIAL"),"_")))))</f>
        <v/>
      </c>
      <c r="H1097" s="12" t="str">
        <f aca="false">IF(J1097&lt;&gt;1,"",IF(I1097="SBJ","CB","?"))</f>
        <v/>
      </c>
      <c r="I1097" s="13" t="str">
        <f aca="false">IF(OR(E1097="",E1097="!!!",F1097="NEW"),"",INDEX(B$2:B1096,-1+SUMPRODUCT(MAX(ROW(E$2:E1096)*(E1097=E$2:E1096)))))</f>
        <v/>
      </c>
      <c r="J1097" s="14" t="str">
        <f aca="true">IF(OR(E1097="",E1097="!!!",F1097="NEW"),"",COUNTBLANK(OFFSET(A$1,,,SUMPRODUCT(MAX(ROW(E$2:E1097)*(E1097=E$2:E1097)))))-COUNTBLANK(OFFSET(A$1,,,SUMPRODUCT(MAX(ROW(E$1:E1096)*(E1097=E$1:E1096))))))</f>
        <v/>
      </c>
      <c r="K1097" s="14" t="str">
        <f aca="false">IF(OR(E1097="",E1097="!!!",F1097="NEW"),"",INDEX(J$1:J1096,SUMPRODUCT(MAX(ROW(E$1:E1096)*(E1097=E$1:E1096)))))</f>
        <v/>
      </c>
      <c r="L1097" s="15"/>
    </row>
    <row r="1098" customFormat="false" ht="12.75" hidden="false" customHeight="false" outlineLevel="0" collapsed="false">
      <c r="A1098" s="0" t="s">
        <v>343</v>
      </c>
      <c r="E1098" s="9" t="str">
        <f aca="false">IF(D1098="?OLD","!!!","")</f>
        <v/>
      </c>
      <c r="F1098" s="10" t="str">
        <f aca="false">IF(OR(E1098="",E1098="!!!"),"",IF(NOT(ISNA(VLOOKUP(E1098,E$1:E1097,1,FALSE()))),"OLD",IF(AND(E1098&lt;&gt;"",E1098&lt;&gt;"!!!"),"NEW","")))</f>
        <v/>
      </c>
      <c r="G1098" s="11" t="str">
        <f aca="false">IF(OR(E1098="",E1098="!!!"),"",IF(OR(J1098=0,AND(J1098=1,K1098=1),AND(J1098=1,I1098="SBJ"),AND(J1098=1,I1098=0)),"?IN_FOCUS",IF(J1098&lt;=2,"?ACTIVATED",IF(J1098&lt;&gt;"","?FAMILIAR",IF(F1098="NEW",IF(ISNA(VLOOKUP(E1098,#REF!,1,FALSE())),"?TYPE_IDENTIFIABLE","?REFERENTIAL"),"_")))))</f>
        <v/>
      </c>
      <c r="H1098" s="12" t="str">
        <f aca="false">IF(J1098&lt;&gt;1,"",IF(I1098="SBJ","CB","?"))</f>
        <v/>
      </c>
      <c r="I1098" s="13" t="str">
        <f aca="false">IF(OR(E1098="",E1098="!!!",F1098="NEW"),"",INDEX(B$2:B1097,-1+SUMPRODUCT(MAX(ROW(E$2:E1097)*(E1098=E$2:E1097)))))</f>
        <v/>
      </c>
      <c r="J1098" s="14" t="str">
        <f aca="true">IF(OR(E1098="",E1098="!!!",F1098="NEW"),"",COUNTBLANK(OFFSET(A$1,,,SUMPRODUCT(MAX(ROW(E$2:E1098)*(E1098=E$2:E1098)))))-COUNTBLANK(OFFSET(A$1,,,SUMPRODUCT(MAX(ROW(E$1:E1097)*(E1098=E$1:E1097))))))</f>
        <v/>
      </c>
      <c r="K1098" s="14" t="str">
        <f aca="false">IF(OR(E1098="",E1098="!!!",F1098="NEW"),"",INDEX(J$1:J1097,SUMPRODUCT(MAX(ROW(E$1:E1097)*(E1098=E$1:E1097)))))</f>
        <v/>
      </c>
      <c r="L1098" s="15"/>
    </row>
    <row r="1099" customFormat="false" ht="12.75" hidden="false" customHeight="false" outlineLevel="0" collapsed="false">
      <c r="A1099" s="0" t="s">
        <v>240</v>
      </c>
      <c r="E1099" s="9" t="str">
        <f aca="false">IF(D1099="?OLD","!!!","")</f>
        <v/>
      </c>
      <c r="F1099" s="10" t="str">
        <f aca="false">IF(OR(E1099="",E1099="!!!"),"",IF(NOT(ISNA(VLOOKUP(E1099,E$1:E1098,1,FALSE()))),"OLD",IF(AND(E1099&lt;&gt;"",E1099&lt;&gt;"!!!"),"NEW","")))</f>
        <v/>
      </c>
      <c r="G1099" s="11" t="str">
        <f aca="false">IF(OR(E1099="",E1099="!!!"),"",IF(OR(J1099=0,AND(J1099=1,K1099=1),AND(J1099=1,I1099="SBJ"),AND(J1099=1,I1099=0)),"?IN_FOCUS",IF(J1099&lt;=2,"?ACTIVATED",IF(J1099&lt;&gt;"","?FAMILIAR",IF(F1099="NEW",IF(ISNA(VLOOKUP(E1099,#REF!,1,FALSE())),"?TYPE_IDENTIFIABLE","?REFERENTIAL"),"_")))))</f>
        <v/>
      </c>
      <c r="H1099" s="12" t="str">
        <f aca="false">IF(J1099&lt;&gt;1,"",IF(I1099="SBJ","CB","?"))</f>
        <v/>
      </c>
      <c r="I1099" s="13" t="str">
        <f aca="false">IF(OR(E1099="",E1099="!!!",F1099="NEW"),"",INDEX(B$2:B1098,-1+SUMPRODUCT(MAX(ROW(E$2:E1098)*(E1099=E$2:E1098)))))</f>
        <v/>
      </c>
      <c r="J1099" s="14" t="str">
        <f aca="true">IF(OR(E1099="",E1099="!!!",F1099="NEW"),"",COUNTBLANK(OFFSET(A$1,,,SUMPRODUCT(MAX(ROW(E$2:E1099)*(E1099=E$2:E1099)))))-COUNTBLANK(OFFSET(A$1,,,SUMPRODUCT(MAX(ROW(E$1:E1098)*(E1099=E$1:E1098))))))</f>
        <v/>
      </c>
      <c r="K1099" s="14" t="str">
        <f aca="false">IF(OR(E1099="",E1099="!!!",F1099="NEW"),"",INDEX(J$1:J1098,SUMPRODUCT(MAX(ROW(E$1:E1098)*(E1099=E$1:E1098)))))</f>
        <v/>
      </c>
      <c r="L1099" s="15"/>
    </row>
    <row r="1100" customFormat="false" ht="12.75" hidden="false" customHeight="false" outlineLevel="0" collapsed="false">
      <c r="A1100" s="0" t="s">
        <v>519</v>
      </c>
      <c r="B1100" s="0" t="s">
        <v>28</v>
      </c>
      <c r="C1100" s="0" t="s">
        <v>541</v>
      </c>
      <c r="D1100" s="0" t="s">
        <v>29</v>
      </c>
      <c r="E1100" s="9" t="str">
        <f aca="false">IF(D1100="?OLD","!!!","")</f>
        <v>!!!</v>
      </c>
      <c r="F1100" s="10" t="str">
        <f aca="false">IF(OR(E1100="",E1100="!!!"),"",IF(NOT(ISNA(VLOOKUP(E1100,E$1:E1099,1,FALSE()))),"OLD",IF(AND(E1100&lt;&gt;"",E1100&lt;&gt;"!!!"),"NEW","")))</f>
        <v/>
      </c>
      <c r="G1100" s="11" t="str">
        <f aca="false">IF(OR(E1100="",E1100="!!!"),"",IF(OR(J1100=0,AND(J1100=1,K1100=1),AND(J1100=1,I1100="SBJ"),AND(J1100=1,I1100=0)),"?IN_FOCUS",IF(J1100&lt;=2,"?ACTIVATED",IF(J1100&lt;&gt;"","?FAMILIAR",IF(F1100="NEW",IF(ISNA(VLOOKUP(E1100,#REF!,1,FALSE())),"?TYPE_IDENTIFIABLE","?REFERENTIAL"),"_")))))</f>
        <v/>
      </c>
      <c r="H1100" s="12" t="str">
        <f aca="false">IF(J1100&lt;&gt;1,"",IF(I1100="SBJ","CB","?"))</f>
        <v/>
      </c>
      <c r="I1100" s="13" t="str">
        <f aca="false">IF(OR(E1100="",E1100="!!!",F1100="NEW"),"",INDEX(B$2:B1099,-1+SUMPRODUCT(MAX(ROW(E$2:E1099)*(E1100=E$2:E1099)))))</f>
        <v/>
      </c>
      <c r="J1100" s="14" t="str">
        <f aca="true">IF(OR(E1100="",E1100="!!!",F1100="NEW"),"",COUNTBLANK(OFFSET(A$1,,,SUMPRODUCT(MAX(ROW(E$2:E1100)*(E1100=E$2:E1100)))))-COUNTBLANK(OFFSET(A$1,,,SUMPRODUCT(MAX(ROW(E$1:E1099)*(E1100=E$1:E1099))))))</f>
        <v/>
      </c>
      <c r="K1100" s="14" t="str">
        <f aca="false">IF(OR(E1100="",E1100="!!!",F1100="NEW"),"",INDEX(J$1:J1099,SUMPRODUCT(MAX(ROW(E$1:E1099)*(E1100=E$1:E1099)))))</f>
        <v/>
      </c>
      <c r="L1100" s="15"/>
    </row>
    <row r="1101" customFormat="false" ht="12.75" hidden="false" customHeight="false" outlineLevel="0" collapsed="false">
      <c r="A1101" s="0" t="s">
        <v>269</v>
      </c>
      <c r="E1101" s="9" t="str">
        <f aca="false">IF(D1101="?OLD","!!!","")</f>
        <v/>
      </c>
      <c r="F1101" s="10" t="str">
        <f aca="false">IF(OR(E1101="",E1101="!!!"),"",IF(NOT(ISNA(VLOOKUP(E1101,E$1:E1100,1,FALSE()))),"OLD",IF(AND(E1101&lt;&gt;"",E1101&lt;&gt;"!!!"),"NEW","")))</f>
        <v/>
      </c>
      <c r="G1101" s="11" t="str">
        <f aca="false">IF(OR(E1101="",E1101="!!!"),"",IF(OR(J1101=0,AND(J1101=1,K1101=1),AND(J1101=1,I1101="SBJ"),AND(J1101=1,I1101=0)),"?IN_FOCUS",IF(J1101&lt;=2,"?ACTIVATED",IF(J1101&lt;&gt;"","?FAMILIAR",IF(F1101="NEW",IF(ISNA(VLOOKUP(E1101,#REF!,1,FALSE())),"?TYPE_IDENTIFIABLE","?REFERENTIAL"),"_")))))</f>
        <v/>
      </c>
      <c r="H1101" s="12" t="str">
        <f aca="false">IF(J1101&lt;&gt;1,"",IF(I1101="SBJ","CB","?"))</f>
        <v/>
      </c>
      <c r="I1101" s="13" t="str">
        <f aca="false">IF(OR(E1101="",E1101="!!!",F1101="NEW"),"",INDEX(B$2:B1100,-1+SUMPRODUCT(MAX(ROW(E$2:E1100)*(E1101=E$2:E1100)))))</f>
        <v/>
      </c>
      <c r="J1101" s="14" t="str">
        <f aca="true">IF(OR(E1101="",E1101="!!!",F1101="NEW"),"",COUNTBLANK(OFFSET(A$1,,,SUMPRODUCT(MAX(ROW(E$2:E1101)*(E1101=E$2:E1101)))))-COUNTBLANK(OFFSET(A$1,,,SUMPRODUCT(MAX(ROW(E$1:E1100)*(E1101=E$1:E1100))))))</f>
        <v/>
      </c>
      <c r="K1101" s="14" t="str">
        <f aca="false">IF(OR(E1101="",E1101="!!!",F1101="NEW"),"",INDEX(J$1:J1100,SUMPRODUCT(MAX(ROW(E$1:E1100)*(E1101=E$1:E1100)))))</f>
        <v/>
      </c>
      <c r="L1101" s="15"/>
    </row>
    <row r="1102" customFormat="false" ht="12.75" hidden="false" customHeight="false" outlineLevel="0" collapsed="false">
      <c r="A1102" s="0" t="s">
        <v>262</v>
      </c>
      <c r="E1102" s="9" t="str">
        <f aca="false">IF(D1102="?OLD","!!!","")</f>
        <v/>
      </c>
      <c r="F1102" s="10" t="str">
        <f aca="false">IF(OR(E1102="",E1102="!!!"),"",IF(NOT(ISNA(VLOOKUP(E1102,E$1:E1101,1,FALSE()))),"OLD",IF(AND(E1102&lt;&gt;"",E1102&lt;&gt;"!!!"),"NEW","")))</f>
        <v/>
      </c>
      <c r="G1102" s="11" t="str">
        <f aca="false">IF(OR(E1102="",E1102="!!!"),"",IF(OR(J1102=0,AND(J1102=1,K1102=1),AND(J1102=1,I1102="SBJ"),AND(J1102=1,I1102=0)),"?IN_FOCUS",IF(J1102&lt;=2,"?ACTIVATED",IF(J1102&lt;&gt;"","?FAMILIAR",IF(F1102="NEW",IF(ISNA(VLOOKUP(E1102,#REF!,1,FALSE())),"?TYPE_IDENTIFIABLE","?REFERENTIAL"),"_")))))</f>
        <v/>
      </c>
      <c r="H1102" s="12" t="str">
        <f aca="false">IF(J1102&lt;&gt;1,"",IF(I1102="SBJ","CB","?"))</f>
        <v/>
      </c>
      <c r="I1102" s="13" t="str">
        <f aca="false">IF(OR(E1102="",E1102="!!!",F1102="NEW"),"",INDEX(B$2:B1101,-1+SUMPRODUCT(MAX(ROW(E$2:E1101)*(E1102=E$2:E1101)))))</f>
        <v/>
      </c>
      <c r="J1102" s="14" t="str">
        <f aca="true">IF(OR(E1102="",E1102="!!!",F1102="NEW"),"",COUNTBLANK(OFFSET(A$1,,,SUMPRODUCT(MAX(ROW(E$2:E1102)*(E1102=E$2:E1102)))))-COUNTBLANK(OFFSET(A$1,,,SUMPRODUCT(MAX(ROW(E$1:E1101)*(E1102=E$1:E1101))))))</f>
        <v/>
      </c>
      <c r="K1102" s="14" t="str">
        <f aca="false">IF(OR(E1102="",E1102="!!!",F1102="NEW"),"",INDEX(J$1:J1101,SUMPRODUCT(MAX(ROW(E$1:E1101)*(E1102=E$1:E1101)))))</f>
        <v/>
      </c>
      <c r="L1102" s="15"/>
    </row>
    <row r="1103" customFormat="false" ht="12.75" hidden="false" customHeight="false" outlineLevel="0" collapsed="false">
      <c r="E1103" s="9" t="str">
        <f aca="false">IF(D1103="?OLD","!!!","")</f>
        <v/>
      </c>
      <c r="F1103" s="10" t="str">
        <f aca="false">IF(OR(E1103="",E1103="!!!"),"",IF(NOT(ISNA(VLOOKUP(E1103,E$1:E1102,1,FALSE()))),"OLD",IF(AND(E1103&lt;&gt;"",E1103&lt;&gt;"!!!"),"NEW","")))</f>
        <v/>
      </c>
      <c r="G1103" s="11" t="str">
        <f aca="false">IF(OR(E1103="",E1103="!!!"),"",IF(OR(J1103=0,AND(J1103=1,K1103=1),AND(J1103=1,I1103="SBJ"),AND(J1103=1,I1103=0)),"?IN_FOCUS",IF(J1103&lt;=2,"?ACTIVATED",IF(J1103&lt;&gt;"","?FAMILIAR",IF(F1103="NEW",IF(ISNA(VLOOKUP(E1103,#REF!,1,FALSE())),"?TYPE_IDENTIFIABLE","?REFERENTIAL"),"_")))))</f>
        <v/>
      </c>
      <c r="H1103" s="12" t="str">
        <f aca="false">IF(J1103&lt;&gt;1,"",IF(I1103="SBJ","CB","?"))</f>
        <v/>
      </c>
      <c r="I1103" s="13" t="str">
        <f aca="false">IF(OR(E1103="",E1103="!!!",F1103="NEW"),"",INDEX(B$2:B1102,-1+SUMPRODUCT(MAX(ROW(E$2:E1102)*(E1103=E$2:E1102)))))</f>
        <v/>
      </c>
      <c r="J1103" s="14" t="str">
        <f aca="true">IF(OR(E1103="",E1103="!!!",F1103="NEW"),"",COUNTBLANK(OFFSET(A$1,,,SUMPRODUCT(MAX(ROW(E$2:E1103)*(E1103=E$2:E1103)))))-COUNTBLANK(OFFSET(A$1,,,SUMPRODUCT(MAX(ROW(E$1:E1102)*(E1103=E$1:E1102))))))</f>
        <v/>
      </c>
      <c r="K1103" s="14" t="str">
        <f aca="false">IF(OR(E1103="",E1103="!!!",F1103="NEW"),"",INDEX(J$1:J1102,SUMPRODUCT(MAX(ROW(E$1:E1102)*(E1103=E$1:E1102)))))</f>
        <v/>
      </c>
      <c r="L1103" s="15"/>
    </row>
    <row r="1104" customFormat="false" ht="12.75" hidden="false" customHeight="false" outlineLevel="0" collapsed="false">
      <c r="A1104" s="0" t="s">
        <v>542</v>
      </c>
      <c r="E1104" s="9" t="str">
        <f aca="false">IF(D1104="?OLD","!!!","")</f>
        <v/>
      </c>
      <c r="F1104" s="10" t="str">
        <f aca="false">IF(OR(E1104="",E1104="!!!"),"",IF(NOT(ISNA(VLOOKUP(E1104,E$1:E1103,1,FALSE()))),"OLD",IF(AND(E1104&lt;&gt;"",E1104&lt;&gt;"!!!"),"NEW","")))</f>
        <v/>
      </c>
      <c r="G1104" s="11" t="str">
        <f aca="false">IF(OR(E1104="",E1104="!!!"),"",IF(OR(J1104=0,AND(J1104=1,K1104=1),AND(J1104=1,I1104="SBJ"),AND(J1104=1,I1104=0)),"?IN_FOCUS",IF(J1104&lt;=2,"?ACTIVATED",IF(J1104&lt;&gt;"","?FAMILIAR",IF(F1104="NEW",IF(ISNA(VLOOKUP(E1104,#REF!,1,FALSE())),"?TYPE_IDENTIFIABLE","?REFERENTIAL"),"_")))))</f>
        <v/>
      </c>
      <c r="H1104" s="12" t="str">
        <f aca="false">IF(J1104&lt;&gt;1,"",IF(I1104="SBJ","CB","?"))</f>
        <v/>
      </c>
      <c r="I1104" s="13" t="str">
        <f aca="false">IF(OR(E1104="",E1104="!!!",F1104="NEW"),"",INDEX(B$2:B1103,-1+SUMPRODUCT(MAX(ROW(E$2:E1103)*(E1104=E$2:E1103)))))</f>
        <v/>
      </c>
      <c r="J1104" s="14" t="str">
        <f aca="true">IF(OR(E1104="",E1104="!!!",F1104="NEW"),"",COUNTBLANK(OFFSET(A$1,,,SUMPRODUCT(MAX(ROW(E$2:E1104)*(E1104=E$2:E1104)))))-COUNTBLANK(OFFSET(A$1,,,SUMPRODUCT(MAX(ROW(E$1:E1103)*(E1104=E$1:E1103))))))</f>
        <v/>
      </c>
      <c r="K1104" s="14" t="str">
        <f aca="false">IF(OR(E1104="",E1104="!!!",F1104="NEW"),"",INDEX(J$1:J1103,SUMPRODUCT(MAX(ROW(E$1:E1103)*(E1104=E$1:E1103)))))</f>
        <v/>
      </c>
      <c r="L1104" s="15"/>
    </row>
    <row r="1105" customFormat="false" ht="12.75" hidden="false" customHeight="false" outlineLevel="0" collapsed="false">
      <c r="A1105" s="0" t="s">
        <v>21</v>
      </c>
      <c r="B1105" s="0" t="s">
        <v>14</v>
      </c>
      <c r="C1105" s="0" t="s">
        <v>120</v>
      </c>
      <c r="E1105" s="9" t="str">
        <f aca="false">IF(D1105="?OLD","!!!","")</f>
        <v/>
      </c>
      <c r="F1105" s="10" t="str">
        <f aca="false">IF(OR(E1105="",E1105="!!!"),"",IF(NOT(ISNA(VLOOKUP(E1105,E$1:E1104,1,FALSE()))),"OLD",IF(AND(E1105&lt;&gt;"",E1105&lt;&gt;"!!!"),"NEW","")))</f>
        <v/>
      </c>
      <c r="G1105" s="11" t="str">
        <f aca="false">IF(OR(E1105="",E1105="!!!"),"",IF(OR(J1105=0,AND(J1105=1,K1105=1),AND(J1105=1,I1105="SBJ"),AND(J1105=1,I1105=0)),"?IN_FOCUS",IF(J1105&lt;=2,"?ACTIVATED",IF(J1105&lt;&gt;"","?FAMILIAR",IF(F1105="NEW",IF(ISNA(VLOOKUP(E1105,#REF!,1,FALSE())),"?TYPE_IDENTIFIABLE","?REFERENTIAL"),"_")))))</f>
        <v/>
      </c>
      <c r="H1105" s="12" t="str">
        <f aca="false">IF(J1105&lt;&gt;1,"",IF(I1105="SBJ","CB","?"))</f>
        <v/>
      </c>
      <c r="I1105" s="13" t="str">
        <f aca="false">IF(OR(E1105="",E1105="!!!",F1105="NEW"),"",INDEX(B$2:B1104,-1+SUMPRODUCT(MAX(ROW(E$2:E1104)*(E1105=E$2:E1104)))))</f>
        <v/>
      </c>
      <c r="J1105" s="14" t="str">
        <f aca="true">IF(OR(E1105="",E1105="!!!",F1105="NEW"),"",COUNTBLANK(OFFSET(A$1,,,SUMPRODUCT(MAX(ROW(E$2:E1105)*(E1105=E$2:E1105)))))-COUNTBLANK(OFFSET(A$1,,,SUMPRODUCT(MAX(ROW(E$1:E1104)*(E1105=E$1:E1104))))))</f>
        <v/>
      </c>
      <c r="K1105" s="14" t="str">
        <f aca="false">IF(OR(E1105="",E1105="!!!",F1105="NEW"),"",INDEX(J$1:J1104,SUMPRODUCT(MAX(ROW(E$1:E1104)*(E1105=E$1:E1104)))))</f>
        <v/>
      </c>
      <c r="L1105" s="15"/>
    </row>
    <row r="1106" customFormat="false" ht="12.75" hidden="false" customHeight="false" outlineLevel="0" collapsed="false">
      <c r="A1106" s="0" t="s">
        <v>543</v>
      </c>
      <c r="E1106" s="9" t="str">
        <f aca="false">IF(D1106="?OLD","!!!","")</f>
        <v/>
      </c>
      <c r="F1106" s="10" t="str">
        <f aca="false">IF(OR(E1106="",E1106="!!!"),"",IF(NOT(ISNA(VLOOKUP(E1106,E$1:E1105,1,FALSE()))),"OLD",IF(AND(E1106&lt;&gt;"",E1106&lt;&gt;"!!!"),"NEW","")))</f>
        <v/>
      </c>
      <c r="G1106" s="11" t="str">
        <f aca="false">IF(OR(E1106="",E1106="!!!"),"",IF(OR(J1106=0,AND(J1106=1,K1106=1),AND(J1106=1,I1106="SBJ"),AND(J1106=1,I1106=0)),"?IN_FOCUS",IF(J1106&lt;=2,"?ACTIVATED",IF(J1106&lt;&gt;"","?FAMILIAR",IF(F1106="NEW",IF(ISNA(VLOOKUP(E1106,#REF!,1,FALSE())),"?TYPE_IDENTIFIABLE","?REFERENTIAL"),"_")))))</f>
        <v/>
      </c>
      <c r="H1106" s="12" t="str">
        <f aca="false">IF(J1106&lt;&gt;1,"",IF(I1106="SBJ","CB","?"))</f>
        <v/>
      </c>
      <c r="I1106" s="13" t="str">
        <f aca="false">IF(OR(E1106="",E1106="!!!",F1106="NEW"),"",INDEX(B$2:B1105,-1+SUMPRODUCT(MAX(ROW(E$2:E1105)*(E1106=E$2:E1105)))))</f>
        <v/>
      </c>
      <c r="J1106" s="14" t="str">
        <f aca="true">IF(OR(E1106="",E1106="!!!",F1106="NEW"),"",COUNTBLANK(OFFSET(A$1,,,SUMPRODUCT(MAX(ROW(E$2:E1106)*(E1106=E$2:E1106)))))-COUNTBLANK(OFFSET(A$1,,,SUMPRODUCT(MAX(ROW(E$1:E1105)*(E1106=E$1:E1105))))))</f>
        <v/>
      </c>
      <c r="K1106" s="14" t="str">
        <f aca="false">IF(OR(E1106="",E1106="!!!",F1106="NEW"),"",INDEX(J$1:J1105,SUMPRODUCT(MAX(ROW(E$1:E1105)*(E1106=E$1:E1105)))))</f>
        <v/>
      </c>
      <c r="L1106" s="15"/>
    </row>
    <row r="1107" customFormat="false" ht="12.75" hidden="false" customHeight="false" outlineLevel="0" collapsed="false">
      <c r="A1107" s="0" t="s">
        <v>31</v>
      </c>
      <c r="E1107" s="9" t="str">
        <f aca="false">IF(D1107="?OLD","!!!","")</f>
        <v/>
      </c>
      <c r="F1107" s="10" t="str">
        <f aca="false">IF(OR(E1107="",E1107="!!!"),"",IF(NOT(ISNA(VLOOKUP(E1107,E$1:E1106,1,FALSE()))),"OLD",IF(AND(E1107&lt;&gt;"",E1107&lt;&gt;"!!!"),"NEW","")))</f>
        <v/>
      </c>
      <c r="G1107" s="11" t="str">
        <f aca="false">IF(OR(E1107="",E1107="!!!"),"",IF(OR(J1107=0,AND(J1107=1,K1107=1),AND(J1107=1,I1107="SBJ"),AND(J1107=1,I1107=0)),"?IN_FOCUS",IF(J1107&lt;=2,"?ACTIVATED",IF(J1107&lt;&gt;"","?FAMILIAR",IF(F1107="NEW",IF(ISNA(VLOOKUP(E1107,#REF!,1,FALSE())),"?TYPE_IDENTIFIABLE","?REFERENTIAL"),"_")))))</f>
        <v/>
      </c>
      <c r="H1107" s="12" t="str">
        <f aca="false">IF(J1107&lt;&gt;1,"",IF(I1107="SBJ","CB","?"))</f>
        <v/>
      </c>
      <c r="I1107" s="13" t="str">
        <f aca="false">IF(OR(E1107="",E1107="!!!",F1107="NEW"),"",INDEX(B$2:B1106,-1+SUMPRODUCT(MAX(ROW(E$2:E1106)*(E1107=E$2:E1106)))))</f>
        <v/>
      </c>
      <c r="J1107" s="14" t="str">
        <f aca="true">IF(OR(E1107="",E1107="!!!",F1107="NEW"),"",COUNTBLANK(OFFSET(A$1,,,SUMPRODUCT(MAX(ROW(E$2:E1107)*(E1107=E$2:E1107)))))-COUNTBLANK(OFFSET(A$1,,,SUMPRODUCT(MAX(ROW(E$1:E1106)*(E1107=E$1:E1106))))))</f>
        <v/>
      </c>
      <c r="K1107" s="14" t="str">
        <f aca="false">IF(OR(E1107="",E1107="!!!",F1107="NEW"),"",INDEX(J$1:J1106,SUMPRODUCT(MAX(ROW(E$1:E1106)*(E1107=E$1:E1106)))))</f>
        <v/>
      </c>
      <c r="L1107" s="15"/>
    </row>
    <row r="1108" customFormat="false" ht="12.75" hidden="false" customHeight="false" outlineLevel="0" collapsed="false">
      <c r="A1108" s="0" t="s">
        <v>175</v>
      </c>
      <c r="E1108" s="9" t="str">
        <f aca="false">IF(D1108="?OLD","!!!","")</f>
        <v/>
      </c>
      <c r="F1108" s="10" t="str">
        <f aca="false">IF(OR(E1108="",E1108="!!!"),"",IF(NOT(ISNA(VLOOKUP(E1108,E$1:E1107,1,FALSE()))),"OLD",IF(AND(E1108&lt;&gt;"",E1108&lt;&gt;"!!!"),"NEW","")))</f>
        <v/>
      </c>
      <c r="G1108" s="11" t="str">
        <f aca="false">IF(OR(E1108="",E1108="!!!"),"",IF(OR(J1108=0,AND(J1108=1,K1108=1),AND(J1108=1,I1108="SBJ"),AND(J1108=1,I1108=0)),"?IN_FOCUS",IF(J1108&lt;=2,"?ACTIVATED",IF(J1108&lt;&gt;"","?FAMILIAR",IF(F1108="NEW",IF(ISNA(VLOOKUP(E1108,#REF!,1,FALSE())),"?TYPE_IDENTIFIABLE","?REFERENTIAL"),"_")))))</f>
        <v/>
      </c>
      <c r="H1108" s="12" t="str">
        <f aca="false">IF(J1108&lt;&gt;1,"",IF(I1108="SBJ","CB","?"))</f>
        <v/>
      </c>
      <c r="I1108" s="13" t="str">
        <f aca="false">IF(OR(E1108="",E1108="!!!",F1108="NEW"),"",INDEX(B$2:B1107,-1+SUMPRODUCT(MAX(ROW(E$2:E1107)*(E1108=E$2:E1107)))))</f>
        <v/>
      </c>
      <c r="J1108" s="14" t="str">
        <f aca="true">IF(OR(E1108="",E1108="!!!",F1108="NEW"),"",COUNTBLANK(OFFSET(A$1,,,SUMPRODUCT(MAX(ROW(E$2:E1108)*(E1108=E$2:E1108)))))-COUNTBLANK(OFFSET(A$1,,,SUMPRODUCT(MAX(ROW(E$1:E1107)*(E1108=E$1:E1107))))))</f>
        <v/>
      </c>
      <c r="K1108" s="14" t="str">
        <f aca="false">IF(OR(E1108="",E1108="!!!",F1108="NEW"),"",INDEX(J$1:J1107,SUMPRODUCT(MAX(ROW(E$1:E1107)*(E1108=E$1:E1107)))))</f>
        <v/>
      </c>
      <c r="L1108" s="15"/>
    </row>
    <row r="1109" customFormat="false" ht="12.75" hidden="false" customHeight="false" outlineLevel="0" collapsed="false">
      <c r="A1109" s="0" t="s">
        <v>122</v>
      </c>
      <c r="B1109" s="0" t="s">
        <v>42</v>
      </c>
      <c r="C1109" s="0" t="s">
        <v>38</v>
      </c>
      <c r="D1109" s="0" t="s">
        <v>29</v>
      </c>
      <c r="E1109" s="9" t="str">
        <f aca="false">IF(D1109="?OLD","!!!","")</f>
        <v>!!!</v>
      </c>
      <c r="F1109" s="10" t="str">
        <f aca="false">IF(OR(E1109="",E1109="!!!"),"",IF(NOT(ISNA(VLOOKUP(E1109,E$1:E1108,1,FALSE()))),"OLD",IF(AND(E1109&lt;&gt;"",E1109&lt;&gt;"!!!"),"NEW","")))</f>
        <v/>
      </c>
      <c r="G1109" s="11" t="str">
        <f aca="false">IF(OR(E1109="",E1109="!!!"),"",IF(OR(J1109=0,AND(J1109=1,K1109=1),AND(J1109=1,I1109="SBJ"),AND(J1109=1,I1109=0)),"?IN_FOCUS",IF(J1109&lt;=2,"?ACTIVATED",IF(J1109&lt;&gt;"","?FAMILIAR",IF(F1109="NEW",IF(ISNA(VLOOKUP(E1109,#REF!,1,FALSE())),"?TYPE_IDENTIFIABLE","?REFERENTIAL"),"_")))))</f>
        <v/>
      </c>
      <c r="H1109" s="12" t="str">
        <f aca="false">IF(J1109&lt;&gt;1,"",IF(I1109="SBJ","CB","?"))</f>
        <v/>
      </c>
      <c r="I1109" s="13" t="str">
        <f aca="false">IF(OR(E1109="",E1109="!!!",F1109="NEW"),"",INDEX(B$2:B1108,-1+SUMPRODUCT(MAX(ROW(E$2:E1108)*(E1109=E$2:E1108)))))</f>
        <v/>
      </c>
      <c r="J1109" s="14" t="str">
        <f aca="true">IF(OR(E1109="",E1109="!!!",F1109="NEW"),"",COUNTBLANK(OFFSET(A$1,,,SUMPRODUCT(MAX(ROW(E$2:E1109)*(E1109=E$2:E1109)))))-COUNTBLANK(OFFSET(A$1,,,SUMPRODUCT(MAX(ROW(E$1:E1108)*(E1109=E$1:E1108))))))</f>
        <v/>
      </c>
      <c r="K1109" s="14" t="str">
        <f aca="false">IF(OR(E1109="",E1109="!!!",F1109="NEW"),"",INDEX(J$1:J1108,SUMPRODUCT(MAX(ROW(E$1:E1108)*(E1109=E$1:E1108)))))</f>
        <v/>
      </c>
      <c r="L1109" s="15"/>
    </row>
    <row r="1110" customFormat="false" ht="12.75" hidden="false" customHeight="false" outlineLevel="0" collapsed="false">
      <c r="A1110" s="0" t="s">
        <v>124</v>
      </c>
      <c r="E1110" s="9" t="str">
        <f aca="false">IF(D1110="?OLD","!!!","")</f>
        <v/>
      </c>
      <c r="F1110" s="10" t="str">
        <f aca="false">IF(OR(E1110="",E1110="!!!"),"",IF(NOT(ISNA(VLOOKUP(E1110,E$1:E1109,1,FALSE()))),"OLD",IF(AND(E1110&lt;&gt;"",E1110&lt;&gt;"!!!"),"NEW","")))</f>
        <v/>
      </c>
      <c r="G1110" s="11" t="str">
        <f aca="false">IF(OR(E1110="",E1110="!!!"),"",IF(OR(J1110=0,AND(J1110=1,K1110=1),AND(J1110=1,I1110="SBJ"),AND(J1110=1,I1110=0)),"?IN_FOCUS",IF(J1110&lt;=2,"?ACTIVATED",IF(J1110&lt;&gt;"","?FAMILIAR",IF(F1110="NEW",IF(ISNA(VLOOKUP(E1110,#REF!,1,FALSE())),"?TYPE_IDENTIFIABLE","?REFERENTIAL"),"_")))))</f>
        <v/>
      </c>
      <c r="H1110" s="12" t="str">
        <f aca="false">IF(J1110&lt;&gt;1,"",IF(I1110="SBJ","CB","?"))</f>
        <v/>
      </c>
      <c r="I1110" s="13" t="str">
        <f aca="false">IF(OR(E1110="",E1110="!!!",F1110="NEW"),"",INDEX(B$2:B1109,-1+SUMPRODUCT(MAX(ROW(E$2:E1109)*(E1110=E$2:E1109)))))</f>
        <v/>
      </c>
      <c r="J1110" s="14" t="str">
        <f aca="true">IF(OR(E1110="",E1110="!!!",F1110="NEW"),"",COUNTBLANK(OFFSET(A$1,,,SUMPRODUCT(MAX(ROW(E$2:E1110)*(E1110=E$2:E1110)))))-COUNTBLANK(OFFSET(A$1,,,SUMPRODUCT(MAX(ROW(E$1:E1109)*(E1110=E$1:E1109))))))</f>
        <v/>
      </c>
      <c r="K1110" s="14" t="str">
        <f aca="false">IF(OR(E1110="",E1110="!!!",F1110="NEW"),"",INDEX(J$1:J1109,SUMPRODUCT(MAX(ROW(E$1:E1109)*(E1110=E$1:E1109)))))</f>
        <v/>
      </c>
      <c r="L1110" s="15"/>
    </row>
    <row r="1111" customFormat="false" ht="12.75" hidden="false" customHeight="false" outlineLevel="0" collapsed="false">
      <c r="A1111" s="0" t="s">
        <v>544</v>
      </c>
      <c r="E1111" s="9" t="str">
        <f aca="false">IF(D1111="?OLD","!!!","")</f>
        <v/>
      </c>
      <c r="F1111" s="10" t="str">
        <f aca="false">IF(OR(E1111="",E1111="!!!"),"",IF(NOT(ISNA(VLOOKUP(E1111,E$1:E1110,1,FALSE()))),"OLD",IF(AND(E1111&lt;&gt;"",E1111&lt;&gt;"!!!"),"NEW","")))</f>
        <v/>
      </c>
      <c r="G1111" s="11" t="str">
        <f aca="false">IF(OR(E1111="",E1111="!!!"),"",IF(OR(J1111=0,AND(J1111=1,K1111=1),AND(J1111=1,I1111="SBJ"),AND(J1111=1,I1111=0)),"?IN_FOCUS",IF(J1111&lt;=2,"?ACTIVATED",IF(J1111&lt;&gt;"","?FAMILIAR",IF(F1111="NEW",IF(ISNA(VLOOKUP(E1111,#REF!,1,FALSE())),"?TYPE_IDENTIFIABLE","?REFERENTIAL"),"_")))))</f>
        <v/>
      </c>
      <c r="H1111" s="12" t="str">
        <f aca="false">IF(J1111&lt;&gt;1,"",IF(I1111="SBJ","CB","?"))</f>
        <v/>
      </c>
      <c r="I1111" s="13" t="str">
        <f aca="false">IF(OR(E1111="",E1111="!!!",F1111="NEW"),"",INDEX(B$2:B1110,-1+SUMPRODUCT(MAX(ROW(E$2:E1110)*(E1111=E$2:E1110)))))</f>
        <v/>
      </c>
      <c r="J1111" s="14" t="str">
        <f aca="true">IF(OR(E1111="",E1111="!!!",F1111="NEW"),"",COUNTBLANK(OFFSET(A$1,,,SUMPRODUCT(MAX(ROW(E$2:E1111)*(E1111=E$2:E1111)))))-COUNTBLANK(OFFSET(A$1,,,SUMPRODUCT(MAX(ROW(E$1:E1110)*(E1111=E$1:E1110))))))</f>
        <v/>
      </c>
      <c r="K1111" s="14" t="str">
        <f aca="false">IF(OR(E1111="",E1111="!!!",F1111="NEW"),"",INDEX(J$1:J1110,SUMPRODUCT(MAX(ROW(E$1:E1110)*(E1111=E$1:E1110)))))</f>
        <v/>
      </c>
      <c r="L1111" s="15"/>
    </row>
    <row r="1112" customFormat="false" ht="12.75" hidden="false" customHeight="false" outlineLevel="0" collapsed="false">
      <c r="A1112" s="0" t="s">
        <v>277</v>
      </c>
      <c r="B1112" s="0" t="s">
        <v>22</v>
      </c>
      <c r="C1112" s="0" t="s">
        <v>55</v>
      </c>
      <c r="D1112" s="0" t="s">
        <v>29</v>
      </c>
      <c r="E1112" s="9" t="str">
        <f aca="false">IF(D1112="?OLD","!!!","")</f>
        <v>!!!</v>
      </c>
      <c r="F1112" s="10" t="str">
        <f aca="false">IF(OR(E1112="",E1112="!!!"),"",IF(NOT(ISNA(VLOOKUP(E1112,E$1:E1111,1,FALSE()))),"OLD",IF(AND(E1112&lt;&gt;"",E1112&lt;&gt;"!!!"),"NEW","")))</f>
        <v/>
      </c>
      <c r="G1112" s="11" t="str">
        <f aca="false">IF(OR(E1112="",E1112="!!!"),"",IF(OR(J1112=0,AND(J1112=1,K1112=1),AND(J1112=1,I1112="SBJ"),AND(J1112=1,I1112=0)),"?IN_FOCUS",IF(J1112&lt;=2,"?ACTIVATED",IF(J1112&lt;&gt;"","?FAMILIAR",IF(F1112="NEW",IF(ISNA(VLOOKUP(E1112,#REF!,1,FALSE())),"?TYPE_IDENTIFIABLE","?REFERENTIAL"),"_")))))</f>
        <v/>
      </c>
      <c r="H1112" s="12" t="str">
        <f aca="false">IF(J1112&lt;&gt;1,"",IF(I1112="SBJ","CB","?"))</f>
        <v/>
      </c>
      <c r="I1112" s="13" t="str">
        <f aca="false">IF(OR(E1112="",E1112="!!!",F1112="NEW"),"",INDEX(B$2:B1111,-1+SUMPRODUCT(MAX(ROW(E$2:E1111)*(E1112=E$2:E1111)))))</f>
        <v/>
      </c>
      <c r="J1112" s="14" t="str">
        <f aca="true">IF(OR(E1112="",E1112="!!!",F1112="NEW"),"",COUNTBLANK(OFFSET(A$1,,,SUMPRODUCT(MAX(ROW(E$2:E1112)*(E1112=E$2:E1112)))))-COUNTBLANK(OFFSET(A$1,,,SUMPRODUCT(MAX(ROW(E$1:E1111)*(E1112=E$1:E1111))))))</f>
        <v/>
      </c>
      <c r="K1112" s="14" t="str">
        <f aca="false">IF(OR(E1112="",E1112="!!!",F1112="NEW"),"",INDEX(J$1:J1111,SUMPRODUCT(MAX(ROW(E$1:E1111)*(E1112=E$1:E1111)))))</f>
        <v/>
      </c>
      <c r="L1112" s="15"/>
    </row>
    <row r="1113" customFormat="false" ht="12.75" hidden="false" customHeight="false" outlineLevel="0" collapsed="false">
      <c r="A1113" s="0" t="s">
        <v>545</v>
      </c>
      <c r="B1113" s="0" t="s">
        <v>103</v>
      </c>
      <c r="C1113" s="0" t="s">
        <v>15</v>
      </c>
      <c r="D1113" s="0" t="s">
        <v>29</v>
      </c>
      <c r="E1113" s="9" t="str">
        <f aca="false">IF(D1113="?OLD","!!!","")</f>
        <v>!!!</v>
      </c>
      <c r="F1113" s="10" t="str">
        <f aca="false">IF(OR(E1113="",E1113="!!!"),"",IF(NOT(ISNA(VLOOKUP(E1113,E$1:E1112,1,FALSE()))),"OLD",IF(AND(E1113&lt;&gt;"",E1113&lt;&gt;"!!!"),"NEW","")))</f>
        <v/>
      </c>
      <c r="G1113" s="11" t="str">
        <f aca="false">IF(OR(E1113="",E1113="!!!"),"",IF(OR(J1113=0,AND(J1113=1,K1113=1),AND(J1113=1,I1113="SBJ"),AND(J1113=1,I1113=0)),"?IN_FOCUS",IF(J1113&lt;=2,"?ACTIVATED",IF(J1113&lt;&gt;"","?FAMILIAR",IF(F1113="NEW",IF(ISNA(VLOOKUP(E1113,#REF!,1,FALSE())),"?TYPE_IDENTIFIABLE","?REFERENTIAL"),"_")))))</f>
        <v/>
      </c>
      <c r="H1113" s="12" t="str">
        <f aca="false">IF(J1113&lt;&gt;1,"",IF(I1113="SBJ","CB","?"))</f>
        <v/>
      </c>
      <c r="I1113" s="13" t="str">
        <f aca="false">IF(OR(E1113="",E1113="!!!",F1113="NEW"),"",INDEX(B$2:B1112,-1+SUMPRODUCT(MAX(ROW(E$2:E1112)*(E1113=E$2:E1112)))))</f>
        <v/>
      </c>
      <c r="J1113" s="14" t="str">
        <f aca="true">IF(OR(E1113="",E1113="!!!",F1113="NEW"),"",COUNTBLANK(OFFSET(A$1,,,SUMPRODUCT(MAX(ROW(E$2:E1113)*(E1113=E$2:E1113)))))-COUNTBLANK(OFFSET(A$1,,,SUMPRODUCT(MAX(ROW(E$1:E1112)*(E1113=E$1:E1112))))))</f>
        <v/>
      </c>
      <c r="K1113" s="14" t="str">
        <f aca="false">IF(OR(E1113="",E1113="!!!",F1113="NEW"),"",INDEX(J$1:J1112,SUMPRODUCT(MAX(ROW(E$1:E1112)*(E1113=E$1:E1112)))))</f>
        <v/>
      </c>
      <c r="L1113" s="15"/>
    </row>
    <row r="1114" customFormat="false" ht="12.75" hidden="false" customHeight="false" outlineLevel="0" collapsed="false">
      <c r="A1114" s="0" t="s">
        <v>73</v>
      </c>
      <c r="E1114" s="9" t="str">
        <f aca="false">IF(D1114="?OLD","!!!","")</f>
        <v/>
      </c>
      <c r="F1114" s="10" t="str">
        <f aca="false">IF(OR(E1114="",E1114="!!!"),"",IF(NOT(ISNA(VLOOKUP(E1114,E$1:E1113,1,FALSE()))),"OLD",IF(AND(E1114&lt;&gt;"",E1114&lt;&gt;"!!!"),"NEW","")))</f>
        <v/>
      </c>
      <c r="G1114" s="11" t="str">
        <f aca="false">IF(OR(E1114="",E1114="!!!"),"",IF(OR(J1114=0,AND(J1114=1,K1114=1),AND(J1114=1,I1114="SBJ"),AND(J1114=1,I1114=0)),"?IN_FOCUS",IF(J1114&lt;=2,"?ACTIVATED",IF(J1114&lt;&gt;"","?FAMILIAR",IF(F1114="NEW",IF(ISNA(VLOOKUP(E1114,#REF!,1,FALSE())),"?TYPE_IDENTIFIABLE","?REFERENTIAL"),"_")))))</f>
        <v/>
      </c>
      <c r="H1114" s="12" t="str">
        <f aca="false">IF(J1114&lt;&gt;1,"",IF(I1114="SBJ","CB","?"))</f>
        <v/>
      </c>
      <c r="I1114" s="13" t="str">
        <f aca="false">IF(OR(E1114="",E1114="!!!",F1114="NEW"),"",INDEX(B$2:B1113,-1+SUMPRODUCT(MAX(ROW(E$2:E1113)*(E1114=E$2:E1113)))))</f>
        <v/>
      </c>
      <c r="J1114" s="14" t="str">
        <f aca="true">IF(OR(E1114="",E1114="!!!",F1114="NEW"),"",COUNTBLANK(OFFSET(A$1,,,SUMPRODUCT(MAX(ROW(E$2:E1114)*(E1114=E$2:E1114)))))-COUNTBLANK(OFFSET(A$1,,,SUMPRODUCT(MAX(ROW(E$1:E1113)*(E1114=E$1:E1113))))))</f>
        <v/>
      </c>
      <c r="K1114" s="14" t="str">
        <f aca="false">IF(OR(E1114="",E1114="!!!",F1114="NEW"),"",INDEX(J$1:J1113,SUMPRODUCT(MAX(ROW(E$1:E1113)*(E1114=E$1:E1113)))))</f>
        <v/>
      </c>
      <c r="L1114" s="15"/>
    </row>
    <row r="1115" customFormat="false" ht="12.75" hidden="false" customHeight="false" outlineLevel="0" collapsed="false">
      <c r="E1115" s="9" t="str">
        <f aca="false">IF(D1115="?OLD","!!!","")</f>
        <v/>
      </c>
      <c r="F1115" s="10" t="str">
        <f aca="false">IF(OR(E1115="",E1115="!!!"),"",IF(NOT(ISNA(VLOOKUP(E1115,E$1:E1114,1,FALSE()))),"OLD",IF(AND(E1115&lt;&gt;"",E1115&lt;&gt;"!!!"),"NEW","")))</f>
        <v/>
      </c>
      <c r="G1115" s="11" t="str">
        <f aca="false">IF(OR(E1115="",E1115="!!!"),"",IF(OR(J1115=0,AND(J1115=1,K1115=1),AND(J1115=1,I1115="SBJ"),AND(J1115=1,I1115=0)),"?IN_FOCUS",IF(J1115&lt;=2,"?ACTIVATED",IF(J1115&lt;&gt;"","?FAMILIAR",IF(F1115="NEW",IF(ISNA(VLOOKUP(E1115,#REF!,1,FALSE())),"?TYPE_IDENTIFIABLE","?REFERENTIAL"),"_")))))</f>
        <v/>
      </c>
      <c r="H1115" s="12" t="str">
        <f aca="false">IF(J1115&lt;&gt;1,"",IF(I1115="SBJ","CB","?"))</f>
        <v/>
      </c>
      <c r="I1115" s="13" t="str">
        <f aca="false">IF(OR(E1115="",E1115="!!!",F1115="NEW"),"",INDEX(B$2:B1114,-1+SUMPRODUCT(MAX(ROW(E$2:E1114)*(E1115=E$2:E1114)))))</f>
        <v/>
      </c>
      <c r="J1115" s="14" t="str">
        <f aca="true">IF(OR(E1115="",E1115="!!!",F1115="NEW"),"",COUNTBLANK(OFFSET(A$1,,,SUMPRODUCT(MAX(ROW(E$2:E1115)*(E1115=E$2:E1115)))))-COUNTBLANK(OFFSET(A$1,,,SUMPRODUCT(MAX(ROW(E$1:E1114)*(E1115=E$1:E1114))))))</f>
        <v/>
      </c>
      <c r="K1115" s="14" t="str">
        <f aca="false">IF(OR(E1115="",E1115="!!!",F1115="NEW"),"",INDEX(J$1:J1114,SUMPRODUCT(MAX(ROW(E$1:E1114)*(E1115=E$1:E1114)))))</f>
        <v/>
      </c>
      <c r="L1115" s="15"/>
    </row>
    <row r="1116" customFormat="false" ht="12.75" hidden="false" customHeight="false" outlineLevel="0" collapsed="false">
      <c r="A1116" s="0" t="s">
        <v>260</v>
      </c>
      <c r="E1116" s="9" t="str">
        <f aca="false">IF(D1116="?OLD","!!!","")</f>
        <v/>
      </c>
      <c r="F1116" s="10" t="str">
        <f aca="false">IF(OR(E1116="",E1116="!!!"),"",IF(NOT(ISNA(VLOOKUP(E1116,E$1:E1115,1,FALSE()))),"OLD",IF(AND(E1116&lt;&gt;"",E1116&lt;&gt;"!!!"),"NEW","")))</f>
        <v/>
      </c>
      <c r="G1116" s="11" t="str">
        <f aca="false">IF(OR(E1116="",E1116="!!!"),"",IF(OR(J1116=0,AND(J1116=1,K1116=1),AND(J1116=1,I1116="SBJ"),AND(J1116=1,I1116=0)),"?IN_FOCUS",IF(J1116&lt;=2,"?ACTIVATED",IF(J1116&lt;&gt;"","?FAMILIAR",IF(F1116="NEW",IF(ISNA(VLOOKUP(E1116,#REF!,1,FALSE())),"?TYPE_IDENTIFIABLE","?REFERENTIAL"),"_")))))</f>
        <v/>
      </c>
      <c r="H1116" s="12" t="str">
        <f aca="false">IF(J1116&lt;&gt;1,"",IF(I1116="SBJ","CB","?"))</f>
        <v/>
      </c>
      <c r="I1116" s="13" t="str">
        <f aca="false">IF(OR(E1116="",E1116="!!!",F1116="NEW"),"",INDEX(B$2:B1115,-1+SUMPRODUCT(MAX(ROW(E$2:E1115)*(E1116=E$2:E1115)))))</f>
        <v/>
      </c>
      <c r="J1116" s="14" t="str">
        <f aca="true">IF(OR(E1116="",E1116="!!!",F1116="NEW"),"",COUNTBLANK(OFFSET(A$1,,,SUMPRODUCT(MAX(ROW(E$2:E1116)*(E1116=E$2:E1116)))))-COUNTBLANK(OFFSET(A$1,,,SUMPRODUCT(MAX(ROW(E$1:E1115)*(E1116=E$1:E1115))))))</f>
        <v/>
      </c>
      <c r="K1116" s="14" t="str">
        <f aca="false">IF(OR(E1116="",E1116="!!!",F1116="NEW"),"",INDEX(J$1:J1115,SUMPRODUCT(MAX(ROW(E$1:E1115)*(E1116=E$1:E1115)))))</f>
        <v/>
      </c>
      <c r="L1116" s="15"/>
    </row>
    <row r="1117" customFormat="false" ht="12.75" hidden="false" customHeight="false" outlineLevel="0" collapsed="false">
      <c r="A1117" s="0" t="s">
        <v>546</v>
      </c>
      <c r="E1117" s="9" t="str">
        <f aca="false">IF(D1117="?OLD","!!!","")</f>
        <v/>
      </c>
      <c r="F1117" s="10" t="str">
        <f aca="false">IF(OR(E1117="",E1117="!!!"),"",IF(NOT(ISNA(VLOOKUP(E1117,E$1:E1116,1,FALSE()))),"OLD",IF(AND(E1117&lt;&gt;"",E1117&lt;&gt;"!!!"),"NEW","")))</f>
        <v/>
      </c>
      <c r="G1117" s="11" t="str">
        <f aca="false">IF(OR(E1117="",E1117="!!!"),"",IF(OR(J1117=0,AND(J1117=1,K1117=1),AND(J1117=1,I1117="SBJ"),AND(J1117=1,I1117=0)),"?IN_FOCUS",IF(J1117&lt;=2,"?ACTIVATED",IF(J1117&lt;&gt;"","?FAMILIAR",IF(F1117="NEW",IF(ISNA(VLOOKUP(E1117,#REF!,1,FALSE())),"?TYPE_IDENTIFIABLE","?REFERENTIAL"),"_")))))</f>
        <v/>
      </c>
      <c r="H1117" s="12" t="str">
        <f aca="false">IF(J1117&lt;&gt;1,"",IF(I1117="SBJ","CB","?"))</f>
        <v/>
      </c>
      <c r="I1117" s="13" t="str">
        <f aca="false">IF(OR(E1117="",E1117="!!!",F1117="NEW"),"",INDEX(B$2:B1116,-1+SUMPRODUCT(MAX(ROW(E$2:E1116)*(E1117=E$2:E1116)))))</f>
        <v/>
      </c>
      <c r="J1117" s="14" t="str">
        <f aca="true">IF(OR(E1117="",E1117="!!!",F1117="NEW"),"",COUNTBLANK(OFFSET(A$1,,,SUMPRODUCT(MAX(ROW(E$2:E1117)*(E1117=E$2:E1117)))))-COUNTBLANK(OFFSET(A$1,,,SUMPRODUCT(MAX(ROW(E$1:E1116)*(E1117=E$1:E1116))))))</f>
        <v/>
      </c>
      <c r="K1117" s="14" t="str">
        <f aca="false">IF(OR(E1117="",E1117="!!!",F1117="NEW"),"",INDEX(J$1:J1116,SUMPRODUCT(MAX(ROW(E$1:E1116)*(E1117=E$1:E1116)))))</f>
        <v/>
      </c>
      <c r="L1117" s="15"/>
    </row>
    <row r="1118" customFormat="false" ht="12.75" hidden="false" customHeight="false" outlineLevel="0" collapsed="false">
      <c r="A1118" s="0" t="s">
        <v>262</v>
      </c>
      <c r="E1118" s="9" t="str">
        <f aca="false">IF(D1118="?OLD","!!!","")</f>
        <v/>
      </c>
      <c r="F1118" s="10" t="str">
        <f aca="false">IF(OR(E1118="",E1118="!!!"),"",IF(NOT(ISNA(VLOOKUP(E1118,E$1:E1117,1,FALSE()))),"OLD",IF(AND(E1118&lt;&gt;"",E1118&lt;&gt;"!!!"),"NEW","")))</f>
        <v/>
      </c>
      <c r="G1118" s="11" t="str">
        <f aca="false">IF(OR(E1118="",E1118="!!!"),"",IF(OR(J1118=0,AND(J1118=1,K1118=1),AND(J1118=1,I1118="SBJ"),AND(J1118=1,I1118=0)),"?IN_FOCUS",IF(J1118&lt;=2,"?ACTIVATED",IF(J1118&lt;&gt;"","?FAMILIAR",IF(F1118="NEW",IF(ISNA(VLOOKUP(E1118,#REF!,1,FALSE())),"?TYPE_IDENTIFIABLE","?REFERENTIAL"),"_")))))</f>
        <v/>
      </c>
      <c r="H1118" s="12" t="str">
        <f aca="false">IF(J1118&lt;&gt;1,"",IF(I1118="SBJ","CB","?"))</f>
        <v/>
      </c>
      <c r="I1118" s="13" t="str">
        <f aca="false">IF(OR(E1118="",E1118="!!!",F1118="NEW"),"",INDEX(B$2:B1117,-1+SUMPRODUCT(MAX(ROW(E$2:E1117)*(E1118=E$2:E1117)))))</f>
        <v/>
      </c>
      <c r="J1118" s="14" t="str">
        <f aca="true">IF(OR(E1118="",E1118="!!!",F1118="NEW"),"",COUNTBLANK(OFFSET(A$1,,,SUMPRODUCT(MAX(ROW(E$2:E1118)*(E1118=E$2:E1118)))))-COUNTBLANK(OFFSET(A$1,,,SUMPRODUCT(MAX(ROW(E$1:E1117)*(E1118=E$1:E1117))))))</f>
        <v/>
      </c>
      <c r="K1118" s="14" t="str">
        <f aca="false">IF(OR(E1118="",E1118="!!!",F1118="NEW"),"",INDEX(J$1:J1117,SUMPRODUCT(MAX(ROW(E$1:E1117)*(E1118=E$1:E1117)))))</f>
        <v/>
      </c>
      <c r="L1118" s="15"/>
    </row>
    <row r="1119" customFormat="false" ht="12.75" hidden="false" customHeight="false" outlineLevel="0" collapsed="false">
      <c r="A1119" s="0" t="s">
        <v>547</v>
      </c>
      <c r="E1119" s="9" t="str">
        <f aca="false">IF(D1119="?OLD","!!!","")</f>
        <v/>
      </c>
      <c r="F1119" s="10" t="str">
        <f aca="false">IF(OR(E1119="",E1119="!!!"),"",IF(NOT(ISNA(VLOOKUP(E1119,E$1:E1118,1,FALSE()))),"OLD",IF(AND(E1119&lt;&gt;"",E1119&lt;&gt;"!!!"),"NEW","")))</f>
        <v/>
      </c>
      <c r="G1119" s="11" t="str">
        <f aca="false">IF(OR(E1119="",E1119="!!!"),"",IF(OR(J1119=0,AND(J1119=1,K1119=1),AND(J1119=1,I1119="SBJ"),AND(J1119=1,I1119=0)),"?IN_FOCUS",IF(J1119&lt;=2,"?ACTIVATED",IF(J1119&lt;&gt;"","?FAMILIAR",IF(F1119="NEW",IF(ISNA(VLOOKUP(E1119,#REF!,1,FALSE())),"?TYPE_IDENTIFIABLE","?REFERENTIAL"),"_")))))</f>
        <v/>
      </c>
      <c r="H1119" s="12" t="str">
        <f aca="false">IF(J1119&lt;&gt;1,"",IF(I1119="SBJ","CB","?"))</f>
        <v/>
      </c>
      <c r="I1119" s="13" t="str">
        <f aca="false">IF(OR(E1119="",E1119="!!!",F1119="NEW"),"",INDEX(B$2:B1118,-1+SUMPRODUCT(MAX(ROW(E$2:E1118)*(E1119=E$2:E1118)))))</f>
        <v/>
      </c>
      <c r="J1119" s="14" t="str">
        <f aca="true">IF(OR(E1119="",E1119="!!!",F1119="NEW"),"",COUNTBLANK(OFFSET(A$1,,,SUMPRODUCT(MAX(ROW(E$2:E1119)*(E1119=E$2:E1119)))))-COUNTBLANK(OFFSET(A$1,,,SUMPRODUCT(MAX(ROW(E$1:E1118)*(E1119=E$1:E1118))))))</f>
        <v/>
      </c>
      <c r="K1119" s="14" t="str">
        <f aca="false">IF(OR(E1119="",E1119="!!!",F1119="NEW"),"",INDEX(J$1:J1118,SUMPRODUCT(MAX(ROW(E$1:E1118)*(E1119=E$1:E1118)))))</f>
        <v/>
      </c>
      <c r="L1119" s="15"/>
    </row>
    <row r="1120" customFormat="false" ht="12.75" hidden="false" customHeight="false" outlineLevel="0" collapsed="false">
      <c r="A1120" s="0" t="s">
        <v>73</v>
      </c>
      <c r="E1120" s="9" t="str">
        <f aca="false">IF(D1120="?OLD","!!!","")</f>
        <v/>
      </c>
      <c r="F1120" s="10" t="str">
        <f aca="false">IF(OR(E1120="",E1120="!!!"),"",IF(NOT(ISNA(VLOOKUP(E1120,E$1:E1119,1,FALSE()))),"OLD",IF(AND(E1120&lt;&gt;"",E1120&lt;&gt;"!!!"),"NEW","")))</f>
        <v/>
      </c>
      <c r="G1120" s="11" t="str">
        <f aca="false">IF(OR(E1120="",E1120="!!!"),"",IF(OR(J1120=0,AND(J1120=1,K1120=1),AND(J1120=1,I1120="SBJ"),AND(J1120=1,I1120=0)),"?IN_FOCUS",IF(J1120&lt;=2,"?ACTIVATED",IF(J1120&lt;&gt;"","?FAMILIAR",IF(F1120="NEW",IF(ISNA(VLOOKUP(E1120,#REF!,1,FALSE())),"?TYPE_IDENTIFIABLE","?REFERENTIAL"),"_")))))</f>
        <v/>
      </c>
      <c r="H1120" s="12" t="str">
        <f aca="false">IF(J1120&lt;&gt;1,"",IF(I1120="SBJ","CB","?"))</f>
        <v/>
      </c>
      <c r="I1120" s="13" t="str">
        <f aca="false">IF(OR(E1120="",E1120="!!!",F1120="NEW"),"",INDEX(B$2:B1119,-1+SUMPRODUCT(MAX(ROW(E$2:E1119)*(E1120=E$2:E1119)))))</f>
        <v/>
      </c>
      <c r="J1120" s="14" t="str">
        <f aca="true">IF(OR(E1120="",E1120="!!!",F1120="NEW"),"",COUNTBLANK(OFFSET(A$1,,,SUMPRODUCT(MAX(ROW(E$2:E1120)*(E1120=E$2:E1120)))))-COUNTBLANK(OFFSET(A$1,,,SUMPRODUCT(MAX(ROW(E$1:E1119)*(E1120=E$1:E1119))))))</f>
        <v/>
      </c>
      <c r="K1120" s="14" t="str">
        <f aca="false">IF(OR(E1120="",E1120="!!!",F1120="NEW"),"",INDEX(J$1:J1119,SUMPRODUCT(MAX(ROW(E$1:E1119)*(E1120=E$1:E1119)))))</f>
        <v/>
      </c>
      <c r="L1120" s="15"/>
    </row>
    <row r="1121" customFormat="false" ht="12.75" hidden="false" customHeight="false" outlineLevel="0" collapsed="false">
      <c r="A1121" s="0" t="s">
        <v>262</v>
      </c>
      <c r="E1121" s="9" t="str">
        <f aca="false">IF(D1121="?OLD","!!!","")</f>
        <v/>
      </c>
      <c r="F1121" s="10" t="str">
        <f aca="false">IF(OR(E1121="",E1121="!!!"),"",IF(NOT(ISNA(VLOOKUP(E1121,E$1:E1120,1,FALSE()))),"OLD",IF(AND(E1121&lt;&gt;"",E1121&lt;&gt;"!!!"),"NEW","")))</f>
        <v/>
      </c>
      <c r="G1121" s="11" t="str">
        <f aca="false">IF(OR(E1121="",E1121="!!!"),"",IF(OR(J1121=0,AND(J1121=1,K1121=1),AND(J1121=1,I1121="SBJ"),AND(J1121=1,I1121=0)),"?IN_FOCUS",IF(J1121&lt;=2,"?ACTIVATED",IF(J1121&lt;&gt;"","?FAMILIAR",IF(F1121="NEW",IF(ISNA(VLOOKUP(E1121,#REF!,1,FALSE())),"?TYPE_IDENTIFIABLE","?REFERENTIAL"),"_")))))</f>
        <v/>
      </c>
      <c r="H1121" s="12" t="str">
        <f aca="false">IF(J1121&lt;&gt;1,"",IF(I1121="SBJ","CB","?"))</f>
        <v/>
      </c>
      <c r="I1121" s="13" t="str">
        <f aca="false">IF(OR(E1121="",E1121="!!!",F1121="NEW"),"",INDEX(B$2:B1120,-1+SUMPRODUCT(MAX(ROW(E$2:E1120)*(E1121=E$2:E1120)))))</f>
        <v/>
      </c>
      <c r="J1121" s="14" t="str">
        <f aca="true">IF(OR(E1121="",E1121="!!!",F1121="NEW"),"",COUNTBLANK(OFFSET(A$1,,,SUMPRODUCT(MAX(ROW(E$2:E1121)*(E1121=E$2:E1121)))))-COUNTBLANK(OFFSET(A$1,,,SUMPRODUCT(MAX(ROW(E$1:E1120)*(E1121=E$1:E1120))))))</f>
        <v/>
      </c>
      <c r="K1121" s="14" t="str">
        <f aca="false">IF(OR(E1121="",E1121="!!!",F1121="NEW"),"",INDEX(J$1:J1120,SUMPRODUCT(MAX(ROW(E$1:E1120)*(E1121=E$1:E1120)))))</f>
        <v/>
      </c>
      <c r="L1121" s="15"/>
    </row>
    <row r="1122" customFormat="false" ht="12.75" hidden="false" customHeight="false" outlineLevel="0" collapsed="false">
      <c r="A1122" s="0" t="s">
        <v>262</v>
      </c>
      <c r="E1122" s="9" t="str">
        <f aca="false">IF(D1122="?OLD","!!!","")</f>
        <v/>
      </c>
      <c r="F1122" s="10" t="str">
        <f aca="false">IF(OR(E1122="",E1122="!!!"),"",IF(NOT(ISNA(VLOOKUP(E1122,E$1:E1121,1,FALSE()))),"OLD",IF(AND(E1122&lt;&gt;"",E1122&lt;&gt;"!!!"),"NEW","")))</f>
        <v/>
      </c>
      <c r="G1122" s="11" t="str">
        <f aca="false">IF(OR(E1122="",E1122="!!!"),"",IF(OR(J1122=0,AND(J1122=1,K1122=1),AND(J1122=1,I1122="SBJ"),AND(J1122=1,I1122=0)),"?IN_FOCUS",IF(J1122&lt;=2,"?ACTIVATED",IF(J1122&lt;&gt;"","?FAMILIAR",IF(F1122="NEW",IF(ISNA(VLOOKUP(E1122,#REF!,1,FALSE())),"?TYPE_IDENTIFIABLE","?REFERENTIAL"),"_")))))</f>
        <v/>
      </c>
      <c r="H1122" s="12" t="str">
        <f aca="false">IF(J1122&lt;&gt;1,"",IF(I1122="SBJ","CB","?"))</f>
        <v/>
      </c>
      <c r="I1122" s="13" t="str">
        <f aca="false">IF(OR(E1122="",E1122="!!!",F1122="NEW"),"",INDEX(B$2:B1121,-1+SUMPRODUCT(MAX(ROW(E$2:E1121)*(E1122=E$2:E1121)))))</f>
        <v/>
      </c>
      <c r="J1122" s="14" t="str">
        <f aca="true">IF(OR(E1122="",E1122="!!!",F1122="NEW"),"",COUNTBLANK(OFFSET(A$1,,,SUMPRODUCT(MAX(ROW(E$2:E1122)*(E1122=E$2:E1122)))))-COUNTBLANK(OFFSET(A$1,,,SUMPRODUCT(MAX(ROW(E$1:E1121)*(E1122=E$1:E1121))))))</f>
        <v/>
      </c>
      <c r="K1122" s="14" t="str">
        <f aca="false">IF(OR(E1122="",E1122="!!!",F1122="NEW"),"",INDEX(J$1:J1121,SUMPRODUCT(MAX(ROW(E$1:E1121)*(E1122=E$1:E1121)))))</f>
        <v/>
      </c>
      <c r="L1122" s="15"/>
    </row>
    <row r="1123" customFormat="false" ht="12.75" hidden="false" customHeight="false" outlineLevel="0" collapsed="false">
      <c r="A1123" s="0" t="s">
        <v>548</v>
      </c>
      <c r="E1123" s="9" t="str">
        <f aca="false">IF(D1123="?OLD","!!!","")</f>
        <v/>
      </c>
      <c r="F1123" s="10" t="str">
        <f aca="false">IF(OR(E1123="",E1123="!!!"),"",IF(NOT(ISNA(VLOOKUP(E1123,E$1:E1122,1,FALSE()))),"OLD",IF(AND(E1123&lt;&gt;"",E1123&lt;&gt;"!!!"),"NEW","")))</f>
        <v/>
      </c>
      <c r="G1123" s="11" t="str">
        <f aca="false">IF(OR(E1123="",E1123="!!!"),"",IF(OR(J1123=0,AND(J1123=1,K1123=1),AND(J1123=1,I1123="SBJ"),AND(J1123=1,I1123=0)),"?IN_FOCUS",IF(J1123&lt;=2,"?ACTIVATED",IF(J1123&lt;&gt;"","?FAMILIAR",IF(F1123="NEW",IF(ISNA(VLOOKUP(E1123,#REF!,1,FALSE())),"?TYPE_IDENTIFIABLE","?REFERENTIAL"),"_")))))</f>
        <v/>
      </c>
      <c r="H1123" s="12" t="str">
        <f aca="false">IF(J1123&lt;&gt;1,"",IF(I1123="SBJ","CB","?"))</f>
        <v/>
      </c>
      <c r="I1123" s="13" t="str">
        <f aca="false">IF(OR(E1123="",E1123="!!!",F1123="NEW"),"",INDEX(B$2:B1122,-1+SUMPRODUCT(MAX(ROW(E$2:E1122)*(E1123=E$2:E1122)))))</f>
        <v/>
      </c>
      <c r="J1123" s="14" t="str">
        <f aca="true">IF(OR(E1123="",E1123="!!!",F1123="NEW"),"",COUNTBLANK(OFFSET(A$1,,,SUMPRODUCT(MAX(ROW(E$2:E1123)*(E1123=E$2:E1123)))))-COUNTBLANK(OFFSET(A$1,,,SUMPRODUCT(MAX(ROW(E$1:E1122)*(E1123=E$1:E1122))))))</f>
        <v/>
      </c>
      <c r="K1123" s="14" t="str">
        <f aca="false">IF(OR(E1123="",E1123="!!!",F1123="NEW"),"",INDEX(J$1:J1122,SUMPRODUCT(MAX(ROW(E$1:E1122)*(E1123=E$1:E1122)))))</f>
        <v/>
      </c>
      <c r="L1123" s="15"/>
    </row>
    <row r="1124" customFormat="false" ht="12.75" hidden="false" customHeight="false" outlineLevel="0" collapsed="false">
      <c r="A1124" s="0" t="s">
        <v>549</v>
      </c>
      <c r="E1124" s="9" t="str">
        <f aca="false">IF(D1124="?OLD","!!!","")</f>
        <v/>
      </c>
      <c r="F1124" s="10" t="str">
        <f aca="false">IF(OR(E1124="",E1124="!!!"),"",IF(NOT(ISNA(VLOOKUP(E1124,E$1:E1123,1,FALSE()))),"OLD",IF(AND(E1124&lt;&gt;"",E1124&lt;&gt;"!!!"),"NEW","")))</f>
        <v/>
      </c>
      <c r="G1124" s="11" t="str">
        <f aca="false">IF(OR(E1124="",E1124="!!!"),"",IF(OR(J1124=0,AND(J1124=1,K1124=1),AND(J1124=1,I1124="SBJ"),AND(J1124=1,I1124=0)),"?IN_FOCUS",IF(J1124&lt;=2,"?ACTIVATED",IF(J1124&lt;&gt;"","?FAMILIAR",IF(F1124="NEW",IF(ISNA(VLOOKUP(E1124,#REF!,1,FALSE())),"?TYPE_IDENTIFIABLE","?REFERENTIAL"),"_")))))</f>
        <v/>
      </c>
      <c r="H1124" s="12" t="str">
        <f aca="false">IF(J1124&lt;&gt;1,"",IF(I1124="SBJ","CB","?"))</f>
        <v/>
      </c>
      <c r="I1124" s="13" t="str">
        <f aca="false">IF(OR(E1124="",E1124="!!!",F1124="NEW"),"",INDEX(B$2:B1123,-1+SUMPRODUCT(MAX(ROW(E$2:E1123)*(E1124=E$2:E1123)))))</f>
        <v/>
      </c>
      <c r="J1124" s="14" t="str">
        <f aca="true">IF(OR(E1124="",E1124="!!!",F1124="NEW"),"",COUNTBLANK(OFFSET(A$1,,,SUMPRODUCT(MAX(ROW(E$2:E1124)*(E1124=E$2:E1124)))))-COUNTBLANK(OFFSET(A$1,,,SUMPRODUCT(MAX(ROW(E$1:E1123)*(E1124=E$1:E1123))))))</f>
        <v/>
      </c>
      <c r="K1124" s="14" t="str">
        <f aca="false">IF(OR(E1124="",E1124="!!!",F1124="NEW"),"",INDEX(J$1:J1123,SUMPRODUCT(MAX(ROW(E$1:E1123)*(E1124=E$1:E1123)))))</f>
        <v/>
      </c>
      <c r="L1124" s="15"/>
    </row>
    <row r="1125" customFormat="false" ht="12.75" hidden="false" customHeight="false" outlineLevel="0" collapsed="false">
      <c r="A1125" s="0" t="s">
        <v>550</v>
      </c>
      <c r="B1125" s="0" t="s">
        <v>14</v>
      </c>
      <c r="C1125" s="0" t="s">
        <v>38</v>
      </c>
      <c r="D1125" s="0" t="s">
        <v>29</v>
      </c>
      <c r="E1125" s="9" t="str">
        <f aca="false">IF(D1125="?OLD","!!!","")</f>
        <v>!!!</v>
      </c>
      <c r="F1125" s="10" t="str">
        <f aca="false">IF(OR(E1125="",E1125="!!!"),"",IF(NOT(ISNA(VLOOKUP(E1125,E$1:E1124,1,FALSE()))),"OLD",IF(AND(E1125&lt;&gt;"",E1125&lt;&gt;"!!!"),"NEW","")))</f>
        <v/>
      </c>
      <c r="G1125" s="11" t="str">
        <f aca="false">IF(OR(E1125="",E1125="!!!"),"",IF(OR(J1125=0,AND(J1125=1,K1125=1),AND(J1125=1,I1125="SBJ"),AND(J1125=1,I1125=0)),"?IN_FOCUS",IF(J1125&lt;=2,"?ACTIVATED",IF(J1125&lt;&gt;"","?FAMILIAR",IF(F1125="NEW",IF(ISNA(VLOOKUP(E1125,#REF!,1,FALSE())),"?TYPE_IDENTIFIABLE","?REFERENTIAL"),"_")))))</f>
        <v/>
      </c>
      <c r="H1125" s="12" t="str">
        <f aca="false">IF(J1125&lt;&gt;1,"",IF(I1125="SBJ","CB","?"))</f>
        <v/>
      </c>
      <c r="I1125" s="13" t="str">
        <f aca="false">IF(OR(E1125="",E1125="!!!",F1125="NEW"),"",INDEX(B$2:B1124,-1+SUMPRODUCT(MAX(ROW(E$2:E1124)*(E1125=E$2:E1124)))))</f>
        <v/>
      </c>
      <c r="J1125" s="14" t="str">
        <f aca="true">IF(OR(E1125="",E1125="!!!",F1125="NEW"),"",COUNTBLANK(OFFSET(A$1,,,SUMPRODUCT(MAX(ROW(E$2:E1125)*(E1125=E$2:E1125)))))-COUNTBLANK(OFFSET(A$1,,,SUMPRODUCT(MAX(ROW(E$1:E1124)*(E1125=E$1:E1124))))))</f>
        <v/>
      </c>
      <c r="K1125" s="14" t="str">
        <f aca="false">IF(OR(E1125="",E1125="!!!",F1125="NEW"),"",INDEX(J$1:J1124,SUMPRODUCT(MAX(ROW(E$1:E1124)*(E1125=E$1:E1124)))))</f>
        <v/>
      </c>
      <c r="L1125" s="15"/>
    </row>
    <row r="1126" customFormat="false" ht="12.75" hidden="false" customHeight="false" outlineLevel="0" collapsed="false">
      <c r="A1126" s="0" t="s">
        <v>168</v>
      </c>
      <c r="E1126" s="9" t="str">
        <f aca="false">IF(D1126="?OLD","!!!","")</f>
        <v/>
      </c>
      <c r="F1126" s="10" t="str">
        <f aca="false">IF(OR(E1126="",E1126="!!!"),"",IF(NOT(ISNA(VLOOKUP(E1126,E$1:E1125,1,FALSE()))),"OLD",IF(AND(E1126&lt;&gt;"",E1126&lt;&gt;"!!!"),"NEW","")))</f>
        <v/>
      </c>
      <c r="G1126" s="11" t="str">
        <f aca="false">IF(OR(E1126="",E1126="!!!"),"",IF(OR(J1126=0,AND(J1126=1,K1126=1),AND(J1126=1,I1126="SBJ"),AND(J1126=1,I1126=0)),"?IN_FOCUS",IF(J1126&lt;=2,"?ACTIVATED",IF(J1126&lt;&gt;"","?FAMILIAR",IF(F1126="NEW",IF(ISNA(VLOOKUP(E1126,#REF!,1,FALSE())),"?TYPE_IDENTIFIABLE","?REFERENTIAL"),"_")))))</f>
        <v/>
      </c>
      <c r="H1126" s="12" t="str">
        <f aca="false">IF(J1126&lt;&gt;1,"",IF(I1126="SBJ","CB","?"))</f>
        <v/>
      </c>
      <c r="I1126" s="13" t="str">
        <f aca="false">IF(OR(E1126="",E1126="!!!",F1126="NEW"),"",INDEX(B$2:B1125,-1+SUMPRODUCT(MAX(ROW(E$2:E1125)*(E1126=E$2:E1125)))))</f>
        <v/>
      </c>
      <c r="J1126" s="14" t="str">
        <f aca="true">IF(OR(E1126="",E1126="!!!",F1126="NEW"),"",COUNTBLANK(OFFSET(A$1,,,SUMPRODUCT(MAX(ROW(E$2:E1126)*(E1126=E$2:E1126)))))-COUNTBLANK(OFFSET(A$1,,,SUMPRODUCT(MAX(ROW(E$1:E1125)*(E1126=E$1:E1125))))))</f>
        <v/>
      </c>
      <c r="K1126" s="14" t="str">
        <f aca="false">IF(OR(E1126="",E1126="!!!",F1126="NEW"),"",INDEX(J$1:J1125,SUMPRODUCT(MAX(ROW(E$1:E1125)*(E1126=E$1:E1125)))))</f>
        <v/>
      </c>
      <c r="L1126" s="15"/>
    </row>
    <row r="1127" customFormat="false" ht="12.75" hidden="false" customHeight="false" outlineLevel="0" collapsed="false">
      <c r="A1127" s="0" t="s">
        <v>31</v>
      </c>
      <c r="E1127" s="9" t="str">
        <f aca="false">IF(D1127="?OLD","!!!","")</f>
        <v/>
      </c>
      <c r="F1127" s="10" t="str">
        <f aca="false">IF(OR(E1127="",E1127="!!!"),"",IF(NOT(ISNA(VLOOKUP(E1127,E$1:E1126,1,FALSE()))),"OLD",IF(AND(E1127&lt;&gt;"",E1127&lt;&gt;"!!!"),"NEW","")))</f>
        <v/>
      </c>
      <c r="G1127" s="11" t="str">
        <f aca="false">IF(OR(E1127="",E1127="!!!"),"",IF(OR(J1127=0,AND(J1127=1,K1127=1),AND(J1127=1,I1127="SBJ"),AND(J1127=1,I1127=0)),"?IN_FOCUS",IF(J1127&lt;=2,"?ACTIVATED",IF(J1127&lt;&gt;"","?FAMILIAR",IF(F1127="NEW",IF(ISNA(VLOOKUP(E1127,#REF!,1,FALSE())),"?TYPE_IDENTIFIABLE","?REFERENTIAL"),"_")))))</f>
        <v/>
      </c>
      <c r="H1127" s="12" t="str">
        <f aca="false">IF(J1127&lt;&gt;1,"",IF(I1127="SBJ","CB","?"))</f>
        <v/>
      </c>
      <c r="I1127" s="13" t="str">
        <f aca="false">IF(OR(E1127="",E1127="!!!",F1127="NEW"),"",INDEX(B$2:B1126,-1+SUMPRODUCT(MAX(ROW(E$2:E1126)*(E1127=E$2:E1126)))))</f>
        <v/>
      </c>
      <c r="J1127" s="14" t="str">
        <f aca="true">IF(OR(E1127="",E1127="!!!",F1127="NEW"),"",COUNTBLANK(OFFSET(A$1,,,SUMPRODUCT(MAX(ROW(E$2:E1127)*(E1127=E$2:E1127)))))-COUNTBLANK(OFFSET(A$1,,,SUMPRODUCT(MAX(ROW(E$1:E1126)*(E1127=E$1:E1126))))))</f>
        <v/>
      </c>
      <c r="K1127" s="14" t="str">
        <f aca="false">IF(OR(E1127="",E1127="!!!",F1127="NEW"),"",INDEX(J$1:J1126,SUMPRODUCT(MAX(ROW(E$1:E1126)*(E1127=E$1:E1126)))))</f>
        <v/>
      </c>
      <c r="L1127" s="15"/>
    </row>
    <row r="1128" customFormat="false" ht="12.75" hidden="false" customHeight="false" outlineLevel="0" collapsed="false">
      <c r="A1128" s="0" t="s">
        <v>528</v>
      </c>
      <c r="E1128" s="9" t="str">
        <f aca="false">IF(D1128="?OLD","!!!","")</f>
        <v/>
      </c>
      <c r="F1128" s="10" t="str">
        <f aca="false">IF(OR(E1128="",E1128="!!!"),"",IF(NOT(ISNA(VLOOKUP(E1128,E$1:E1127,1,FALSE()))),"OLD",IF(AND(E1128&lt;&gt;"",E1128&lt;&gt;"!!!"),"NEW","")))</f>
        <v/>
      </c>
      <c r="G1128" s="11" t="str">
        <f aca="false">IF(OR(E1128="",E1128="!!!"),"",IF(OR(J1128=0,AND(J1128=1,K1128=1),AND(J1128=1,I1128="SBJ"),AND(J1128=1,I1128=0)),"?IN_FOCUS",IF(J1128&lt;=2,"?ACTIVATED",IF(J1128&lt;&gt;"","?FAMILIAR",IF(F1128="NEW",IF(ISNA(VLOOKUP(E1128,#REF!,1,FALSE())),"?TYPE_IDENTIFIABLE","?REFERENTIAL"),"_")))))</f>
        <v/>
      </c>
      <c r="H1128" s="12" t="str">
        <f aca="false">IF(J1128&lt;&gt;1,"",IF(I1128="SBJ","CB","?"))</f>
        <v/>
      </c>
      <c r="I1128" s="13" t="str">
        <f aca="false">IF(OR(E1128="",E1128="!!!",F1128="NEW"),"",INDEX(B$2:B1127,-1+SUMPRODUCT(MAX(ROW(E$2:E1127)*(E1128=E$2:E1127)))))</f>
        <v/>
      </c>
      <c r="J1128" s="14" t="str">
        <f aca="true">IF(OR(E1128="",E1128="!!!",F1128="NEW"),"",COUNTBLANK(OFFSET(A$1,,,SUMPRODUCT(MAX(ROW(E$2:E1128)*(E1128=E$2:E1128)))))-COUNTBLANK(OFFSET(A$1,,,SUMPRODUCT(MAX(ROW(E$1:E1127)*(E1128=E$1:E1127))))))</f>
        <v/>
      </c>
      <c r="K1128" s="14" t="str">
        <f aca="false">IF(OR(E1128="",E1128="!!!",F1128="NEW"),"",INDEX(J$1:J1127,SUMPRODUCT(MAX(ROW(E$1:E1127)*(E1128=E$1:E1127)))))</f>
        <v/>
      </c>
      <c r="L1128" s="15"/>
    </row>
    <row r="1129" customFormat="false" ht="12.75" hidden="false" customHeight="false" outlineLevel="0" collapsed="false">
      <c r="A1129" s="0" t="s">
        <v>31</v>
      </c>
      <c r="E1129" s="9" t="str">
        <f aca="false">IF(D1129="?OLD","!!!","")</f>
        <v/>
      </c>
      <c r="F1129" s="10" t="str">
        <f aca="false">IF(OR(E1129="",E1129="!!!"),"",IF(NOT(ISNA(VLOOKUP(E1129,E$1:E1128,1,FALSE()))),"OLD",IF(AND(E1129&lt;&gt;"",E1129&lt;&gt;"!!!"),"NEW","")))</f>
        <v/>
      </c>
      <c r="G1129" s="11" t="str">
        <f aca="false">IF(OR(E1129="",E1129="!!!"),"",IF(OR(J1129=0,AND(J1129=1,K1129=1),AND(J1129=1,I1129="SBJ"),AND(J1129=1,I1129=0)),"?IN_FOCUS",IF(J1129&lt;=2,"?ACTIVATED",IF(J1129&lt;&gt;"","?FAMILIAR",IF(F1129="NEW",IF(ISNA(VLOOKUP(E1129,#REF!,1,FALSE())),"?TYPE_IDENTIFIABLE","?REFERENTIAL"),"_")))))</f>
        <v/>
      </c>
      <c r="H1129" s="12" t="str">
        <f aca="false">IF(J1129&lt;&gt;1,"",IF(I1129="SBJ","CB","?"))</f>
        <v/>
      </c>
      <c r="I1129" s="13" t="str">
        <f aca="false">IF(OR(E1129="",E1129="!!!",F1129="NEW"),"",INDEX(B$2:B1128,-1+SUMPRODUCT(MAX(ROW(E$2:E1128)*(E1129=E$2:E1128)))))</f>
        <v/>
      </c>
      <c r="J1129" s="14" t="str">
        <f aca="true">IF(OR(E1129="",E1129="!!!",F1129="NEW"),"",COUNTBLANK(OFFSET(A$1,,,SUMPRODUCT(MAX(ROW(E$2:E1129)*(E1129=E$2:E1129)))))-COUNTBLANK(OFFSET(A$1,,,SUMPRODUCT(MAX(ROW(E$1:E1128)*(E1129=E$1:E1128))))))</f>
        <v/>
      </c>
      <c r="K1129" s="14" t="str">
        <f aca="false">IF(OR(E1129="",E1129="!!!",F1129="NEW"),"",INDEX(J$1:J1128,SUMPRODUCT(MAX(ROW(E$1:E1128)*(E1129=E$1:E1128)))))</f>
        <v/>
      </c>
      <c r="L1129" s="15"/>
    </row>
    <row r="1130" customFormat="false" ht="12.75" hidden="false" customHeight="false" outlineLevel="0" collapsed="false">
      <c r="A1130" s="0" t="s">
        <v>551</v>
      </c>
      <c r="E1130" s="9" t="str">
        <f aca="false">IF(D1130="?OLD","!!!","")</f>
        <v/>
      </c>
      <c r="F1130" s="10" t="str">
        <f aca="false">IF(OR(E1130="",E1130="!!!"),"",IF(NOT(ISNA(VLOOKUP(E1130,E$1:E1129,1,FALSE()))),"OLD",IF(AND(E1130&lt;&gt;"",E1130&lt;&gt;"!!!"),"NEW","")))</f>
        <v/>
      </c>
      <c r="G1130" s="11" t="str">
        <f aca="false">IF(OR(E1130="",E1130="!!!"),"",IF(OR(J1130=0,AND(J1130=1,K1130=1),AND(J1130=1,I1130="SBJ"),AND(J1130=1,I1130=0)),"?IN_FOCUS",IF(J1130&lt;=2,"?ACTIVATED",IF(J1130&lt;&gt;"","?FAMILIAR",IF(F1130="NEW",IF(ISNA(VLOOKUP(E1130,#REF!,1,FALSE())),"?TYPE_IDENTIFIABLE","?REFERENTIAL"),"_")))))</f>
        <v/>
      </c>
      <c r="H1130" s="12" t="str">
        <f aca="false">IF(J1130&lt;&gt;1,"",IF(I1130="SBJ","CB","?"))</f>
        <v/>
      </c>
      <c r="I1130" s="13" t="str">
        <f aca="false">IF(OR(E1130="",E1130="!!!",F1130="NEW"),"",INDEX(B$2:B1129,-1+SUMPRODUCT(MAX(ROW(E$2:E1129)*(E1130=E$2:E1129)))))</f>
        <v/>
      </c>
      <c r="J1130" s="14" t="str">
        <f aca="true">IF(OR(E1130="",E1130="!!!",F1130="NEW"),"",COUNTBLANK(OFFSET(A$1,,,SUMPRODUCT(MAX(ROW(E$2:E1130)*(E1130=E$2:E1130)))))-COUNTBLANK(OFFSET(A$1,,,SUMPRODUCT(MAX(ROW(E$1:E1129)*(E1130=E$1:E1129))))))</f>
        <v/>
      </c>
      <c r="K1130" s="14" t="str">
        <f aca="false">IF(OR(E1130="",E1130="!!!",F1130="NEW"),"",INDEX(J$1:J1129,SUMPRODUCT(MAX(ROW(E$1:E1129)*(E1130=E$1:E1129)))))</f>
        <v/>
      </c>
      <c r="L1130" s="15"/>
    </row>
    <row r="1131" customFormat="false" ht="12.75" hidden="false" customHeight="false" outlineLevel="0" collapsed="false">
      <c r="A1131" s="0" t="s">
        <v>519</v>
      </c>
      <c r="E1131" s="9" t="str">
        <f aca="false">IF(D1131="?OLD","!!!","")</f>
        <v/>
      </c>
      <c r="F1131" s="10" t="str">
        <f aca="false">IF(OR(E1131="",E1131="!!!"),"",IF(NOT(ISNA(VLOOKUP(E1131,E$1:E1130,1,FALSE()))),"OLD",IF(AND(E1131&lt;&gt;"",E1131&lt;&gt;"!!!"),"NEW","")))</f>
        <v/>
      </c>
      <c r="G1131" s="11" t="str">
        <f aca="false">IF(OR(E1131="",E1131="!!!"),"",IF(OR(J1131=0,AND(J1131=1,K1131=1),AND(J1131=1,I1131="SBJ"),AND(J1131=1,I1131=0)),"?IN_FOCUS",IF(J1131&lt;=2,"?ACTIVATED",IF(J1131&lt;&gt;"","?FAMILIAR",IF(F1131="NEW",IF(ISNA(VLOOKUP(E1131,#REF!,1,FALSE())),"?TYPE_IDENTIFIABLE","?REFERENTIAL"),"_")))))</f>
        <v/>
      </c>
      <c r="H1131" s="12" t="str">
        <f aca="false">IF(J1131&lt;&gt;1,"",IF(I1131="SBJ","CB","?"))</f>
        <v/>
      </c>
      <c r="I1131" s="13" t="str">
        <f aca="false">IF(OR(E1131="",E1131="!!!",F1131="NEW"),"",INDEX(B$2:B1130,-1+SUMPRODUCT(MAX(ROW(E$2:E1130)*(E1131=E$2:E1130)))))</f>
        <v/>
      </c>
      <c r="J1131" s="14" t="str">
        <f aca="true">IF(OR(E1131="",E1131="!!!",F1131="NEW"),"",COUNTBLANK(OFFSET(A$1,,,SUMPRODUCT(MAX(ROW(E$2:E1131)*(E1131=E$2:E1131)))))-COUNTBLANK(OFFSET(A$1,,,SUMPRODUCT(MAX(ROW(E$1:E1130)*(E1131=E$1:E1130))))))</f>
        <v/>
      </c>
      <c r="K1131" s="14" t="str">
        <f aca="false">IF(OR(E1131="",E1131="!!!",F1131="NEW"),"",INDEX(J$1:J1130,SUMPRODUCT(MAX(ROW(E$1:E1130)*(E1131=E$1:E1130)))))</f>
        <v/>
      </c>
      <c r="L1131" s="15"/>
    </row>
    <row r="1132" customFormat="false" ht="12.75" hidden="false" customHeight="false" outlineLevel="0" collapsed="false">
      <c r="A1132" s="0" t="s">
        <v>343</v>
      </c>
      <c r="E1132" s="9" t="str">
        <f aca="false">IF(D1132="?OLD","!!!","")</f>
        <v/>
      </c>
      <c r="F1132" s="10" t="str">
        <f aca="false">IF(OR(E1132="",E1132="!!!"),"",IF(NOT(ISNA(VLOOKUP(E1132,E$1:E1131,1,FALSE()))),"OLD",IF(AND(E1132&lt;&gt;"",E1132&lt;&gt;"!!!"),"NEW","")))</f>
        <v/>
      </c>
      <c r="G1132" s="11" t="str">
        <f aca="false">IF(OR(E1132="",E1132="!!!"),"",IF(OR(J1132=0,AND(J1132=1,K1132=1),AND(J1132=1,I1132="SBJ"),AND(J1132=1,I1132=0)),"?IN_FOCUS",IF(J1132&lt;=2,"?ACTIVATED",IF(J1132&lt;&gt;"","?FAMILIAR",IF(F1132="NEW",IF(ISNA(VLOOKUP(E1132,#REF!,1,FALSE())),"?TYPE_IDENTIFIABLE","?REFERENTIAL"),"_")))))</f>
        <v/>
      </c>
      <c r="H1132" s="12" t="str">
        <f aca="false">IF(J1132&lt;&gt;1,"",IF(I1132="SBJ","CB","?"))</f>
        <v/>
      </c>
      <c r="I1132" s="13" t="str">
        <f aca="false">IF(OR(E1132="",E1132="!!!",F1132="NEW"),"",INDEX(B$2:B1131,-1+SUMPRODUCT(MAX(ROW(E$2:E1131)*(E1132=E$2:E1131)))))</f>
        <v/>
      </c>
      <c r="J1132" s="14" t="str">
        <f aca="true">IF(OR(E1132="",E1132="!!!",F1132="NEW"),"",COUNTBLANK(OFFSET(A$1,,,SUMPRODUCT(MAX(ROW(E$2:E1132)*(E1132=E$2:E1132)))))-COUNTBLANK(OFFSET(A$1,,,SUMPRODUCT(MAX(ROW(E$1:E1131)*(E1132=E$1:E1131))))))</f>
        <v/>
      </c>
      <c r="K1132" s="14" t="str">
        <f aca="false">IF(OR(E1132="",E1132="!!!",F1132="NEW"),"",INDEX(J$1:J1131,SUMPRODUCT(MAX(ROW(E$1:E1131)*(E1132=E$1:E1131)))))</f>
        <v/>
      </c>
      <c r="L1132" s="15"/>
    </row>
    <row r="1133" customFormat="false" ht="12.75" hidden="false" customHeight="false" outlineLevel="0" collapsed="false">
      <c r="A1133" s="0" t="s">
        <v>77</v>
      </c>
      <c r="E1133" s="9" t="str">
        <f aca="false">IF(D1133="?OLD","!!!","")</f>
        <v/>
      </c>
      <c r="F1133" s="10" t="str">
        <f aca="false">IF(OR(E1133="",E1133="!!!"),"",IF(NOT(ISNA(VLOOKUP(E1133,E$1:E1132,1,FALSE()))),"OLD",IF(AND(E1133&lt;&gt;"",E1133&lt;&gt;"!!!"),"NEW","")))</f>
        <v/>
      </c>
      <c r="G1133" s="11" t="str">
        <f aca="false">IF(OR(E1133="",E1133="!!!"),"",IF(OR(J1133=0,AND(J1133=1,K1133=1),AND(J1133=1,I1133="SBJ"),AND(J1133=1,I1133=0)),"?IN_FOCUS",IF(J1133&lt;=2,"?ACTIVATED",IF(J1133&lt;&gt;"","?FAMILIAR",IF(F1133="NEW",IF(ISNA(VLOOKUP(E1133,#REF!,1,FALSE())),"?TYPE_IDENTIFIABLE","?REFERENTIAL"),"_")))))</f>
        <v/>
      </c>
      <c r="H1133" s="12" t="str">
        <f aca="false">IF(J1133&lt;&gt;1,"",IF(I1133="SBJ","CB","?"))</f>
        <v/>
      </c>
      <c r="I1133" s="13" t="str">
        <f aca="false">IF(OR(E1133="",E1133="!!!",F1133="NEW"),"",INDEX(B$2:B1132,-1+SUMPRODUCT(MAX(ROW(E$2:E1132)*(E1133=E$2:E1132)))))</f>
        <v/>
      </c>
      <c r="J1133" s="14" t="str">
        <f aca="true">IF(OR(E1133="",E1133="!!!",F1133="NEW"),"",COUNTBLANK(OFFSET(A$1,,,SUMPRODUCT(MAX(ROW(E$2:E1133)*(E1133=E$2:E1133)))))-COUNTBLANK(OFFSET(A$1,,,SUMPRODUCT(MAX(ROW(E$1:E1132)*(E1133=E$1:E1132))))))</f>
        <v/>
      </c>
      <c r="K1133" s="14" t="str">
        <f aca="false">IF(OR(E1133="",E1133="!!!",F1133="NEW"),"",INDEX(J$1:J1132,SUMPRODUCT(MAX(ROW(E$1:E1132)*(E1133=E$1:E1132)))))</f>
        <v/>
      </c>
      <c r="L1133" s="15"/>
    </row>
    <row r="1134" customFormat="false" ht="12.75" hidden="false" customHeight="false" outlineLevel="0" collapsed="false">
      <c r="A1134" s="0" t="s">
        <v>552</v>
      </c>
      <c r="B1134" s="0" t="s">
        <v>42</v>
      </c>
      <c r="C1134" s="0" t="s">
        <v>364</v>
      </c>
      <c r="E1134" s="9" t="str">
        <f aca="false">IF(D1134="?OLD","!!!","")</f>
        <v/>
      </c>
      <c r="F1134" s="10" t="str">
        <f aca="false">IF(OR(E1134="",E1134="!!!"),"",IF(NOT(ISNA(VLOOKUP(E1134,E$1:E1133,1,FALSE()))),"OLD",IF(AND(E1134&lt;&gt;"",E1134&lt;&gt;"!!!"),"NEW","")))</f>
        <v/>
      </c>
      <c r="G1134" s="11" t="str">
        <f aca="false">IF(OR(E1134="",E1134="!!!"),"",IF(OR(J1134=0,AND(J1134=1,K1134=1),AND(J1134=1,I1134="SBJ"),AND(J1134=1,I1134=0)),"?IN_FOCUS",IF(J1134&lt;=2,"?ACTIVATED",IF(J1134&lt;&gt;"","?FAMILIAR",IF(F1134="NEW",IF(ISNA(VLOOKUP(E1134,#REF!,1,FALSE())),"?TYPE_IDENTIFIABLE","?REFERENTIAL"),"_")))))</f>
        <v/>
      </c>
      <c r="H1134" s="12" t="str">
        <f aca="false">IF(J1134&lt;&gt;1,"",IF(I1134="SBJ","CB","?"))</f>
        <v/>
      </c>
      <c r="I1134" s="13" t="str">
        <f aca="false">IF(OR(E1134="",E1134="!!!",F1134="NEW"),"",INDEX(B$2:B1133,-1+SUMPRODUCT(MAX(ROW(E$2:E1133)*(E1134=E$2:E1133)))))</f>
        <v/>
      </c>
      <c r="J1134" s="14" t="str">
        <f aca="true">IF(OR(E1134="",E1134="!!!",F1134="NEW"),"",COUNTBLANK(OFFSET(A$1,,,SUMPRODUCT(MAX(ROW(E$2:E1134)*(E1134=E$2:E1134)))))-COUNTBLANK(OFFSET(A$1,,,SUMPRODUCT(MAX(ROW(E$1:E1133)*(E1134=E$1:E1133))))))</f>
        <v/>
      </c>
      <c r="K1134" s="14" t="str">
        <f aca="false">IF(OR(E1134="",E1134="!!!",F1134="NEW"),"",INDEX(J$1:J1133,SUMPRODUCT(MAX(ROW(E$1:E1133)*(E1134=E$1:E1133)))))</f>
        <v/>
      </c>
      <c r="L1134" s="15"/>
    </row>
    <row r="1135" customFormat="false" ht="12.75" hidden="false" customHeight="false" outlineLevel="0" collapsed="false">
      <c r="A1135" s="0" t="s">
        <v>136</v>
      </c>
      <c r="E1135" s="9" t="str">
        <f aca="false">IF(D1135="?OLD","!!!","")</f>
        <v/>
      </c>
      <c r="F1135" s="10" t="str">
        <f aca="false">IF(OR(E1135="",E1135="!!!"),"",IF(NOT(ISNA(VLOOKUP(E1135,E$1:E1134,1,FALSE()))),"OLD",IF(AND(E1135&lt;&gt;"",E1135&lt;&gt;"!!!"),"NEW","")))</f>
        <v/>
      </c>
      <c r="G1135" s="11" t="str">
        <f aca="false">IF(OR(E1135="",E1135="!!!"),"",IF(OR(J1135=0,AND(J1135=1,K1135=1),AND(J1135=1,I1135="SBJ"),AND(J1135=1,I1135=0)),"?IN_FOCUS",IF(J1135&lt;=2,"?ACTIVATED",IF(J1135&lt;&gt;"","?FAMILIAR",IF(F1135="NEW",IF(ISNA(VLOOKUP(E1135,#REF!,1,FALSE())),"?TYPE_IDENTIFIABLE","?REFERENTIAL"),"_")))))</f>
        <v/>
      </c>
      <c r="H1135" s="12" t="str">
        <f aca="false">IF(J1135&lt;&gt;1,"",IF(I1135="SBJ","CB","?"))</f>
        <v/>
      </c>
      <c r="I1135" s="13" t="str">
        <f aca="false">IF(OR(E1135="",E1135="!!!",F1135="NEW"),"",INDEX(B$2:B1134,-1+SUMPRODUCT(MAX(ROW(E$2:E1134)*(E1135=E$2:E1134)))))</f>
        <v/>
      </c>
      <c r="J1135" s="14" t="str">
        <f aca="true">IF(OR(E1135="",E1135="!!!",F1135="NEW"),"",COUNTBLANK(OFFSET(A$1,,,SUMPRODUCT(MAX(ROW(E$2:E1135)*(E1135=E$2:E1135)))))-COUNTBLANK(OFFSET(A$1,,,SUMPRODUCT(MAX(ROW(E$1:E1134)*(E1135=E$1:E1134))))))</f>
        <v/>
      </c>
      <c r="K1135" s="14" t="str">
        <f aca="false">IF(OR(E1135="",E1135="!!!",F1135="NEW"),"",INDEX(J$1:J1134,SUMPRODUCT(MAX(ROW(E$1:E1134)*(E1135=E$1:E1134)))))</f>
        <v/>
      </c>
      <c r="L1135" s="15"/>
    </row>
    <row r="1136" customFormat="false" ht="12.75" hidden="false" customHeight="false" outlineLevel="0" collapsed="false">
      <c r="A1136" s="0" t="s">
        <v>61</v>
      </c>
      <c r="E1136" s="9" t="str">
        <f aca="false">IF(D1136="?OLD","!!!","")</f>
        <v/>
      </c>
      <c r="F1136" s="10" t="str">
        <f aca="false">IF(OR(E1136="",E1136="!!!"),"",IF(NOT(ISNA(VLOOKUP(E1136,E$1:E1135,1,FALSE()))),"OLD",IF(AND(E1136&lt;&gt;"",E1136&lt;&gt;"!!!"),"NEW","")))</f>
        <v/>
      </c>
      <c r="G1136" s="11" t="str">
        <f aca="false">IF(OR(E1136="",E1136="!!!"),"",IF(OR(J1136=0,AND(J1136=1,K1136=1),AND(J1136=1,I1136="SBJ"),AND(J1136=1,I1136=0)),"?IN_FOCUS",IF(J1136&lt;=2,"?ACTIVATED",IF(J1136&lt;&gt;"","?FAMILIAR",IF(F1136="NEW",IF(ISNA(VLOOKUP(E1136,#REF!,1,FALSE())),"?TYPE_IDENTIFIABLE","?REFERENTIAL"),"_")))))</f>
        <v/>
      </c>
      <c r="H1136" s="12" t="str">
        <f aca="false">IF(J1136&lt;&gt;1,"",IF(I1136="SBJ","CB","?"))</f>
        <v/>
      </c>
      <c r="I1136" s="13" t="str">
        <f aca="false">IF(OR(E1136="",E1136="!!!",F1136="NEW"),"",INDEX(B$2:B1135,-1+SUMPRODUCT(MAX(ROW(E$2:E1135)*(E1136=E$2:E1135)))))</f>
        <v/>
      </c>
      <c r="J1136" s="14" t="str">
        <f aca="true">IF(OR(E1136="",E1136="!!!",F1136="NEW"),"",COUNTBLANK(OFFSET(A$1,,,SUMPRODUCT(MAX(ROW(E$2:E1136)*(E1136=E$2:E1136)))))-COUNTBLANK(OFFSET(A$1,,,SUMPRODUCT(MAX(ROW(E$1:E1135)*(E1136=E$1:E1135))))))</f>
        <v/>
      </c>
      <c r="K1136" s="14" t="str">
        <f aca="false">IF(OR(E1136="",E1136="!!!",F1136="NEW"),"",INDEX(J$1:J1135,SUMPRODUCT(MAX(ROW(E$1:E1135)*(E1136=E$1:E1135)))))</f>
        <v/>
      </c>
      <c r="L1136" s="15"/>
    </row>
    <row r="1137" customFormat="false" ht="12.75" hidden="false" customHeight="false" outlineLevel="0" collapsed="false">
      <c r="A1137" s="0" t="s">
        <v>62</v>
      </c>
      <c r="E1137" s="9" t="str">
        <f aca="false">IF(D1137="?OLD","!!!","")</f>
        <v/>
      </c>
      <c r="F1137" s="10" t="str">
        <f aca="false">IF(OR(E1137="",E1137="!!!"),"",IF(NOT(ISNA(VLOOKUP(E1137,E$1:E1136,1,FALSE()))),"OLD",IF(AND(E1137&lt;&gt;"",E1137&lt;&gt;"!!!"),"NEW","")))</f>
        <v/>
      </c>
      <c r="G1137" s="11" t="str">
        <f aca="false">IF(OR(E1137="",E1137="!!!"),"",IF(OR(J1137=0,AND(J1137=1,K1137=1),AND(J1137=1,I1137="SBJ"),AND(J1137=1,I1137=0)),"?IN_FOCUS",IF(J1137&lt;=2,"?ACTIVATED",IF(J1137&lt;&gt;"","?FAMILIAR",IF(F1137="NEW",IF(ISNA(VLOOKUP(E1137,#REF!,1,FALSE())),"?TYPE_IDENTIFIABLE","?REFERENTIAL"),"_")))))</f>
        <v/>
      </c>
      <c r="H1137" s="12" t="str">
        <f aca="false">IF(J1137&lt;&gt;1,"",IF(I1137="SBJ","CB","?"))</f>
        <v/>
      </c>
      <c r="I1137" s="13" t="str">
        <f aca="false">IF(OR(E1137="",E1137="!!!",F1137="NEW"),"",INDEX(B$2:B1136,-1+SUMPRODUCT(MAX(ROW(E$2:E1136)*(E1137=E$2:E1136)))))</f>
        <v/>
      </c>
      <c r="J1137" s="14" t="str">
        <f aca="true">IF(OR(E1137="",E1137="!!!",F1137="NEW"),"",COUNTBLANK(OFFSET(A$1,,,SUMPRODUCT(MAX(ROW(E$2:E1137)*(E1137=E$2:E1137)))))-COUNTBLANK(OFFSET(A$1,,,SUMPRODUCT(MAX(ROW(E$1:E1136)*(E1137=E$1:E1136))))))</f>
        <v/>
      </c>
      <c r="K1137" s="14" t="str">
        <f aca="false">IF(OR(E1137="",E1137="!!!",F1137="NEW"),"",INDEX(J$1:J1136,SUMPRODUCT(MAX(ROW(E$1:E1136)*(E1137=E$1:E1136)))))</f>
        <v/>
      </c>
      <c r="L1137" s="15"/>
    </row>
    <row r="1138" customFormat="false" ht="12.75" hidden="false" customHeight="false" outlineLevel="0" collapsed="false">
      <c r="A1138" s="0" t="s">
        <v>411</v>
      </c>
      <c r="B1138" s="0" t="s">
        <v>22</v>
      </c>
      <c r="C1138" s="0" t="s">
        <v>43</v>
      </c>
      <c r="E1138" s="9" t="str">
        <f aca="false">IF(D1138="?OLD","!!!","")</f>
        <v/>
      </c>
      <c r="F1138" s="10" t="str">
        <f aca="false">IF(OR(E1138="",E1138="!!!"),"",IF(NOT(ISNA(VLOOKUP(E1138,E$1:E1137,1,FALSE()))),"OLD",IF(AND(E1138&lt;&gt;"",E1138&lt;&gt;"!!!"),"NEW","")))</f>
        <v/>
      </c>
      <c r="G1138" s="11" t="str">
        <f aca="false">IF(OR(E1138="",E1138="!!!"),"",IF(OR(J1138=0,AND(J1138=1,K1138=1),AND(J1138=1,I1138="SBJ"),AND(J1138=1,I1138=0)),"?IN_FOCUS",IF(J1138&lt;=2,"?ACTIVATED",IF(J1138&lt;&gt;"","?FAMILIAR",IF(F1138="NEW",IF(ISNA(VLOOKUP(E1138,#REF!,1,FALSE())),"?TYPE_IDENTIFIABLE","?REFERENTIAL"),"_")))))</f>
        <v/>
      </c>
      <c r="H1138" s="12" t="str">
        <f aca="false">IF(J1138&lt;&gt;1,"",IF(I1138="SBJ","CB","?"))</f>
        <v/>
      </c>
      <c r="I1138" s="13" t="str">
        <f aca="false">IF(OR(E1138="",E1138="!!!",F1138="NEW"),"",INDEX(B$2:B1137,-1+SUMPRODUCT(MAX(ROW(E$2:E1137)*(E1138=E$2:E1137)))))</f>
        <v/>
      </c>
      <c r="J1138" s="14" t="str">
        <f aca="true">IF(OR(E1138="",E1138="!!!",F1138="NEW"),"",COUNTBLANK(OFFSET(A$1,,,SUMPRODUCT(MAX(ROW(E$2:E1138)*(E1138=E$2:E1138)))))-COUNTBLANK(OFFSET(A$1,,,SUMPRODUCT(MAX(ROW(E$1:E1137)*(E1138=E$1:E1137))))))</f>
        <v/>
      </c>
      <c r="K1138" s="14" t="str">
        <f aca="false">IF(OR(E1138="",E1138="!!!",F1138="NEW"),"",INDEX(J$1:J1137,SUMPRODUCT(MAX(ROW(E$1:E1137)*(E1138=E$1:E1137)))))</f>
        <v/>
      </c>
      <c r="L1138" s="15"/>
    </row>
    <row r="1139" customFormat="false" ht="12.75" hidden="false" customHeight="false" outlineLevel="0" collapsed="false">
      <c r="A1139" s="0" t="s">
        <v>553</v>
      </c>
      <c r="E1139" s="9" t="str">
        <f aca="false">IF(D1139="?OLD","!!!","")</f>
        <v/>
      </c>
      <c r="F1139" s="10" t="str">
        <f aca="false">IF(OR(E1139="",E1139="!!!"),"",IF(NOT(ISNA(VLOOKUP(E1139,E$1:E1138,1,FALSE()))),"OLD",IF(AND(E1139&lt;&gt;"",E1139&lt;&gt;"!!!"),"NEW","")))</f>
        <v/>
      </c>
      <c r="G1139" s="11" t="str">
        <f aca="false">IF(OR(E1139="",E1139="!!!"),"",IF(OR(J1139=0,AND(J1139=1,K1139=1),AND(J1139=1,I1139="SBJ"),AND(J1139=1,I1139=0)),"?IN_FOCUS",IF(J1139&lt;=2,"?ACTIVATED",IF(J1139&lt;&gt;"","?FAMILIAR",IF(F1139="NEW",IF(ISNA(VLOOKUP(E1139,#REF!,1,FALSE())),"?TYPE_IDENTIFIABLE","?REFERENTIAL"),"_")))))</f>
        <v/>
      </c>
      <c r="H1139" s="12" t="str">
        <f aca="false">IF(J1139&lt;&gt;1,"",IF(I1139="SBJ","CB","?"))</f>
        <v/>
      </c>
      <c r="I1139" s="13" t="str">
        <f aca="false">IF(OR(E1139="",E1139="!!!",F1139="NEW"),"",INDEX(B$2:B1138,-1+SUMPRODUCT(MAX(ROW(E$2:E1138)*(E1139=E$2:E1138)))))</f>
        <v/>
      </c>
      <c r="J1139" s="14" t="str">
        <f aca="true">IF(OR(E1139="",E1139="!!!",F1139="NEW"),"",COUNTBLANK(OFFSET(A$1,,,SUMPRODUCT(MAX(ROW(E$2:E1139)*(E1139=E$2:E1139)))))-COUNTBLANK(OFFSET(A$1,,,SUMPRODUCT(MAX(ROW(E$1:E1138)*(E1139=E$1:E1138))))))</f>
        <v/>
      </c>
      <c r="K1139" s="14" t="str">
        <f aca="false">IF(OR(E1139="",E1139="!!!",F1139="NEW"),"",INDEX(J$1:J1138,SUMPRODUCT(MAX(ROW(E$1:E1138)*(E1139=E$1:E1138)))))</f>
        <v/>
      </c>
      <c r="L1139" s="15"/>
    </row>
    <row r="1140" customFormat="false" ht="12.75" hidden="false" customHeight="false" outlineLevel="0" collapsed="false">
      <c r="A1140" s="0" t="s">
        <v>66</v>
      </c>
      <c r="E1140" s="9" t="str">
        <f aca="false">IF(D1140="?OLD","!!!","")</f>
        <v/>
      </c>
      <c r="F1140" s="10" t="str">
        <f aca="false">IF(OR(E1140="",E1140="!!!"),"",IF(NOT(ISNA(VLOOKUP(E1140,E$1:E1139,1,FALSE()))),"OLD",IF(AND(E1140&lt;&gt;"",E1140&lt;&gt;"!!!"),"NEW","")))</f>
        <v/>
      </c>
      <c r="G1140" s="11" t="str">
        <f aca="false">IF(OR(E1140="",E1140="!!!"),"",IF(OR(J1140=0,AND(J1140=1,K1140=1),AND(J1140=1,I1140="SBJ"),AND(J1140=1,I1140=0)),"?IN_FOCUS",IF(J1140&lt;=2,"?ACTIVATED",IF(J1140&lt;&gt;"","?FAMILIAR",IF(F1140="NEW",IF(ISNA(VLOOKUP(E1140,#REF!,1,FALSE())),"?TYPE_IDENTIFIABLE","?REFERENTIAL"),"_")))))</f>
        <v/>
      </c>
      <c r="H1140" s="12" t="str">
        <f aca="false">IF(J1140&lt;&gt;1,"",IF(I1140="SBJ","CB","?"))</f>
        <v/>
      </c>
      <c r="I1140" s="13" t="str">
        <f aca="false">IF(OR(E1140="",E1140="!!!",F1140="NEW"),"",INDEX(B$2:B1139,-1+SUMPRODUCT(MAX(ROW(E$2:E1139)*(E1140=E$2:E1139)))))</f>
        <v/>
      </c>
      <c r="J1140" s="14" t="str">
        <f aca="true">IF(OR(E1140="",E1140="!!!",F1140="NEW"),"",COUNTBLANK(OFFSET(A$1,,,SUMPRODUCT(MAX(ROW(E$2:E1140)*(E1140=E$2:E1140)))))-COUNTBLANK(OFFSET(A$1,,,SUMPRODUCT(MAX(ROW(E$1:E1139)*(E1140=E$1:E1139))))))</f>
        <v/>
      </c>
      <c r="K1140" s="14" t="str">
        <f aca="false">IF(OR(E1140="",E1140="!!!",F1140="NEW"),"",INDEX(J$1:J1139,SUMPRODUCT(MAX(ROW(E$1:E1139)*(E1140=E$1:E1139)))))</f>
        <v/>
      </c>
      <c r="L1140" s="15"/>
    </row>
    <row r="1141" customFormat="false" ht="12.75" hidden="false" customHeight="false" outlineLevel="0" collapsed="false">
      <c r="A1141" s="0" t="s">
        <v>401</v>
      </c>
      <c r="B1141" s="0" t="s">
        <v>64</v>
      </c>
      <c r="C1141" s="0" t="s">
        <v>111</v>
      </c>
      <c r="D1141" s="0" t="s">
        <v>29</v>
      </c>
      <c r="E1141" s="9" t="str">
        <f aca="false">IF(D1141="?OLD","!!!","")</f>
        <v>!!!</v>
      </c>
      <c r="F1141" s="10" t="str">
        <f aca="false">IF(OR(E1141="",E1141="!!!"),"",IF(NOT(ISNA(VLOOKUP(E1141,E$1:E1140,1,FALSE()))),"OLD",IF(AND(E1141&lt;&gt;"",E1141&lt;&gt;"!!!"),"NEW","")))</f>
        <v/>
      </c>
      <c r="G1141" s="11" t="str">
        <f aca="false">IF(OR(E1141="",E1141="!!!"),"",IF(OR(J1141=0,AND(J1141=1,K1141=1),AND(J1141=1,I1141="SBJ"),AND(J1141=1,I1141=0)),"?IN_FOCUS",IF(J1141&lt;=2,"?ACTIVATED",IF(J1141&lt;&gt;"","?FAMILIAR",IF(F1141="NEW",IF(ISNA(VLOOKUP(E1141,#REF!,1,FALSE())),"?TYPE_IDENTIFIABLE","?REFERENTIAL"),"_")))))</f>
        <v/>
      </c>
      <c r="H1141" s="12" t="str">
        <f aca="false">IF(J1141&lt;&gt;1,"",IF(I1141="SBJ","CB","?"))</f>
        <v/>
      </c>
      <c r="I1141" s="13" t="str">
        <f aca="false">IF(OR(E1141="",E1141="!!!",F1141="NEW"),"",INDEX(B$2:B1140,-1+SUMPRODUCT(MAX(ROW(E$2:E1140)*(E1141=E$2:E1140)))))</f>
        <v/>
      </c>
      <c r="J1141" s="14" t="str">
        <f aca="true">IF(OR(E1141="",E1141="!!!",F1141="NEW"),"",COUNTBLANK(OFFSET(A$1,,,SUMPRODUCT(MAX(ROW(E$2:E1141)*(E1141=E$2:E1141)))))-COUNTBLANK(OFFSET(A$1,,,SUMPRODUCT(MAX(ROW(E$1:E1140)*(E1141=E$1:E1140))))))</f>
        <v/>
      </c>
      <c r="K1141" s="14" t="str">
        <f aca="false">IF(OR(E1141="",E1141="!!!",F1141="NEW"),"",INDEX(J$1:J1140,SUMPRODUCT(MAX(ROW(E$1:E1140)*(E1141=E$1:E1140)))))</f>
        <v/>
      </c>
      <c r="L1141" s="15"/>
    </row>
    <row r="1142" customFormat="false" ht="12.75" hidden="false" customHeight="false" outlineLevel="0" collapsed="false">
      <c r="A1142" s="0" t="s">
        <v>269</v>
      </c>
      <c r="E1142" s="9" t="str">
        <f aca="false">IF(D1142="?OLD","!!!","")</f>
        <v/>
      </c>
      <c r="F1142" s="10" t="str">
        <f aca="false">IF(OR(E1142="",E1142="!!!"),"",IF(NOT(ISNA(VLOOKUP(E1142,E$1:E1141,1,FALSE()))),"OLD",IF(AND(E1142&lt;&gt;"",E1142&lt;&gt;"!!!"),"NEW","")))</f>
        <v/>
      </c>
      <c r="G1142" s="11" t="str">
        <f aca="false">IF(OR(E1142="",E1142="!!!"),"",IF(OR(J1142=0,AND(J1142=1,K1142=1),AND(J1142=1,I1142="SBJ"),AND(J1142=1,I1142=0)),"?IN_FOCUS",IF(J1142&lt;=2,"?ACTIVATED",IF(J1142&lt;&gt;"","?FAMILIAR",IF(F1142="NEW",IF(ISNA(VLOOKUP(E1142,#REF!,1,FALSE())),"?TYPE_IDENTIFIABLE","?REFERENTIAL"),"_")))))</f>
        <v/>
      </c>
      <c r="H1142" s="12" t="str">
        <f aca="false">IF(J1142&lt;&gt;1,"",IF(I1142="SBJ","CB","?"))</f>
        <v/>
      </c>
      <c r="I1142" s="13" t="str">
        <f aca="false">IF(OR(E1142="",E1142="!!!",F1142="NEW"),"",INDEX(B$2:B1141,-1+SUMPRODUCT(MAX(ROW(E$2:E1141)*(E1142=E$2:E1141)))))</f>
        <v/>
      </c>
      <c r="J1142" s="14" t="str">
        <f aca="true">IF(OR(E1142="",E1142="!!!",F1142="NEW"),"",COUNTBLANK(OFFSET(A$1,,,SUMPRODUCT(MAX(ROW(E$2:E1142)*(E1142=E$2:E1142)))))-COUNTBLANK(OFFSET(A$1,,,SUMPRODUCT(MAX(ROW(E$1:E1141)*(E1142=E$1:E1141))))))</f>
        <v/>
      </c>
      <c r="K1142" s="14" t="str">
        <f aca="false">IF(OR(E1142="",E1142="!!!",F1142="NEW"),"",INDEX(J$1:J1141,SUMPRODUCT(MAX(ROW(E$1:E1141)*(E1142=E$1:E1141)))))</f>
        <v/>
      </c>
      <c r="L1142" s="15"/>
    </row>
    <row r="1143" customFormat="false" ht="12.75" hidden="false" customHeight="false" outlineLevel="0" collapsed="false">
      <c r="A1143" s="0" t="s">
        <v>262</v>
      </c>
      <c r="E1143" s="9" t="str">
        <f aca="false">IF(D1143="?OLD","!!!","")</f>
        <v/>
      </c>
      <c r="F1143" s="10" t="str">
        <f aca="false">IF(OR(E1143="",E1143="!!!"),"",IF(NOT(ISNA(VLOOKUP(E1143,E$1:E1142,1,FALSE()))),"OLD",IF(AND(E1143&lt;&gt;"",E1143&lt;&gt;"!!!"),"NEW","")))</f>
        <v/>
      </c>
      <c r="G1143" s="11" t="str">
        <f aca="false">IF(OR(E1143="",E1143="!!!"),"",IF(OR(J1143=0,AND(J1143=1,K1143=1),AND(J1143=1,I1143="SBJ"),AND(J1143=1,I1143=0)),"?IN_FOCUS",IF(J1143&lt;=2,"?ACTIVATED",IF(J1143&lt;&gt;"","?FAMILIAR",IF(F1143="NEW",IF(ISNA(VLOOKUP(E1143,#REF!,1,FALSE())),"?TYPE_IDENTIFIABLE","?REFERENTIAL"),"_")))))</f>
        <v/>
      </c>
      <c r="H1143" s="12" t="str">
        <f aca="false">IF(J1143&lt;&gt;1,"",IF(I1143="SBJ","CB","?"))</f>
        <v/>
      </c>
      <c r="I1143" s="13" t="str">
        <f aca="false">IF(OR(E1143="",E1143="!!!",F1143="NEW"),"",INDEX(B$2:B1142,-1+SUMPRODUCT(MAX(ROW(E$2:E1142)*(E1143=E$2:E1142)))))</f>
        <v/>
      </c>
      <c r="J1143" s="14" t="str">
        <f aca="true">IF(OR(E1143="",E1143="!!!",F1143="NEW"),"",COUNTBLANK(OFFSET(A$1,,,SUMPRODUCT(MAX(ROW(E$2:E1143)*(E1143=E$2:E1143)))))-COUNTBLANK(OFFSET(A$1,,,SUMPRODUCT(MAX(ROW(E$1:E1142)*(E1143=E$1:E1142))))))</f>
        <v/>
      </c>
      <c r="K1143" s="14" t="str">
        <f aca="false">IF(OR(E1143="",E1143="!!!",F1143="NEW"),"",INDEX(J$1:J1142,SUMPRODUCT(MAX(ROW(E$1:E1142)*(E1143=E$1:E1142)))))</f>
        <v/>
      </c>
      <c r="L1143" s="15"/>
    </row>
    <row r="1144" customFormat="false" ht="12.75" hidden="false" customHeight="false" outlineLevel="0" collapsed="false">
      <c r="E1144" s="9" t="str">
        <f aca="false">IF(D1144="?OLD","!!!","")</f>
        <v/>
      </c>
      <c r="F1144" s="10" t="str">
        <f aca="false">IF(OR(E1144="",E1144="!!!"),"",IF(NOT(ISNA(VLOOKUP(E1144,E$1:E1143,1,FALSE()))),"OLD",IF(AND(E1144&lt;&gt;"",E1144&lt;&gt;"!!!"),"NEW","")))</f>
        <v/>
      </c>
      <c r="G1144" s="11" t="str">
        <f aca="false">IF(OR(E1144="",E1144="!!!"),"",IF(OR(J1144=0,AND(J1144=1,K1144=1),AND(J1144=1,I1144="SBJ"),AND(J1144=1,I1144=0)),"?IN_FOCUS",IF(J1144&lt;=2,"?ACTIVATED",IF(J1144&lt;&gt;"","?FAMILIAR",IF(F1144="NEW",IF(ISNA(VLOOKUP(E1144,#REF!,1,FALSE())),"?TYPE_IDENTIFIABLE","?REFERENTIAL"),"_")))))</f>
        <v/>
      </c>
      <c r="H1144" s="12" t="str">
        <f aca="false">IF(J1144&lt;&gt;1,"",IF(I1144="SBJ","CB","?"))</f>
        <v/>
      </c>
      <c r="I1144" s="13" t="str">
        <f aca="false">IF(OR(E1144="",E1144="!!!",F1144="NEW"),"",INDEX(B$2:B1143,-1+SUMPRODUCT(MAX(ROW(E$2:E1143)*(E1144=E$2:E1143)))))</f>
        <v/>
      </c>
      <c r="J1144" s="14" t="str">
        <f aca="true">IF(OR(E1144="",E1144="!!!",F1144="NEW"),"",COUNTBLANK(OFFSET(A$1,,,SUMPRODUCT(MAX(ROW(E$2:E1144)*(E1144=E$2:E1144)))))-COUNTBLANK(OFFSET(A$1,,,SUMPRODUCT(MAX(ROW(E$1:E1143)*(E1144=E$1:E1143))))))</f>
        <v/>
      </c>
      <c r="K1144" s="14" t="str">
        <f aca="false">IF(OR(E1144="",E1144="!!!",F1144="NEW"),"",INDEX(J$1:J1143,SUMPRODUCT(MAX(ROW(E$1:E1143)*(E1144=E$1:E1143)))))</f>
        <v/>
      </c>
      <c r="L1144" s="15"/>
    </row>
    <row r="1145" customFormat="false" ht="12.75" hidden="false" customHeight="false" outlineLevel="0" collapsed="false">
      <c r="A1145" s="0" t="s">
        <v>260</v>
      </c>
      <c r="E1145" s="9" t="str">
        <f aca="false">IF(D1145="?OLD","!!!","")</f>
        <v/>
      </c>
      <c r="F1145" s="10" t="str">
        <f aca="false">IF(OR(E1145="",E1145="!!!"),"",IF(NOT(ISNA(VLOOKUP(E1145,E$1:E1144,1,FALSE()))),"OLD",IF(AND(E1145&lt;&gt;"",E1145&lt;&gt;"!!!"),"NEW","")))</f>
        <v/>
      </c>
      <c r="G1145" s="11" t="str">
        <f aca="false">IF(OR(E1145="",E1145="!!!"),"",IF(OR(J1145=0,AND(J1145=1,K1145=1),AND(J1145=1,I1145="SBJ"),AND(J1145=1,I1145=0)),"?IN_FOCUS",IF(J1145&lt;=2,"?ACTIVATED",IF(J1145&lt;&gt;"","?FAMILIAR",IF(F1145="NEW",IF(ISNA(VLOOKUP(E1145,#REF!,1,FALSE())),"?TYPE_IDENTIFIABLE","?REFERENTIAL"),"_")))))</f>
        <v/>
      </c>
      <c r="H1145" s="12" t="str">
        <f aca="false">IF(J1145&lt;&gt;1,"",IF(I1145="SBJ","CB","?"))</f>
        <v/>
      </c>
      <c r="I1145" s="13" t="str">
        <f aca="false">IF(OR(E1145="",E1145="!!!",F1145="NEW"),"",INDEX(B$2:B1144,-1+SUMPRODUCT(MAX(ROW(E$2:E1144)*(E1145=E$2:E1144)))))</f>
        <v/>
      </c>
      <c r="J1145" s="14" t="str">
        <f aca="true">IF(OR(E1145="",E1145="!!!",F1145="NEW"),"",COUNTBLANK(OFFSET(A$1,,,SUMPRODUCT(MAX(ROW(E$2:E1145)*(E1145=E$2:E1145)))))-COUNTBLANK(OFFSET(A$1,,,SUMPRODUCT(MAX(ROW(E$1:E1144)*(E1145=E$1:E1144))))))</f>
        <v/>
      </c>
      <c r="K1145" s="14" t="str">
        <f aca="false">IF(OR(E1145="",E1145="!!!",F1145="NEW"),"",INDEX(J$1:J1144,SUMPRODUCT(MAX(ROW(E$1:E1144)*(E1145=E$1:E1144)))))</f>
        <v/>
      </c>
      <c r="L1145" s="15"/>
    </row>
    <row r="1146" customFormat="false" ht="12.75" hidden="false" customHeight="false" outlineLevel="0" collapsed="false">
      <c r="A1146" s="0" t="s">
        <v>554</v>
      </c>
      <c r="E1146" s="9" t="str">
        <f aca="false">IF(D1146="?OLD","!!!","")</f>
        <v/>
      </c>
      <c r="F1146" s="10" t="str">
        <f aca="false">IF(OR(E1146="",E1146="!!!"),"",IF(NOT(ISNA(VLOOKUP(E1146,E$1:E1145,1,FALSE()))),"OLD",IF(AND(E1146&lt;&gt;"",E1146&lt;&gt;"!!!"),"NEW","")))</f>
        <v/>
      </c>
      <c r="G1146" s="11" t="str">
        <f aca="false">IF(OR(E1146="",E1146="!!!"),"",IF(OR(J1146=0,AND(J1146=1,K1146=1),AND(J1146=1,I1146="SBJ"),AND(J1146=1,I1146=0)),"?IN_FOCUS",IF(J1146&lt;=2,"?ACTIVATED",IF(J1146&lt;&gt;"","?FAMILIAR",IF(F1146="NEW",IF(ISNA(VLOOKUP(E1146,#REF!,1,FALSE())),"?TYPE_IDENTIFIABLE","?REFERENTIAL"),"_")))))</f>
        <v/>
      </c>
      <c r="H1146" s="12" t="str">
        <f aca="false">IF(J1146&lt;&gt;1,"",IF(I1146="SBJ","CB","?"))</f>
        <v/>
      </c>
      <c r="I1146" s="13" t="str">
        <f aca="false">IF(OR(E1146="",E1146="!!!",F1146="NEW"),"",INDEX(B$2:B1145,-1+SUMPRODUCT(MAX(ROW(E$2:E1145)*(E1146=E$2:E1145)))))</f>
        <v/>
      </c>
      <c r="J1146" s="14" t="str">
        <f aca="true">IF(OR(E1146="",E1146="!!!",F1146="NEW"),"",COUNTBLANK(OFFSET(A$1,,,SUMPRODUCT(MAX(ROW(E$2:E1146)*(E1146=E$2:E1146)))))-COUNTBLANK(OFFSET(A$1,,,SUMPRODUCT(MAX(ROW(E$1:E1145)*(E1146=E$1:E1145))))))</f>
        <v/>
      </c>
      <c r="K1146" s="14" t="str">
        <f aca="false">IF(OR(E1146="",E1146="!!!",F1146="NEW"),"",INDEX(J$1:J1145,SUMPRODUCT(MAX(ROW(E$1:E1145)*(E1146=E$1:E1145)))))</f>
        <v/>
      </c>
      <c r="L1146" s="15"/>
    </row>
    <row r="1147" customFormat="false" ht="12.75" hidden="false" customHeight="false" outlineLevel="0" collapsed="false">
      <c r="A1147" s="0" t="s">
        <v>262</v>
      </c>
      <c r="E1147" s="9" t="str">
        <f aca="false">IF(D1147="?OLD","!!!","")</f>
        <v/>
      </c>
      <c r="F1147" s="10" t="str">
        <f aca="false">IF(OR(E1147="",E1147="!!!"),"",IF(NOT(ISNA(VLOOKUP(E1147,E$1:E1146,1,FALSE()))),"OLD",IF(AND(E1147&lt;&gt;"",E1147&lt;&gt;"!!!"),"NEW","")))</f>
        <v/>
      </c>
      <c r="G1147" s="11" t="str">
        <f aca="false">IF(OR(E1147="",E1147="!!!"),"",IF(OR(J1147=0,AND(J1147=1,K1147=1),AND(J1147=1,I1147="SBJ"),AND(J1147=1,I1147=0)),"?IN_FOCUS",IF(J1147&lt;=2,"?ACTIVATED",IF(J1147&lt;&gt;"","?FAMILIAR",IF(F1147="NEW",IF(ISNA(VLOOKUP(E1147,#REF!,1,FALSE())),"?TYPE_IDENTIFIABLE","?REFERENTIAL"),"_")))))</f>
        <v/>
      </c>
      <c r="H1147" s="12" t="str">
        <f aca="false">IF(J1147&lt;&gt;1,"",IF(I1147="SBJ","CB","?"))</f>
        <v/>
      </c>
      <c r="I1147" s="13" t="str">
        <f aca="false">IF(OR(E1147="",E1147="!!!",F1147="NEW"),"",INDEX(B$2:B1146,-1+SUMPRODUCT(MAX(ROW(E$2:E1146)*(E1147=E$2:E1146)))))</f>
        <v/>
      </c>
      <c r="J1147" s="14" t="str">
        <f aca="true">IF(OR(E1147="",E1147="!!!",F1147="NEW"),"",COUNTBLANK(OFFSET(A$1,,,SUMPRODUCT(MAX(ROW(E$2:E1147)*(E1147=E$2:E1147)))))-COUNTBLANK(OFFSET(A$1,,,SUMPRODUCT(MAX(ROW(E$1:E1146)*(E1147=E$1:E1146))))))</f>
        <v/>
      </c>
      <c r="K1147" s="14" t="str">
        <f aca="false">IF(OR(E1147="",E1147="!!!",F1147="NEW"),"",INDEX(J$1:J1146,SUMPRODUCT(MAX(ROW(E$1:E1146)*(E1147=E$1:E1146)))))</f>
        <v/>
      </c>
      <c r="L1147" s="15"/>
    </row>
    <row r="1148" customFormat="false" ht="12.75" hidden="false" customHeight="false" outlineLevel="0" collapsed="false">
      <c r="A1148" s="0" t="s">
        <v>122</v>
      </c>
      <c r="B1148" s="0" t="s">
        <v>14</v>
      </c>
      <c r="C1148" s="0" t="s">
        <v>38</v>
      </c>
      <c r="D1148" s="0" t="s">
        <v>29</v>
      </c>
      <c r="E1148" s="9" t="str">
        <f aca="false">IF(D1148="?OLD","!!!","")</f>
        <v>!!!</v>
      </c>
      <c r="F1148" s="10" t="str">
        <f aca="false">IF(OR(E1148="",E1148="!!!"),"",IF(NOT(ISNA(VLOOKUP(E1148,E$1:E1147,1,FALSE()))),"OLD",IF(AND(E1148&lt;&gt;"",E1148&lt;&gt;"!!!"),"NEW","")))</f>
        <v/>
      </c>
      <c r="G1148" s="11" t="str">
        <f aca="false">IF(OR(E1148="",E1148="!!!"),"",IF(OR(J1148=0,AND(J1148=1,K1148=1),AND(J1148=1,I1148="SBJ"),AND(J1148=1,I1148=0)),"?IN_FOCUS",IF(J1148&lt;=2,"?ACTIVATED",IF(J1148&lt;&gt;"","?FAMILIAR",IF(F1148="NEW",IF(ISNA(VLOOKUP(E1148,#REF!,1,FALSE())),"?TYPE_IDENTIFIABLE","?REFERENTIAL"),"_")))))</f>
        <v/>
      </c>
      <c r="H1148" s="12" t="str">
        <f aca="false">IF(J1148&lt;&gt;1,"",IF(I1148="SBJ","CB","?"))</f>
        <v/>
      </c>
      <c r="I1148" s="13" t="str">
        <f aca="false">IF(OR(E1148="",E1148="!!!",F1148="NEW"),"",INDEX(B$2:B1147,-1+SUMPRODUCT(MAX(ROW(E$2:E1147)*(E1148=E$2:E1147)))))</f>
        <v/>
      </c>
      <c r="J1148" s="14" t="str">
        <f aca="true">IF(OR(E1148="",E1148="!!!",F1148="NEW"),"",COUNTBLANK(OFFSET(A$1,,,SUMPRODUCT(MAX(ROW(E$2:E1148)*(E1148=E$2:E1148)))))-COUNTBLANK(OFFSET(A$1,,,SUMPRODUCT(MAX(ROW(E$1:E1147)*(E1148=E$1:E1147))))))</f>
        <v/>
      </c>
      <c r="K1148" s="14" t="str">
        <f aca="false">IF(OR(E1148="",E1148="!!!",F1148="NEW"),"",INDEX(J$1:J1147,SUMPRODUCT(MAX(ROW(E$1:E1147)*(E1148=E$1:E1147)))))</f>
        <v/>
      </c>
      <c r="L1148" s="15"/>
    </row>
    <row r="1149" customFormat="false" ht="12.75" hidden="false" customHeight="false" outlineLevel="0" collapsed="false">
      <c r="A1149" s="0" t="s">
        <v>549</v>
      </c>
      <c r="E1149" s="9" t="str">
        <f aca="false">IF(D1149="?OLD","!!!","")</f>
        <v/>
      </c>
      <c r="F1149" s="10" t="str">
        <f aca="false">IF(OR(E1149="",E1149="!!!"),"",IF(NOT(ISNA(VLOOKUP(E1149,E$1:E1148,1,FALSE()))),"OLD",IF(AND(E1149&lt;&gt;"",E1149&lt;&gt;"!!!"),"NEW","")))</f>
        <v/>
      </c>
      <c r="G1149" s="11" t="str">
        <f aca="false">IF(OR(E1149="",E1149="!!!"),"",IF(OR(J1149=0,AND(J1149=1,K1149=1),AND(J1149=1,I1149="SBJ"),AND(J1149=1,I1149=0)),"?IN_FOCUS",IF(J1149&lt;=2,"?ACTIVATED",IF(J1149&lt;&gt;"","?FAMILIAR",IF(F1149="NEW",IF(ISNA(VLOOKUP(E1149,#REF!,1,FALSE())),"?TYPE_IDENTIFIABLE","?REFERENTIAL"),"_")))))</f>
        <v/>
      </c>
      <c r="H1149" s="12" t="str">
        <f aca="false">IF(J1149&lt;&gt;1,"",IF(I1149="SBJ","CB","?"))</f>
        <v/>
      </c>
      <c r="I1149" s="13" t="str">
        <f aca="false">IF(OR(E1149="",E1149="!!!",F1149="NEW"),"",INDEX(B$2:B1148,-1+SUMPRODUCT(MAX(ROW(E$2:E1148)*(E1149=E$2:E1148)))))</f>
        <v/>
      </c>
      <c r="J1149" s="14" t="str">
        <f aca="true">IF(OR(E1149="",E1149="!!!",F1149="NEW"),"",COUNTBLANK(OFFSET(A$1,,,SUMPRODUCT(MAX(ROW(E$2:E1149)*(E1149=E$2:E1149)))))-COUNTBLANK(OFFSET(A$1,,,SUMPRODUCT(MAX(ROW(E$1:E1148)*(E1149=E$1:E1148))))))</f>
        <v/>
      </c>
      <c r="K1149" s="14" t="str">
        <f aca="false">IF(OR(E1149="",E1149="!!!",F1149="NEW"),"",INDEX(J$1:J1148,SUMPRODUCT(MAX(ROW(E$1:E1148)*(E1149=E$1:E1148)))))</f>
        <v/>
      </c>
      <c r="L1149" s="15"/>
    </row>
    <row r="1150" customFormat="false" ht="12.75" hidden="false" customHeight="false" outlineLevel="0" collapsed="false">
      <c r="A1150" s="0" t="s">
        <v>240</v>
      </c>
      <c r="E1150" s="9" t="str">
        <f aca="false">IF(D1150="?OLD","!!!","")</f>
        <v/>
      </c>
      <c r="F1150" s="10" t="str">
        <f aca="false">IF(OR(E1150="",E1150="!!!"),"",IF(NOT(ISNA(VLOOKUP(E1150,E$1:E1149,1,FALSE()))),"OLD",IF(AND(E1150&lt;&gt;"",E1150&lt;&gt;"!!!"),"NEW","")))</f>
        <v/>
      </c>
      <c r="G1150" s="11" t="str">
        <f aca="false">IF(OR(E1150="",E1150="!!!"),"",IF(OR(J1150=0,AND(J1150=1,K1150=1),AND(J1150=1,I1150="SBJ"),AND(J1150=1,I1150=0)),"?IN_FOCUS",IF(J1150&lt;=2,"?ACTIVATED",IF(J1150&lt;&gt;"","?FAMILIAR",IF(F1150="NEW",IF(ISNA(VLOOKUP(E1150,#REF!,1,FALSE())),"?TYPE_IDENTIFIABLE","?REFERENTIAL"),"_")))))</f>
        <v/>
      </c>
      <c r="H1150" s="12" t="str">
        <f aca="false">IF(J1150&lt;&gt;1,"",IF(I1150="SBJ","CB","?"))</f>
        <v/>
      </c>
      <c r="I1150" s="13" t="str">
        <f aca="false">IF(OR(E1150="",E1150="!!!",F1150="NEW"),"",INDEX(B$2:B1149,-1+SUMPRODUCT(MAX(ROW(E$2:E1149)*(E1150=E$2:E1149)))))</f>
        <v/>
      </c>
      <c r="J1150" s="14" t="str">
        <f aca="true">IF(OR(E1150="",E1150="!!!",F1150="NEW"),"",COUNTBLANK(OFFSET(A$1,,,SUMPRODUCT(MAX(ROW(E$2:E1150)*(E1150=E$2:E1150)))))-COUNTBLANK(OFFSET(A$1,,,SUMPRODUCT(MAX(ROW(E$1:E1149)*(E1150=E$1:E1149))))))</f>
        <v/>
      </c>
      <c r="K1150" s="14" t="str">
        <f aca="false">IF(OR(E1150="",E1150="!!!",F1150="NEW"),"",INDEX(J$1:J1149,SUMPRODUCT(MAX(ROW(E$1:E1149)*(E1150=E$1:E1149)))))</f>
        <v/>
      </c>
      <c r="L1150" s="15"/>
    </row>
    <row r="1151" customFormat="false" ht="12.75" hidden="false" customHeight="false" outlineLevel="0" collapsed="false">
      <c r="A1151" s="0" t="s">
        <v>399</v>
      </c>
      <c r="E1151" s="9" t="str">
        <f aca="false">IF(D1151="?OLD","!!!","")</f>
        <v/>
      </c>
      <c r="F1151" s="10" t="str">
        <f aca="false">IF(OR(E1151="",E1151="!!!"),"",IF(NOT(ISNA(VLOOKUP(E1151,E$1:E1150,1,FALSE()))),"OLD",IF(AND(E1151&lt;&gt;"",E1151&lt;&gt;"!!!"),"NEW","")))</f>
        <v/>
      </c>
      <c r="G1151" s="11" t="str">
        <f aca="false">IF(OR(E1151="",E1151="!!!"),"",IF(OR(J1151=0,AND(J1151=1,K1151=1),AND(J1151=1,I1151="SBJ"),AND(J1151=1,I1151=0)),"?IN_FOCUS",IF(J1151&lt;=2,"?ACTIVATED",IF(J1151&lt;&gt;"","?FAMILIAR",IF(F1151="NEW",IF(ISNA(VLOOKUP(E1151,#REF!,1,FALSE())),"?TYPE_IDENTIFIABLE","?REFERENTIAL"),"_")))))</f>
        <v/>
      </c>
      <c r="H1151" s="12" t="str">
        <f aca="false">IF(J1151&lt;&gt;1,"",IF(I1151="SBJ","CB","?"))</f>
        <v/>
      </c>
      <c r="I1151" s="13" t="str">
        <f aca="false">IF(OR(E1151="",E1151="!!!",F1151="NEW"),"",INDEX(B$2:B1150,-1+SUMPRODUCT(MAX(ROW(E$2:E1150)*(E1151=E$2:E1150)))))</f>
        <v/>
      </c>
      <c r="J1151" s="14" t="str">
        <f aca="true">IF(OR(E1151="",E1151="!!!",F1151="NEW"),"",COUNTBLANK(OFFSET(A$1,,,SUMPRODUCT(MAX(ROW(E$2:E1151)*(E1151=E$2:E1151)))))-COUNTBLANK(OFFSET(A$1,,,SUMPRODUCT(MAX(ROW(E$1:E1150)*(E1151=E$1:E1150))))))</f>
        <v/>
      </c>
      <c r="K1151" s="14" t="str">
        <f aca="false">IF(OR(E1151="",E1151="!!!",F1151="NEW"),"",INDEX(J$1:J1150,SUMPRODUCT(MAX(ROW(E$1:E1150)*(E1151=E$1:E1150)))))</f>
        <v/>
      </c>
      <c r="L1151" s="15"/>
    </row>
    <row r="1152" customFormat="false" ht="12.75" hidden="false" customHeight="false" outlineLevel="0" collapsed="false">
      <c r="A1152" s="0" t="s">
        <v>534</v>
      </c>
      <c r="B1152" s="0" t="s">
        <v>62</v>
      </c>
      <c r="C1152" s="0" t="s">
        <v>162</v>
      </c>
      <c r="E1152" s="9" t="str">
        <f aca="false">IF(D1152="?OLD","!!!","")</f>
        <v/>
      </c>
      <c r="F1152" s="10" t="str">
        <f aca="false">IF(OR(E1152="",E1152="!!!"),"",IF(NOT(ISNA(VLOOKUP(E1152,E$1:E1151,1,FALSE()))),"OLD",IF(AND(E1152&lt;&gt;"",E1152&lt;&gt;"!!!"),"NEW","")))</f>
        <v/>
      </c>
      <c r="G1152" s="11" t="str">
        <f aca="false">IF(OR(E1152="",E1152="!!!"),"",IF(OR(J1152=0,AND(J1152=1,K1152=1),AND(J1152=1,I1152="SBJ"),AND(J1152=1,I1152=0)),"?IN_FOCUS",IF(J1152&lt;=2,"?ACTIVATED",IF(J1152&lt;&gt;"","?FAMILIAR",IF(F1152="NEW",IF(ISNA(VLOOKUP(E1152,#REF!,1,FALSE())),"?TYPE_IDENTIFIABLE","?REFERENTIAL"),"_")))))</f>
        <v/>
      </c>
      <c r="H1152" s="12" t="str">
        <f aca="false">IF(J1152&lt;&gt;1,"",IF(I1152="SBJ","CB","?"))</f>
        <v/>
      </c>
      <c r="I1152" s="13" t="str">
        <f aca="false">IF(OR(E1152="",E1152="!!!",F1152="NEW"),"",INDEX(B$2:B1151,-1+SUMPRODUCT(MAX(ROW(E$2:E1151)*(E1152=E$2:E1151)))))</f>
        <v/>
      </c>
      <c r="J1152" s="14" t="str">
        <f aca="true">IF(OR(E1152="",E1152="!!!",F1152="NEW"),"",COUNTBLANK(OFFSET(A$1,,,SUMPRODUCT(MAX(ROW(E$2:E1152)*(E1152=E$2:E1152)))))-COUNTBLANK(OFFSET(A$1,,,SUMPRODUCT(MAX(ROW(E$1:E1151)*(E1152=E$1:E1151))))))</f>
        <v/>
      </c>
      <c r="K1152" s="14" t="str">
        <f aca="false">IF(OR(E1152="",E1152="!!!",F1152="NEW"),"",INDEX(J$1:J1151,SUMPRODUCT(MAX(ROW(E$1:E1151)*(E1152=E$1:E1151)))))</f>
        <v/>
      </c>
      <c r="L1152" s="15"/>
    </row>
    <row r="1153" customFormat="false" ht="12.75" hidden="false" customHeight="false" outlineLevel="0" collapsed="false">
      <c r="A1153" s="0" t="s">
        <v>550</v>
      </c>
      <c r="B1153" s="0" t="s">
        <v>47</v>
      </c>
      <c r="C1153" s="0" t="s">
        <v>38</v>
      </c>
      <c r="D1153" s="0" t="s">
        <v>29</v>
      </c>
      <c r="E1153" s="9" t="str">
        <f aca="false">IF(D1153="?OLD","!!!","")</f>
        <v>!!!</v>
      </c>
      <c r="F1153" s="10" t="str">
        <f aca="false">IF(OR(E1153="",E1153="!!!"),"",IF(NOT(ISNA(VLOOKUP(E1153,E$1:E1152,1,FALSE()))),"OLD",IF(AND(E1153&lt;&gt;"",E1153&lt;&gt;"!!!"),"NEW","")))</f>
        <v/>
      </c>
      <c r="G1153" s="11" t="str">
        <f aca="false">IF(OR(E1153="",E1153="!!!"),"",IF(OR(J1153=0,AND(J1153=1,K1153=1),AND(J1153=1,I1153="SBJ"),AND(J1153=1,I1153=0)),"?IN_FOCUS",IF(J1153&lt;=2,"?ACTIVATED",IF(J1153&lt;&gt;"","?FAMILIAR",IF(F1153="NEW",IF(ISNA(VLOOKUP(E1153,#REF!,1,FALSE())),"?TYPE_IDENTIFIABLE","?REFERENTIAL"),"_")))))</f>
        <v/>
      </c>
      <c r="H1153" s="12" t="str">
        <f aca="false">IF(J1153&lt;&gt;1,"",IF(I1153="SBJ","CB","?"))</f>
        <v/>
      </c>
      <c r="I1153" s="13" t="str">
        <f aca="false">IF(OR(E1153="",E1153="!!!",F1153="NEW"),"",INDEX(B$2:B1152,-1+SUMPRODUCT(MAX(ROW(E$2:E1152)*(E1153=E$2:E1152)))))</f>
        <v/>
      </c>
      <c r="J1153" s="14" t="str">
        <f aca="true">IF(OR(E1153="",E1153="!!!",F1153="NEW"),"",COUNTBLANK(OFFSET(A$1,,,SUMPRODUCT(MAX(ROW(E$2:E1153)*(E1153=E$2:E1153)))))-COUNTBLANK(OFFSET(A$1,,,SUMPRODUCT(MAX(ROW(E$1:E1152)*(E1153=E$1:E1152))))))</f>
        <v/>
      </c>
      <c r="K1153" s="14" t="str">
        <f aca="false">IF(OR(E1153="",E1153="!!!",F1153="NEW"),"",INDEX(J$1:J1152,SUMPRODUCT(MAX(ROW(E$1:E1152)*(E1153=E$1:E1152)))))</f>
        <v/>
      </c>
      <c r="L1153" s="15"/>
    </row>
    <row r="1154" customFormat="false" ht="12.75" hidden="false" customHeight="false" outlineLevel="0" collapsed="false">
      <c r="A1154" s="0" t="s">
        <v>343</v>
      </c>
      <c r="E1154" s="9" t="str">
        <f aca="false">IF(D1154="?OLD","!!!","")</f>
        <v/>
      </c>
      <c r="F1154" s="10" t="str">
        <f aca="false">IF(OR(E1154="",E1154="!!!"),"",IF(NOT(ISNA(VLOOKUP(E1154,E$1:E1153,1,FALSE()))),"OLD",IF(AND(E1154&lt;&gt;"",E1154&lt;&gt;"!!!"),"NEW","")))</f>
        <v/>
      </c>
      <c r="G1154" s="11" t="str">
        <f aca="false">IF(OR(E1154="",E1154="!!!"),"",IF(OR(J1154=0,AND(J1154=1,K1154=1),AND(J1154=1,I1154="SBJ"),AND(J1154=1,I1154=0)),"?IN_FOCUS",IF(J1154&lt;=2,"?ACTIVATED",IF(J1154&lt;&gt;"","?FAMILIAR",IF(F1154="NEW",IF(ISNA(VLOOKUP(E1154,#REF!,1,FALSE())),"?TYPE_IDENTIFIABLE","?REFERENTIAL"),"_")))))</f>
        <v/>
      </c>
      <c r="H1154" s="12" t="str">
        <f aca="false">IF(J1154&lt;&gt;1,"",IF(I1154="SBJ","CB","?"))</f>
        <v/>
      </c>
      <c r="I1154" s="13" t="str">
        <f aca="false">IF(OR(E1154="",E1154="!!!",F1154="NEW"),"",INDEX(B$2:B1153,-1+SUMPRODUCT(MAX(ROW(E$2:E1153)*(E1154=E$2:E1153)))))</f>
        <v/>
      </c>
      <c r="J1154" s="14" t="str">
        <f aca="true">IF(OR(E1154="",E1154="!!!",F1154="NEW"),"",COUNTBLANK(OFFSET(A$1,,,SUMPRODUCT(MAX(ROW(E$2:E1154)*(E1154=E$2:E1154)))))-COUNTBLANK(OFFSET(A$1,,,SUMPRODUCT(MAX(ROW(E$1:E1153)*(E1154=E$1:E1153))))))</f>
        <v/>
      </c>
      <c r="K1154" s="14" t="str">
        <f aca="false">IF(OR(E1154="",E1154="!!!",F1154="NEW"),"",INDEX(J$1:J1153,SUMPRODUCT(MAX(ROW(E$1:E1153)*(E1154=E$1:E1153)))))</f>
        <v/>
      </c>
      <c r="L1154" s="15"/>
    </row>
    <row r="1155" customFormat="false" ht="12.75" hidden="false" customHeight="false" outlineLevel="0" collapsed="false">
      <c r="A1155" s="0" t="s">
        <v>73</v>
      </c>
      <c r="E1155" s="9" t="str">
        <f aca="false">IF(D1155="?OLD","!!!","")</f>
        <v/>
      </c>
      <c r="F1155" s="10" t="str">
        <f aca="false">IF(OR(E1155="",E1155="!!!"),"",IF(NOT(ISNA(VLOOKUP(E1155,E$1:E1154,1,FALSE()))),"OLD",IF(AND(E1155&lt;&gt;"",E1155&lt;&gt;"!!!"),"NEW","")))</f>
        <v/>
      </c>
      <c r="G1155" s="11" t="str">
        <f aca="false">IF(OR(E1155="",E1155="!!!"),"",IF(OR(J1155=0,AND(J1155=1,K1155=1),AND(J1155=1,I1155="SBJ"),AND(J1155=1,I1155=0)),"?IN_FOCUS",IF(J1155&lt;=2,"?ACTIVATED",IF(J1155&lt;&gt;"","?FAMILIAR",IF(F1155="NEW",IF(ISNA(VLOOKUP(E1155,#REF!,1,FALSE())),"?TYPE_IDENTIFIABLE","?REFERENTIAL"),"_")))))</f>
        <v/>
      </c>
      <c r="H1155" s="12" t="str">
        <f aca="false">IF(J1155&lt;&gt;1,"",IF(I1155="SBJ","CB","?"))</f>
        <v/>
      </c>
      <c r="I1155" s="13" t="str">
        <f aca="false">IF(OR(E1155="",E1155="!!!",F1155="NEW"),"",INDEX(B$2:B1154,-1+SUMPRODUCT(MAX(ROW(E$2:E1154)*(E1155=E$2:E1154)))))</f>
        <v/>
      </c>
      <c r="J1155" s="14" t="str">
        <f aca="true">IF(OR(E1155="",E1155="!!!",F1155="NEW"),"",COUNTBLANK(OFFSET(A$1,,,SUMPRODUCT(MAX(ROW(E$2:E1155)*(E1155=E$2:E1155)))))-COUNTBLANK(OFFSET(A$1,,,SUMPRODUCT(MAX(ROW(E$1:E1154)*(E1155=E$1:E1154))))))</f>
        <v/>
      </c>
      <c r="K1155" s="14" t="str">
        <f aca="false">IF(OR(E1155="",E1155="!!!",F1155="NEW"),"",INDEX(J$1:J1154,SUMPRODUCT(MAX(ROW(E$1:E1154)*(E1155=E$1:E1154)))))</f>
        <v/>
      </c>
      <c r="L1155" s="15"/>
    </row>
    <row r="1156" customFormat="false" ht="12.75" hidden="false" customHeight="false" outlineLevel="0" collapsed="false">
      <c r="A1156" s="0" t="s">
        <v>262</v>
      </c>
      <c r="E1156" s="9" t="str">
        <f aca="false">IF(D1156="?OLD","!!!","")</f>
        <v/>
      </c>
      <c r="F1156" s="10" t="str">
        <f aca="false">IF(OR(E1156="",E1156="!!!"),"",IF(NOT(ISNA(VLOOKUP(E1156,E$1:E1155,1,FALSE()))),"OLD",IF(AND(E1156&lt;&gt;"",E1156&lt;&gt;"!!!"),"NEW","")))</f>
        <v/>
      </c>
      <c r="G1156" s="11" t="str">
        <f aca="false">IF(OR(E1156="",E1156="!!!"),"",IF(OR(J1156=0,AND(J1156=1,K1156=1),AND(J1156=1,I1156="SBJ"),AND(J1156=1,I1156=0)),"?IN_FOCUS",IF(J1156&lt;=2,"?ACTIVATED",IF(J1156&lt;&gt;"","?FAMILIAR",IF(F1156="NEW",IF(ISNA(VLOOKUP(E1156,#REF!,1,FALSE())),"?TYPE_IDENTIFIABLE","?REFERENTIAL"),"_")))))</f>
        <v/>
      </c>
      <c r="H1156" s="12" t="str">
        <f aca="false">IF(J1156&lt;&gt;1,"",IF(I1156="SBJ","CB","?"))</f>
        <v/>
      </c>
      <c r="I1156" s="13" t="str">
        <f aca="false">IF(OR(E1156="",E1156="!!!",F1156="NEW"),"",INDEX(B$2:B1155,-1+SUMPRODUCT(MAX(ROW(E$2:E1155)*(E1156=E$2:E1155)))))</f>
        <v/>
      </c>
      <c r="J1156" s="14" t="str">
        <f aca="true">IF(OR(E1156="",E1156="!!!",F1156="NEW"),"",COUNTBLANK(OFFSET(A$1,,,SUMPRODUCT(MAX(ROW(E$2:E1156)*(E1156=E$2:E1156)))))-COUNTBLANK(OFFSET(A$1,,,SUMPRODUCT(MAX(ROW(E$1:E1155)*(E1156=E$1:E1155))))))</f>
        <v/>
      </c>
      <c r="K1156" s="14" t="str">
        <f aca="false">IF(OR(E1156="",E1156="!!!",F1156="NEW"),"",INDEX(J$1:J1155,SUMPRODUCT(MAX(ROW(E$1:E1155)*(E1156=E$1:E1155)))))</f>
        <v/>
      </c>
      <c r="L1156" s="15"/>
    </row>
    <row r="1157" customFormat="false" ht="12.75" hidden="false" customHeight="false" outlineLevel="0" collapsed="false">
      <c r="E1157" s="9" t="str">
        <f aca="false">IF(D1157="?OLD","!!!","")</f>
        <v/>
      </c>
      <c r="F1157" s="10" t="str">
        <f aca="false">IF(OR(E1157="",E1157="!!!"),"",IF(NOT(ISNA(VLOOKUP(E1157,E$1:E1156,1,FALSE()))),"OLD",IF(AND(E1157&lt;&gt;"",E1157&lt;&gt;"!!!"),"NEW","")))</f>
        <v/>
      </c>
      <c r="G1157" s="11" t="str">
        <f aca="false">IF(OR(E1157="",E1157="!!!"),"",IF(OR(J1157=0,AND(J1157=1,K1157=1),AND(J1157=1,I1157="SBJ"),AND(J1157=1,I1157=0)),"?IN_FOCUS",IF(J1157&lt;=2,"?ACTIVATED",IF(J1157&lt;&gt;"","?FAMILIAR",IF(F1157="NEW",IF(ISNA(VLOOKUP(E1157,#REF!,1,FALSE())),"?TYPE_IDENTIFIABLE","?REFERENTIAL"),"_")))))</f>
        <v/>
      </c>
      <c r="H1157" s="12" t="str">
        <f aca="false">IF(J1157&lt;&gt;1,"",IF(I1157="SBJ","CB","?"))</f>
        <v/>
      </c>
      <c r="I1157" s="13" t="str">
        <f aca="false">IF(OR(E1157="",E1157="!!!",F1157="NEW"),"",INDEX(B$2:B1156,-1+SUMPRODUCT(MAX(ROW(E$2:E1156)*(E1157=E$2:E1156)))))</f>
        <v/>
      </c>
      <c r="J1157" s="14" t="str">
        <f aca="true">IF(OR(E1157="",E1157="!!!",F1157="NEW"),"",COUNTBLANK(OFFSET(A$1,,,SUMPRODUCT(MAX(ROW(E$2:E1157)*(E1157=E$2:E1157)))))-COUNTBLANK(OFFSET(A$1,,,SUMPRODUCT(MAX(ROW(E$1:E1156)*(E1157=E$1:E1156))))))</f>
        <v/>
      </c>
      <c r="K1157" s="14" t="str">
        <f aca="false">IF(OR(E1157="",E1157="!!!",F1157="NEW"),"",INDEX(J$1:J1156,SUMPRODUCT(MAX(ROW(E$1:E1156)*(E1157=E$1:E1156)))))</f>
        <v/>
      </c>
      <c r="L1157" s="15"/>
    </row>
    <row r="1158" customFormat="false" ht="12.75" hidden="false" customHeight="false" outlineLevel="0" collapsed="false">
      <c r="A1158" s="0" t="s">
        <v>555</v>
      </c>
      <c r="E1158" s="9" t="str">
        <f aca="false">IF(D1158="?OLD","!!!","")</f>
        <v/>
      </c>
      <c r="F1158" s="10" t="str">
        <f aca="false">IF(OR(E1158="",E1158="!!!"),"",IF(NOT(ISNA(VLOOKUP(E1158,E$1:E1157,1,FALSE()))),"OLD",IF(AND(E1158&lt;&gt;"",E1158&lt;&gt;"!!!"),"NEW","")))</f>
        <v/>
      </c>
      <c r="G1158" s="11" t="str">
        <f aca="false">IF(OR(E1158="",E1158="!!!"),"",IF(OR(J1158=0,AND(J1158=1,K1158=1),AND(J1158=1,I1158="SBJ"),AND(J1158=1,I1158=0)),"?IN_FOCUS",IF(J1158&lt;=2,"?ACTIVATED",IF(J1158&lt;&gt;"","?FAMILIAR",IF(F1158="NEW",IF(ISNA(VLOOKUP(E1158,#REF!,1,FALSE())),"?TYPE_IDENTIFIABLE","?REFERENTIAL"),"_")))))</f>
        <v/>
      </c>
      <c r="H1158" s="12" t="str">
        <f aca="false">IF(J1158&lt;&gt;1,"",IF(I1158="SBJ","CB","?"))</f>
        <v/>
      </c>
      <c r="I1158" s="13" t="str">
        <f aca="false">IF(OR(E1158="",E1158="!!!",F1158="NEW"),"",INDEX(B$2:B1157,-1+SUMPRODUCT(MAX(ROW(E$2:E1157)*(E1158=E$2:E1157)))))</f>
        <v/>
      </c>
      <c r="J1158" s="14" t="str">
        <f aca="true">IF(OR(E1158="",E1158="!!!",F1158="NEW"),"",COUNTBLANK(OFFSET(A$1,,,SUMPRODUCT(MAX(ROW(E$2:E1158)*(E1158=E$2:E1158)))))-COUNTBLANK(OFFSET(A$1,,,SUMPRODUCT(MAX(ROW(E$1:E1157)*(E1158=E$1:E1157))))))</f>
        <v/>
      </c>
      <c r="K1158" s="14" t="str">
        <f aca="false">IF(OR(E1158="",E1158="!!!",F1158="NEW"),"",INDEX(J$1:J1157,SUMPRODUCT(MAX(ROW(E$1:E1157)*(E1158=E$1:E1157)))))</f>
        <v/>
      </c>
      <c r="L1158" s="15"/>
    </row>
    <row r="1159" customFormat="false" ht="12.75" hidden="false" customHeight="false" outlineLevel="0" collapsed="false">
      <c r="A1159" s="0" t="s">
        <v>122</v>
      </c>
      <c r="B1159" s="0" t="s">
        <v>14</v>
      </c>
      <c r="C1159" s="0" t="s">
        <v>38</v>
      </c>
      <c r="D1159" s="0" t="s">
        <v>29</v>
      </c>
      <c r="E1159" s="9" t="str">
        <f aca="false">IF(D1159="?OLD","!!!","")</f>
        <v>!!!</v>
      </c>
      <c r="F1159" s="10" t="str">
        <f aca="false">IF(OR(E1159="",E1159="!!!"),"",IF(NOT(ISNA(VLOOKUP(E1159,E$1:E1158,1,FALSE()))),"OLD",IF(AND(E1159&lt;&gt;"",E1159&lt;&gt;"!!!"),"NEW","")))</f>
        <v/>
      </c>
      <c r="G1159" s="11" t="str">
        <f aca="false">IF(OR(E1159="",E1159="!!!"),"",IF(OR(J1159=0,AND(J1159=1,K1159=1),AND(J1159=1,I1159="SBJ"),AND(J1159=1,I1159=0)),"?IN_FOCUS",IF(J1159&lt;=2,"?ACTIVATED",IF(J1159&lt;&gt;"","?FAMILIAR",IF(F1159="NEW",IF(ISNA(VLOOKUP(E1159,#REF!,1,FALSE())),"?TYPE_IDENTIFIABLE","?REFERENTIAL"),"_")))))</f>
        <v/>
      </c>
      <c r="H1159" s="12" t="str">
        <f aca="false">IF(J1159&lt;&gt;1,"",IF(I1159="SBJ","CB","?"))</f>
        <v/>
      </c>
      <c r="I1159" s="13" t="str">
        <f aca="false">IF(OR(E1159="",E1159="!!!",F1159="NEW"),"",INDEX(B$2:B1158,-1+SUMPRODUCT(MAX(ROW(E$2:E1158)*(E1159=E$2:E1158)))))</f>
        <v/>
      </c>
      <c r="J1159" s="14" t="str">
        <f aca="true">IF(OR(E1159="",E1159="!!!",F1159="NEW"),"",COUNTBLANK(OFFSET(A$1,,,SUMPRODUCT(MAX(ROW(E$2:E1159)*(E1159=E$2:E1159)))))-COUNTBLANK(OFFSET(A$1,,,SUMPRODUCT(MAX(ROW(E$1:E1158)*(E1159=E$1:E1158))))))</f>
        <v/>
      </c>
      <c r="K1159" s="14" t="str">
        <f aca="false">IF(OR(E1159="",E1159="!!!",F1159="NEW"),"",INDEX(J$1:J1158,SUMPRODUCT(MAX(ROW(E$1:E1158)*(E1159=E$1:E1158)))))</f>
        <v/>
      </c>
      <c r="L1159" s="15"/>
    </row>
    <row r="1160" customFormat="false" ht="12.75" hidden="false" customHeight="false" outlineLevel="0" collapsed="false">
      <c r="A1160" s="0" t="s">
        <v>276</v>
      </c>
      <c r="E1160" s="9" t="str">
        <f aca="false">IF(D1160="?OLD","!!!","")</f>
        <v/>
      </c>
      <c r="F1160" s="10" t="str">
        <f aca="false">IF(OR(E1160="",E1160="!!!"),"",IF(NOT(ISNA(VLOOKUP(E1160,E$1:E1159,1,FALSE()))),"OLD",IF(AND(E1160&lt;&gt;"",E1160&lt;&gt;"!!!"),"NEW","")))</f>
        <v/>
      </c>
      <c r="G1160" s="11" t="str">
        <f aca="false">IF(OR(E1160="",E1160="!!!"),"",IF(OR(J1160=0,AND(J1160=1,K1160=1),AND(J1160=1,I1160="SBJ"),AND(J1160=1,I1160=0)),"?IN_FOCUS",IF(J1160&lt;=2,"?ACTIVATED",IF(J1160&lt;&gt;"","?FAMILIAR",IF(F1160="NEW",IF(ISNA(VLOOKUP(E1160,#REF!,1,FALSE())),"?TYPE_IDENTIFIABLE","?REFERENTIAL"),"_")))))</f>
        <v/>
      </c>
      <c r="H1160" s="12" t="str">
        <f aca="false">IF(J1160&lt;&gt;1,"",IF(I1160="SBJ","CB","?"))</f>
        <v/>
      </c>
      <c r="I1160" s="13" t="str">
        <f aca="false">IF(OR(E1160="",E1160="!!!",F1160="NEW"),"",INDEX(B$2:B1159,-1+SUMPRODUCT(MAX(ROW(E$2:E1159)*(E1160=E$2:E1159)))))</f>
        <v/>
      </c>
      <c r="J1160" s="14" t="str">
        <f aca="true">IF(OR(E1160="",E1160="!!!",F1160="NEW"),"",COUNTBLANK(OFFSET(A$1,,,SUMPRODUCT(MAX(ROW(E$2:E1160)*(E1160=E$2:E1160)))))-COUNTBLANK(OFFSET(A$1,,,SUMPRODUCT(MAX(ROW(E$1:E1159)*(E1160=E$1:E1159))))))</f>
        <v/>
      </c>
      <c r="K1160" s="14" t="str">
        <f aca="false">IF(OR(E1160="",E1160="!!!",F1160="NEW"),"",INDEX(J$1:J1159,SUMPRODUCT(MAX(ROW(E$1:E1159)*(E1160=E$1:E1159)))))</f>
        <v/>
      </c>
      <c r="L1160" s="15"/>
    </row>
    <row r="1161" customFormat="false" ht="12.75" hidden="false" customHeight="false" outlineLevel="0" collapsed="false">
      <c r="A1161" s="0" t="s">
        <v>154</v>
      </c>
      <c r="E1161" s="9" t="str">
        <f aca="false">IF(D1161="?OLD","!!!","")</f>
        <v/>
      </c>
      <c r="F1161" s="10" t="str">
        <f aca="false">IF(OR(E1161="",E1161="!!!"),"",IF(NOT(ISNA(VLOOKUP(E1161,E$1:E1160,1,FALSE()))),"OLD",IF(AND(E1161&lt;&gt;"",E1161&lt;&gt;"!!!"),"NEW","")))</f>
        <v/>
      </c>
      <c r="G1161" s="11" t="str">
        <f aca="false">IF(OR(E1161="",E1161="!!!"),"",IF(OR(J1161=0,AND(J1161=1,K1161=1),AND(J1161=1,I1161="SBJ"),AND(J1161=1,I1161=0)),"?IN_FOCUS",IF(J1161&lt;=2,"?ACTIVATED",IF(J1161&lt;&gt;"","?FAMILIAR",IF(F1161="NEW",IF(ISNA(VLOOKUP(E1161,#REF!,1,FALSE())),"?TYPE_IDENTIFIABLE","?REFERENTIAL"),"_")))))</f>
        <v/>
      </c>
      <c r="H1161" s="12" t="str">
        <f aca="false">IF(J1161&lt;&gt;1,"",IF(I1161="SBJ","CB","?"))</f>
        <v/>
      </c>
      <c r="I1161" s="13" t="str">
        <f aca="false">IF(OR(E1161="",E1161="!!!",F1161="NEW"),"",INDEX(B$2:B1160,-1+SUMPRODUCT(MAX(ROW(E$2:E1160)*(E1161=E$2:E1160)))))</f>
        <v/>
      </c>
      <c r="J1161" s="14" t="str">
        <f aca="true">IF(OR(E1161="",E1161="!!!",F1161="NEW"),"",COUNTBLANK(OFFSET(A$1,,,SUMPRODUCT(MAX(ROW(E$2:E1161)*(E1161=E$2:E1161)))))-COUNTBLANK(OFFSET(A$1,,,SUMPRODUCT(MAX(ROW(E$1:E1160)*(E1161=E$1:E1160))))))</f>
        <v/>
      </c>
      <c r="K1161" s="14" t="str">
        <f aca="false">IF(OR(E1161="",E1161="!!!",F1161="NEW"),"",INDEX(J$1:J1160,SUMPRODUCT(MAX(ROW(E$1:E1160)*(E1161=E$1:E1160)))))</f>
        <v/>
      </c>
      <c r="L1161" s="15"/>
    </row>
    <row r="1162" customFormat="false" ht="12.75" hidden="false" customHeight="false" outlineLevel="0" collapsed="false">
      <c r="A1162" s="0" t="s">
        <v>45</v>
      </c>
      <c r="E1162" s="9" t="str">
        <f aca="false">IF(D1162="?OLD","!!!","")</f>
        <v/>
      </c>
      <c r="F1162" s="10" t="str">
        <f aca="false">IF(OR(E1162="",E1162="!!!"),"",IF(NOT(ISNA(VLOOKUP(E1162,E$1:E1161,1,FALSE()))),"OLD",IF(AND(E1162&lt;&gt;"",E1162&lt;&gt;"!!!"),"NEW","")))</f>
        <v/>
      </c>
      <c r="G1162" s="11" t="str">
        <f aca="false">IF(OR(E1162="",E1162="!!!"),"",IF(OR(J1162=0,AND(J1162=1,K1162=1),AND(J1162=1,I1162="SBJ"),AND(J1162=1,I1162=0)),"?IN_FOCUS",IF(J1162&lt;=2,"?ACTIVATED",IF(J1162&lt;&gt;"","?FAMILIAR",IF(F1162="NEW",IF(ISNA(VLOOKUP(E1162,#REF!,1,FALSE())),"?TYPE_IDENTIFIABLE","?REFERENTIAL"),"_")))))</f>
        <v/>
      </c>
      <c r="H1162" s="12" t="str">
        <f aca="false">IF(J1162&lt;&gt;1,"",IF(I1162="SBJ","CB","?"))</f>
        <v/>
      </c>
      <c r="I1162" s="13" t="str">
        <f aca="false">IF(OR(E1162="",E1162="!!!",F1162="NEW"),"",INDEX(B$2:B1161,-1+SUMPRODUCT(MAX(ROW(E$2:E1161)*(E1162=E$2:E1161)))))</f>
        <v/>
      </c>
      <c r="J1162" s="14" t="str">
        <f aca="true">IF(OR(E1162="",E1162="!!!",F1162="NEW"),"",COUNTBLANK(OFFSET(A$1,,,SUMPRODUCT(MAX(ROW(E$2:E1162)*(E1162=E$2:E1162)))))-COUNTBLANK(OFFSET(A$1,,,SUMPRODUCT(MAX(ROW(E$1:E1161)*(E1162=E$1:E1161))))))</f>
        <v/>
      </c>
      <c r="K1162" s="14" t="str">
        <f aca="false">IF(OR(E1162="",E1162="!!!",F1162="NEW"),"",INDEX(J$1:J1161,SUMPRODUCT(MAX(ROW(E$1:E1161)*(E1162=E$1:E1161)))))</f>
        <v/>
      </c>
      <c r="L1162" s="15"/>
    </row>
    <row r="1163" customFormat="false" ht="12.75" hidden="false" customHeight="false" outlineLevel="0" collapsed="false">
      <c r="A1163" s="0" t="s">
        <v>332</v>
      </c>
      <c r="E1163" s="9" t="str">
        <f aca="false">IF(D1163="?OLD","!!!","")</f>
        <v/>
      </c>
      <c r="F1163" s="10" t="str">
        <f aca="false">IF(OR(E1163="",E1163="!!!"),"",IF(NOT(ISNA(VLOOKUP(E1163,E$1:E1162,1,FALSE()))),"OLD",IF(AND(E1163&lt;&gt;"",E1163&lt;&gt;"!!!"),"NEW","")))</f>
        <v/>
      </c>
      <c r="G1163" s="11" t="str">
        <f aca="false">IF(OR(E1163="",E1163="!!!"),"",IF(OR(J1163=0,AND(J1163=1,K1163=1),AND(J1163=1,I1163="SBJ"),AND(J1163=1,I1163=0)),"?IN_FOCUS",IF(J1163&lt;=2,"?ACTIVATED",IF(J1163&lt;&gt;"","?FAMILIAR",IF(F1163="NEW",IF(ISNA(VLOOKUP(E1163,#REF!,1,FALSE())),"?TYPE_IDENTIFIABLE","?REFERENTIAL"),"_")))))</f>
        <v/>
      </c>
      <c r="H1163" s="12" t="str">
        <f aca="false">IF(J1163&lt;&gt;1,"",IF(I1163="SBJ","CB","?"))</f>
        <v/>
      </c>
      <c r="I1163" s="13" t="str">
        <f aca="false">IF(OR(E1163="",E1163="!!!",F1163="NEW"),"",INDEX(B$2:B1162,-1+SUMPRODUCT(MAX(ROW(E$2:E1162)*(E1163=E$2:E1162)))))</f>
        <v/>
      </c>
      <c r="J1163" s="14" t="str">
        <f aca="true">IF(OR(E1163="",E1163="!!!",F1163="NEW"),"",COUNTBLANK(OFFSET(A$1,,,SUMPRODUCT(MAX(ROW(E$2:E1163)*(E1163=E$2:E1163)))))-COUNTBLANK(OFFSET(A$1,,,SUMPRODUCT(MAX(ROW(E$1:E1162)*(E1163=E$1:E1162))))))</f>
        <v/>
      </c>
      <c r="K1163" s="14" t="str">
        <f aca="false">IF(OR(E1163="",E1163="!!!",F1163="NEW"),"",INDEX(J$1:J1162,SUMPRODUCT(MAX(ROW(E$1:E1162)*(E1163=E$1:E1162)))))</f>
        <v/>
      </c>
      <c r="L1163" s="15"/>
    </row>
    <row r="1164" customFormat="false" ht="12.75" hidden="false" customHeight="false" outlineLevel="0" collapsed="false">
      <c r="A1164" s="0" t="s">
        <v>66</v>
      </c>
      <c r="E1164" s="9" t="str">
        <f aca="false">IF(D1164="?OLD","!!!","")</f>
        <v/>
      </c>
      <c r="F1164" s="10" t="str">
        <f aca="false">IF(OR(E1164="",E1164="!!!"),"",IF(NOT(ISNA(VLOOKUP(E1164,E$1:E1163,1,FALSE()))),"OLD",IF(AND(E1164&lt;&gt;"",E1164&lt;&gt;"!!!"),"NEW","")))</f>
        <v/>
      </c>
      <c r="G1164" s="11" t="str">
        <f aca="false">IF(OR(E1164="",E1164="!!!"),"",IF(OR(J1164=0,AND(J1164=1,K1164=1),AND(J1164=1,I1164="SBJ"),AND(J1164=1,I1164=0)),"?IN_FOCUS",IF(J1164&lt;=2,"?ACTIVATED",IF(J1164&lt;&gt;"","?FAMILIAR",IF(F1164="NEW",IF(ISNA(VLOOKUP(E1164,#REF!,1,FALSE())),"?TYPE_IDENTIFIABLE","?REFERENTIAL"),"_")))))</f>
        <v/>
      </c>
      <c r="H1164" s="12" t="str">
        <f aca="false">IF(J1164&lt;&gt;1,"",IF(I1164="SBJ","CB","?"))</f>
        <v/>
      </c>
      <c r="I1164" s="13" t="str">
        <f aca="false">IF(OR(E1164="",E1164="!!!",F1164="NEW"),"",INDEX(B$2:B1163,-1+SUMPRODUCT(MAX(ROW(E$2:E1163)*(E1164=E$2:E1163)))))</f>
        <v/>
      </c>
      <c r="J1164" s="14" t="str">
        <f aca="true">IF(OR(E1164="",E1164="!!!",F1164="NEW"),"",COUNTBLANK(OFFSET(A$1,,,SUMPRODUCT(MAX(ROW(E$2:E1164)*(E1164=E$2:E1164)))))-COUNTBLANK(OFFSET(A$1,,,SUMPRODUCT(MAX(ROW(E$1:E1163)*(E1164=E$1:E1163))))))</f>
        <v/>
      </c>
      <c r="K1164" s="14" t="str">
        <f aca="false">IF(OR(E1164="",E1164="!!!",F1164="NEW"),"",INDEX(J$1:J1163,SUMPRODUCT(MAX(ROW(E$1:E1163)*(E1164=E$1:E1163)))))</f>
        <v/>
      </c>
      <c r="L1164" s="15"/>
    </row>
    <row r="1165" customFormat="false" ht="12.75" hidden="false" customHeight="false" outlineLevel="0" collapsed="false">
      <c r="A1165" s="0" t="s">
        <v>139</v>
      </c>
      <c r="E1165" s="9" t="str">
        <f aca="false">IF(D1165="?OLD","!!!","")</f>
        <v/>
      </c>
      <c r="F1165" s="10" t="str">
        <f aca="false">IF(OR(E1165="",E1165="!!!"),"",IF(NOT(ISNA(VLOOKUP(E1165,E$1:E1164,1,FALSE()))),"OLD",IF(AND(E1165&lt;&gt;"",E1165&lt;&gt;"!!!"),"NEW","")))</f>
        <v/>
      </c>
      <c r="G1165" s="11" t="str">
        <f aca="false">IF(OR(E1165="",E1165="!!!"),"",IF(OR(J1165=0,AND(J1165=1,K1165=1),AND(J1165=1,I1165="SBJ"),AND(J1165=1,I1165=0)),"?IN_FOCUS",IF(J1165&lt;=2,"?ACTIVATED",IF(J1165&lt;&gt;"","?FAMILIAR",IF(F1165="NEW",IF(ISNA(VLOOKUP(E1165,#REF!,1,FALSE())),"?TYPE_IDENTIFIABLE","?REFERENTIAL"),"_")))))</f>
        <v/>
      </c>
      <c r="H1165" s="12" t="str">
        <f aca="false">IF(J1165&lt;&gt;1,"",IF(I1165="SBJ","CB","?"))</f>
        <v/>
      </c>
      <c r="I1165" s="13" t="str">
        <f aca="false">IF(OR(E1165="",E1165="!!!",F1165="NEW"),"",INDEX(B$2:B1164,-1+SUMPRODUCT(MAX(ROW(E$2:E1164)*(E1165=E$2:E1164)))))</f>
        <v/>
      </c>
      <c r="J1165" s="14" t="str">
        <f aca="true">IF(OR(E1165="",E1165="!!!",F1165="NEW"),"",COUNTBLANK(OFFSET(A$1,,,SUMPRODUCT(MAX(ROW(E$2:E1165)*(E1165=E$2:E1165)))))-COUNTBLANK(OFFSET(A$1,,,SUMPRODUCT(MAX(ROW(E$1:E1164)*(E1165=E$1:E1164))))))</f>
        <v/>
      </c>
      <c r="K1165" s="14" t="str">
        <f aca="false">IF(OR(E1165="",E1165="!!!",F1165="NEW"),"",INDEX(J$1:J1164,SUMPRODUCT(MAX(ROW(E$1:E1164)*(E1165=E$1:E1164)))))</f>
        <v/>
      </c>
      <c r="L1165" s="15"/>
    </row>
    <row r="1166" customFormat="false" ht="12.75" hidden="false" customHeight="false" outlineLevel="0" collapsed="false">
      <c r="A1166" s="0" t="s">
        <v>333</v>
      </c>
      <c r="E1166" s="9" t="str">
        <f aca="false">IF(D1166="?OLD","!!!","")</f>
        <v/>
      </c>
      <c r="F1166" s="10" t="str">
        <f aca="false">IF(OR(E1166="",E1166="!!!"),"",IF(NOT(ISNA(VLOOKUP(E1166,E$1:E1165,1,FALSE()))),"OLD",IF(AND(E1166&lt;&gt;"",E1166&lt;&gt;"!!!"),"NEW","")))</f>
        <v/>
      </c>
      <c r="G1166" s="11" t="str">
        <f aca="false">IF(OR(E1166="",E1166="!!!"),"",IF(OR(J1166=0,AND(J1166=1,K1166=1),AND(J1166=1,I1166="SBJ"),AND(J1166=1,I1166=0)),"?IN_FOCUS",IF(J1166&lt;=2,"?ACTIVATED",IF(J1166&lt;&gt;"","?FAMILIAR",IF(F1166="NEW",IF(ISNA(VLOOKUP(E1166,#REF!,1,FALSE())),"?TYPE_IDENTIFIABLE","?REFERENTIAL"),"_")))))</f>
        <v/>
      </c>
      <c r="H1166" s="12" t="str">
        <f aca="false">IF(J1166&lt;&gt;1,"",IF(I1166="SBJ","CB","?"))</f>
        <v/>
      </c>
      <c r="I1166" s="13" t="str">
        <f aca="false">IF(OR(E1166="",E1166="!!!",F1166="NEW"),"",INDEX(B$2:B1165,-1+SUMPRODUCT(MAX(ROW(E$2:E1165)*(E1166=E$2:E1165)))))</f>
        <v/>
      </c>
      <c r="J1166" s="14" t="str">
        <f aca="true">IF(OR(E1166="",E1166="!!!",F1166="NEW"),"",COUNTBLANK(OFFSET(A$1,,,SUMPRODUCT(MAX(ROW(E$2:E1166)*(E1166=E$2:E1166)))))-COUNTBLANK(OFFSET(A$1,,,SUMPRODUCT(MAX(ROW(E$1:E1165)*(E1166=E$1:E1165))))))</f>
        <v/>
      </c>
      <c r="K1166" s="14" t="str">
        <f aca="false">IF(OR(E1166="",E1166="!!!",F1166="NEW"),"",INDEX(J$1:J1165,SUMPRODUCT(MAX(ROW(E$1:E1165)*(E1166=E$1:E1165)))))</f>
        <v/>
      </c>
      <c r="L1166" s="15"/>
    </row>
    <row r="1167" customFormat="false" ht="12.75" hidden="false" customHeight="false" outlineLevel="0" collapsed="false">
      <c r="A1167" s="0" t="s">
        <v>334</v>
      </c>
      <c r="B1167" s="0" t="s">
        <v>42</v>
      </c>
      <c r="C1167" s="0" t="s">
        <v>23</v>
      </c>
      <c r="D1167" s="0" t="s">
        <v>29</v>
      </c>
      <c r="E1167" s="9" t="str">
        <f aca="false">IF(D1167="?OLD","!!!","")</f>
        <v>!!!</v>
      </c>
      <c r="F1167" s="10" t="str">
        <f aca="false">IF(OR(E1167="",E1167="!!!"),"",IF(NOT(ISNA(VLOOKUP(E1167,E$1:E1166,1,FALSE()))),"OLD",IF(AND(E1167&lt;&gt;"",E1167&lt;&gt;"!!!"),"NEW","")))</f>
        <v/>
      </c>
      <c r="G1167" s="11" t="str">
        <f aca="false">IF(OR(E1167="",E1167="!!!"),"",IF(OR(J1167=0,AND(J1167=1,K1167=1),AND(J1167=1,I1167="SBJ"),AND(J1167=1,I1167=0)),"?IN_FOCUS",IF(J1167&lt;=2,"?ACTIVATED",IF(J1167&lt;&gt;"","?FAMILIAR",IF(F1167="NEW",IF(ISNA(VLOOKUP(E1167,#REF!,1,FALSE())),"?TYPE_IDENTIFIABLE","?REFERENTIAL"),"_")))))</f>
        <v/>
      </c>
      <c r="H1167" s="12" t="str">
        <f aca="false">IF(J1167&lt;&gt;1,"",IF(I1167="SBJ","CB","?"))</f>
        <v/>
      </c>
      <c r="I1167" s="13" t="str">
        <f aca="false">IF(OR(E1167="",E1167="!!!",F1167="NEW"),"",INDEX(B$2:B1166,-1+SUMPRODUCT(MAX(ROW(E$2:E1166)*(E1167=E$2:E1166)))))</f>
        <v/>
      </c>
      <c r="J1167" s="14" t="str">
        <f aca="true">IF(OR(E1167="",E1167="!!!",F1167="NEW"),"",COUNTBLANK(OFFSET(A$1,,,SUMPRODUCT(MAX(ROW(E$2:E1167)*(E1167=E$2:E1167)))))-COUNTBLANK(OFFSET(A$1,,,SUMPRODUCT(MAX(ROW(E$1:E1166)*(E1167=E$1:E1166))))))</f>
        <v/>
      </c>
      <c r="K1167" s="14" t="str">
        <f aca="false">IF(OR(E1167="",E1167="!!!",F1167="NEW"),"",INDEX(J$1:J1166,SUMPRODUCT(MAX(ROW(E$1:E1166)*(E1167=E$1:E1166)))))</f>
        <v/>
      </c>
      <c r="L1167" s="15"/>
    </row>
    <row r="1168" customFormat="false" ht="12.75" hidden="false" customHeight="false" outlineLevel="0" collapsed="false">
      <c r="A1168" s="0" t="s">
        <v>519</v>
      </c>
      <c r="E1168" s="9" t="str">
        <f aca="false">IF(D1168="?OLD","!!!","")</f>
        <v/>
      </c>
      <c r="F1168" s="10" t="str">
        <f aca="false">IF(OR(E1168="",E1168="!!!"),"",IF(NOT(ISNA(VLOOKUP(E1168,E$1:E1167,1,FALSE()))),"OLD",IF(AND(E1168&lt;&gt;"",E1168&lt;&gt;"!!!"),"NEW","")))</f>
        <v/>
      </c>
      <c r="G1168" s="11" t="str">
        <f aca="false">IF(OR(E1168="",E1168="!!!"),"",IF(OR(J1168=0,AND(J1168=1,K1168=1),AND(J1168=1,I1168="SBJ"),AND(J1168=1,I1168=0)),"?IN_FOCUS",IF(J1168&lt;=2,"?ACTIVATED",IF(J1168&lt;&gt;"","?FAMILIAR",IF(F1168="NEW",IF(ISNA(VLOOKUP(E1168,#REF!,1,FALSE())),"?TYPE_IDENTIFIABLE","?REFERENTIAL"),"_")))))</f>
        <v/>
      </c>
      <c r="H1168" s="12" t="str">
        <f aca="false">IF(J1168&lt;&gt;1,"",IF(I1168="SBJ","CB","?"))</f>
        <v/>
      </c>
      <c r="I1168" s="13" t="str">
        <f aca="false">IF(OR(E1168="",E1168="!!!",F1168="NEW"),"",INDEX(B$2:B1167,-1+SUMPRODUCT(MAX(ROW(E$2:E1167)*(E1168=E$2:E1167)))))</f>
        <v/>
      </c>
      <c r="J1168" s="14" t="str">
        <f aca="true">IF(OR(E1168="",E1168="!!!",F1168="NEW"),"",COUNTBLANK(OFFSET(A$1,,,SUMPRODUCT(MAX(ROW(E$2:E1168)*(E1168=E$2:E1168)))))-COUNTBLANK(OFFSET(A$1,,,SUMPRODUCT(MAX(ROW(E$1:E1167)*(E1168=E$1:E1167))))))</f>
        <v/>
      </c>
      <c r="K1168" s="14" t="str">
        <f aca="false">IF(OR(E1168="",E1168="!!!",F1168="NEW"),"",INDEX(J$1:J1167,SUMPRODUCT(MAX(ROW(E$1:E1167)*(E1168=E$1:E1167)))))</f>
        <v/>
      </c>
      <c r="L1168" s="15"/>
    </row>
    <row r="1169" customFormat="false" ht="12.75" hidden="false" customHeight="false" outlineLevel="0" collapsed="false">
      <c r="A1169" s="0" t="s">
        <v>556</v>
      </c>
      <c r="E1169" s="9" t="str">
        <f aca="false">IF(D1169="?OLD","!!!","")</f>
        <v/>
      </c>
      <c r="F1169" s="10" t="str">
        <f aca="false">IF(OR(E1169="",E1169="!!!"),"",IF(NOT(ISNA(VLOOKUP(E1169,E$1:E1168,1,FALSE()))),"OLD",IF(AND(E1169&lt;&gt;"",E1169&lt;&gt;"!!!"),"NEW","")))</f>
        <v/>
      </c>
      <c r="G1169" s="11" t="str">
        <f aca="false">IF(OR(E1169="",E1169="!!!"),"",IF(OR(J1169=0,AND(J1169=1,K1169=1),AND(J1169=1,I1169="SBJ"),AND(J1169=1,I1169=0)),"?IN_FOCUS",IF(J1169&lt;=2,"?ACTIVATED",IF(J1169&lt;&gt;"","?FAMILIAR",IF(F1169="NEW",IF(ISNA(VLOOKUP(E1169,#REF!,1,FALSE())),"?TYPE_IDENTIFIABLE","?REFERENTIAL"),"_")))))</f>
        <v/>
      </c>
      <c r="H1169" s="12" t="str">
        <f aca="false">IF(J1169&lt;&gt;1,"",IF(I1169="SBJ","CB","?"))</f>
        <v/>
      </c>
      <c r="I1169" s="13" t="str">
        <f aca="false">IF(OR(E1169="",E1169="!!!",F1169="NEW"),"",INDEX(B$2:B1168,-1+SUMPRODUCT(MAX(ROW(E$2:E1168)*(E1169=E$2:E1168)))))</f>
        <v/>
      </c>
      <c r="J1169" s="14" t="str">
        <f aca="true">IF(OR(E1169="",E1169="!!!",F1169="NEW"),"",COUNTBLANK(OFFSET(A$1,,,SUMPRODUCT(MAX(ROW(E$2:E1169)*(E1169=E$2:E1169)))))-COUNTBLANK(OFFSET(A$1,,,SUMPRODUCT(MAX(ROW(E$1:E1168)*(E1169=E$1:E1168))))))</f>
        <v/>
      </c>
      <c r="K1169" s="14" t="str">
        <f aca="false">IF(OR(E1169="",E1169="!!!",F1169="NEW"),"",INDEX(J$1:J1168,SUMPRODUCT(MAX(ROW(E$1:E1168)*(E1169=E$1:E1168)))))</f>
        <v/>
      </c>
      <c r="L1169" s="15"/>
    </row>
    <row r="1170" customFormat="false" ht="12.75" hidden="false" customHeight="false" outlineLevel="0" collapsed="false">
      <c r="A1170" s="0" t="s">
        <v>40</v>
      </c>
      <c r="E1170" s="9" t="str">
        <f aca="false">IF(D1170="?OLD","!!!","")</f>
        <v/>
      </c>
      <c r="F1170" s="10" t="str">
        <f aca="false">IF(OR(E1170="",E1170="!!!"),"",IF(NOT(ISNA(VLOOKUP(E1170,E$1:E1169,1,FALSE()))),"OLD",IF(AND(E1170&lt;&gt;"",E1170&lt;&gt;"!!!"),"NEW","")))</f>
        <v/>
      </c>
      <c r="G1170" s="11" t="str">
        <f aca="false">IF(OR(E1170="",E1170="!!!"),"",IF(OR(J1170=0,AND(J1170=1,K1170=1),AND(J1170=1,I1170="SBJ"),AND(J1170=1,I1170=0)),"?IN_FOCUS",IF(J1170&lt;=2,"?ACTIVATED",IF(J1170&lt;&gt;"","?FAMILIAR",IF(F1170="NEW",IF(ISNA(VLOOKUP(E1170,#REF!,1,FALSE())),"?TYPE_IDENTIFIABLE","?REFERENTIAL"),"_")))))</f>
        <v/>
      </c>
      <c r="H1170" s="12" t="str">
        <f aca="false">IF(J1170&lt;&gt;1,"",IF(I1170="SBJ","CB","?"))</f>
        <v/>
      </c>
      <c r="I1170" s="13" t="str">
        <f aca="false">IF(OR(E1170="",E1170="!!!",F1170="NEW"),"",INDEX(B$2:B1169,-1+SUMPRODUCT(MAX(ROW(E$2:E1169)*(E1170=E$2:E1169)))))</f>
        <v/>
      </c>
      <c r="J1170" s="14" t="str">
        <f aca="true">IF(OR(E1170="",E1170="!!!",F1170="NEW"),"",COUNTBLANK(OFFSET(A$1,,,SUMPRODUCT(MAX(ROW(E$2:E1170)*(E1170=E$2:E1170)))))-COUNTBLANK(OFFSET(A$1,,,SUMPRODUCT(MAX(ROW(E$1:E1169)*(E1170=E$1:E1169))))))</f>
        <v/>
      </c>
      <c r="K1170" s="14" t="str">
        <f aca="false">IF(OR(E1170="",E1170="!!!",F1170="NEW"),"",INDEX(J$1:J1169,SUMPRODUCT(MAX(ROW(E$1:E1169)*(E1170=E$1:E1169)))))</f>
        <v/>
      </c>
      <c r="L1170" s="15"/>
    </row>
    <row r="1171" customFormat="false" ht="12.75" hidden="false" customHeight="false" outlineLevel="0" collapsed="false">
      <c r="A1171" s="0" t="s">
        <v>557</v>
      </c>
      <c r="B1171" s="0" t="s">
        <v>103</v>
      </c>
      <c r="C1171" s="0" t="s">
        <v>43</v>
      </c>
      <c r="E1171" s="9" t="str">
        <f aca="false">IF(D1171="?OLD","!!!","")</f>
        <v/>
      </c>
      <c r="F1171" s="10" t="str">
        <f aca="false">IF(OR(E1171="",E1171="!!!"),"",IF(NOT(ISNA(VLOOKUP(E1171,E$1:E1170,1,FALSE()))),"OLD",IF(AND(E1171&lt;&gt;"",E1171&lt;&gt;"!!!"),"NEW","")))</f>
        <v/>
      </c>
      <c r="G1171" s="11" t="str">
        <f aca="false">IF(OR(E1171="",E1171="!!!"),"",IF(OR(J1171=0,AND(J1171=1,K1171=1),AND(J1171=1,I1171="SBJ"),AND(J1171=1,I1171=0)),"?IN_FOCUS",IF(J1171&lt;=2,"?ACTIVATED",IF(J1171&lt;&gt;"","?FAMILIAR",IF(F1171="NEW",IF(ISNA(VLOOKUP(E1171,#REF!,1,FALSE())),"?TYPE_IDENTIFIABLE","?REFERENTIAL"),"_")))))</f>
        <v/>
      </c>
      <c r="H1171" s="12" t="str">
        <f aca="false">IF(J1171&lt;&gt;1,"",IF(I1171="SBJ","CB","?"))</f>
        <v/>
      </c>
      <c r="I1171" s="13" t="str">
        <f aca="false">IF(OR(E1171="",E1171="!!!",F1171="NEW"),"",INDEX(B$2:B1170,-1+SUMPRODUCT(MAX(ROW(E$2:E1170)*(E1171=E$2:E1170)))))</f>
        <v/>
      </c>
      <c r="J1171" s="14" t="str">
        <f aca="true">IF(OR(E1171="",E1171="!!!",F1171="NEW"),"",COUNTBLANK(OFFSET(A$1,,,SUMPRODUCT(MAX(ROW(E$2:E1171)*(E1171=E$2:E1171)))))-COUNTBLANK(OFFSET(A$1,,,SUMPRODUCT(MAX(ROW(E$1:E1170)*(E1171=E$1:E1170))))))</f>
        <v/>
      </c>
      <c r="K1171" s="14" t="str">
        <f aca="false">IF(OR(E1171="",E1171="!!!",F1171="NEW"),"",INDEX(J$1:J1170,SUMPRODUCT(MAX(ROW(E$1:E1170)*(E1171=E$1:E1170)))))</f>
        <v/>
      </c>
      <c r="L1171" s="15"/>
    </row>
    <row r="1172" customFormat="false" ht="12.75" hidden="false" customHeight="false" outlineLevel="0" collapsed="false">
      <c r="A1172" s="0" t="s">
        <v>31</v>
      </c>
      <c r="E1172" s="9" t="str">
        <f aca="false">IF(D1172="?OLD","!!!","")</f>
        <v/>
      </c>
      <c r="F1172" s="10" t="str">
        <f aca="false">IF(OR(E1172="",E1172="!!!"),"",IF(NOT(ISNA(VLOOKUP(E1172,E$1:E1171,1,FALSE()))),"OLD",IF(AND(E1172&lt;&gt;"",E1172&lt;&gt;"!!!"),"NEW","")))</f>
        <v/>
      </c>
      <c r="G1172" s="11" t="str">
        <f aca="false">IF(OR(E1172="",E1172="!!!"),"",IF(OR(J1172=0,AND(J1172=1,K1172=1),AND(J1172=1,I1172="SBJ"),AND(J1172=1,I1172=0)),"?IN_FOCUS",IF(J1172&lt;=2,"?ACTIVATED",IF(J1172&lt;&gt;"","?FAMILIAR",IF(F1172="NEW",IF(ISNA(VLOOKUP(E1172,#REF!,1,FALSE())),"?TYPE_IDENTIFIABLE","?REFERENTIAL"),"_")))))</f>
        <v/>
      </c>
      <c r="H1172" s="12" t="str">
        <f aca="false">IF(J1172&lt;&gt;1,"",IF(I1172="SBJ","CB","?"))</f>
        <v/>
      </c>
      <c r="I1172" s="13" t="str">
        <f aca="false">IF(OR(E1172="",E1172="!!!",F1172="NEW"),"",INDEX(B$2:B1171,-1+SUMPRODUCT(MAX(ROW(E$2:E1171)*(E1172=E$2:E1171)))))</f>
        <v/>
      </c>
      <c r="J1172" s="14" t="str">
        <f aca="true">IF(OR(E1172="",E1172="!!!",F1172="NEW"),"",COUNTBLANK(OFFSET(A$1,,,SUMPRODUCT(MAX(ROW(E$2:E1172)*(E1172=E$2:E1172)))))-COUNTBLANK(OFFSET(A$1,,,SUMPRODUCT(MAX(ROW(E$1:E1171)*(E1172=E$1:E1171))))))</f>
        <v/>
      </c>
      <c r="K1172" s="14" t="str">
        <f aca="false">IF(OR(E1172="",E1172="!!!",F1172="NEW"),"",INDEX(J$1:J1171,SUMPRODUCT(MAX(ROW(E$1:E1171)*(E1172=E$1:E1171)))))</f>
        <v/>
      </c>
      <c r="L1172" s="15"/>
    </row>
    <row r="1173" customFormat="false" ht="12.75" hidden="false" customHeight="false" outlineLevel="0" collapsed="false">
      <c r="A1173" s="0" t="s">
        <v>558</v>
      </c>
      <c r="E1173" s="9" t="str">
        <f aca="false">IF(D1173="?OLD","!!!","")</f>
        <v/>
      </c>
      <c r="F1173" s="10" t="str">
        <f aca="false">IF(OR(E1173="",E1173="!!!"),"",IF(NOT(ISNA(VLOOKUP(E1173,E$1:E1172,1,FALSE()))),"OLD",IF(AND(E1173&lt;&gt;"",E1173&lt;&gt;"!!!"),"NEW","")))</f>
        <v/>
      </c>
      <c r="G1173" s="11" t="str">
        <f aca="false">IF(OR(E1173="",E1173="!!!"),"",IF(OR(J1173=0,AND(J1173=1,K1173=1),AND(J1173=1,I1173="SBJ"),AND(J1173=1,I1173=0)),"?IN_FOCUS",IF(J1173&lt;=2,"?ACTIVATED",IF(J1173&lt;&gt;"","?FAMILIAR",IF(F1173="NEW",IF(ISNA(VLOOKUP(E1173,#REF!,1,FALSE())),"?TYPE_IDENTIFIABLE","?REFERENTIAL"),"_")))))</f>
        <v/>
      </c>
      <c r="H1173" s="12" t="str">
        <f aca="false">IF(J1173&lt;&gt;1,"",IF(I1173="SBJ","CB","?"))</f>
        <v/>
      </c>
      <c r="I1173" s="13" t="str">
        <f aca="false">IF(OR(E1173="",E1173="!!!",F1173="NEW"),"",INDEX(B$2:B1172,-1+SUMPRODUCT(MAX(ROW(E$2:E1172)*(E1173=E$2:E1172)))))</f>
        <v/>
      </c>
      <c r="J1173" s="14" t="str">
        <f aca="true">IF(OR(E1173="",E1173="!!!",F1173="NEW"),"",COUNTBLANK(OFFSET(A$1,,,SUMPRODUCT(MAX(ROW(E$2:E1173)*(E1173=E$2:E1173)))))-COUNTBLANK(OFFSET(A$1,,,SUMPRODUCT(MAX(ROW(E$1:E1172)*(E1173=E$1:E1172))))))</f>
        <v/>
      </c>
      <c r="K1173" s="14" t="str">
        <f aca="false">IF(OR(E1173="",E1173="!!!",F1173="NEW"),"",INDEX(J$1:J1172,SUMPRODUCT(MAX(ROW(E$1:E1172)*(E1173=E$1:E1172)))))</f>
        <v/>
      </c>
      <c r="L1173" s="15"/>
    </row>
    <row r="1174" customFormat="false" ht="12.75" hidden="false" customHeight="false" outlineLevel="0" collapsed="false">
      <c r="A1174" s="0" t="s">
        <v>329</v>
      </c>
      <c r="B1174" s="0" t="s">
        <v>22</v>
      </c>
      <c r="C1174" s="0" t="s">
        <v>120</v>
      </c>
      <c r="E1174" s="9" t="str">
        <f aca="false">IF(D1174="?OLD","!!!","")</f>
        <v/>
      </c>
      <c r="F1174" s="10" t="str">
        <f aca="false">IF(OR(E1174="",E1174="!!!"),"",IF(NOT(ISNA(VLOOKUP(E1174,E$1:E1173,1,FALSE()))),"OLD",IF(AND(E1174&lt;&gt;"",E1174&lt;&gt;"!!!"),"NEW","")))</f>
        <v/>
      </c>
      <c r="G1174" s="11" t="str">
        <f aca="false">IF(OR(E1174="",E1174="!!!"),"",IF(OR(J1174=0,AND(J1174=1,K1174=1),AND(J1174=1,I1174="SBJ"),AND(J1174=1,I1174=0)),"?IN_FOCUS",IF(J1174&lt;=2,"?ACTIVATED",IF(J1174&lt;&gt;"","?FAMILIAR",IF(F1174="NEW",IF(ISNA(VLOOKUP(E1174,#REF!,1,FALSE())),"?TYPE_IDENTIFIABLE","?REFERENTIAL"),"_")))))</f>
        <v/>
      </c>
      <c r="H1174" s="12" t="str">
        <f aca="false">IF(J1174&lt;&gt;1,"",IF(I1174="SBJ","CB","?"))</f>
        <v/>
      </c>
      <c r="I1174" s="13" t="str">
        <f aca="false">IF(OR(E1174="",E1174="!!!",F1174="NEW"),"",INDEX(B$2:B1173,-1+SUMPRODUCT(MAX(ROW(E$2:E1173)*(E1174=E$2:E1173)))))</f>
        <v/>
      </c>
      <c r="J1174" s="14" t="str">
        <f aca="true">IF(OR(E1174="",E1174="!!!",F1174="NEW"),"",COUNTBLANK(OFFSET(A$1,,,SUMPRODUCT(MAX(ROW(E$2:E1174)*(E1174=E$2:E1174)))))-COUNTBLANK(OFFSET(A$1,,,SUMPRODUCT(MAX(ROW(E$1:E1173)*(E1174=E$1:E1173))))))</f>
        <v/>
      </c>
      <c r="K1174" s="14" t="str">
        <f aca="false">IF(OR(E1174="",E1174="!!!",F1174="NEW"),"",INDEX(J$1:J1173,SUMPRODUCT(MAX(ROW(E$1:E1173)*(E1174=E$1:E1173)))))</f>
        <v/>
      </c>
      <c r="L1174" s="15"/>
    </row>
    <row r="1175" customFormat="false" ht="12.75" hidden="false" customHeight="false" outlineLevel="0" collapsed="false">
      <c r="A1175" s="0" t="s">
        <v>73</v>
      </c>
      <c r="E1175" s="9" t="str">
        <f aca="false">IF(D1175="?OLD","!!!","")</f>
        <v/>
      </c>
      <c r="F1175" s="10" t="str">
        <f aca="false">IF(OR(E1175="",E1175="!!!"),"",IF(NOT(ISNA(VLOOKUP(E1175,E$1:E1174,1,FALSE()))),"OLD",IF(AND(E1175&lt;&gt;"",E1175&lt;&gt;"!!!"),"NEW","")))</f>
        <v/>
      </c>
      <c r="G1175" s="11" t="str">
        <f aca="false">IF(OR(E1175="",E1175="!!!"),"",IF(OR(J1175=0,AND(J1175=1,K1175=1),AND(J1175=1,I1175="SBJ"),AND(J1175=1,I1175=0)),"?IN_FOCUS",IF(J1175&lt;=2,"?ACTIVATED",IF(J1175&lt;&gt;"","?FAMILIAR",IF(F1175="NEW",IF(ISNA(VLOOKUP(E1175,#REF!,1,FALSE())),"?TYPE_IDENTIFIABLE","?REFERENTIAL"),"_")))))</f>
        <v/>
      </c>
      <c r="H1175" s="12" t="str">
        <f aca="false">IF(J1175&lt;&gt;1,"",IF(I1175="SBJ","CB","?"))</f>
        <v/>
      </c>
      <c r="I1175" s="13" t="str">
        <f aca="false">IF(OR(E1175="",E1175="!!!",F1175="NEW"),"",INDEX(B$2:B1174,-1+SUMPRODUCT(MAX(ROW(E$2:E1174)*(E1175=E$2:E1174)))))</f>
        <v/>
      </c>
      <c r="J1175" s="14" t="str">
        <f aca="true">IF(OR(E1175="",E1175="!!!",F1175="NEW"),"",COUNTBLANK(OFFSET(A$1,,,SUMPRODUCT(MAX(ROW(E$2:E1175)*(E1175=E$2:E1175)))))-COUNTBLANK(OFFSET(A$1,,,SUMPRODUCT(MAX(ROW(E$1:E1174)*(E1175=E$1:E1174))))))</f>
        <v/>
      </c>
      <c r="K1175" s="14" t="str">
        <f aca="false">IF(OR(E1175="",E1175="!!!",F1175="NEW"),"",INDEX(J$1:J1174,SUMPRODUCT(MAX(ROW(E$1:E1174)*(E1175=E$1:E1174)))))</f>
        <v/>
      </c>
      <c r="L1175" s="15"/>
    </row>
    <row r="1176" customFormat="false" ht="12.75" hidden="false" customHeight="false" outlineLevel="0" collapsed="false">
      <c r="E1176" s="9" t="str">
        <f aca="false">IF(D1176="?OLD","!!!","")</f>
        <v/>
      </c>
      <c r="F1176" s="10" t="str">
        <f aca="false">IF(OR(E1176="",E1176="!!!"),"",IF(NOT(ISNA(VLOOKUP(E1176,E$1:E1175,1,FALSE()))),"OLD",IF(AND(E1176&lt;&gt;"",E1176&lt;&gt;"!!!"),"NEW","")))</f>
        <v/>
      </c>
      <c r="G1176" s="11" t="str">
        <f aca="false">IF(OR(E1176="",E1176="!!!"),"",IF(OR(J1176=0,AND(J1176=1,K1176=1),AND(J1176=1,I1176="SBJ"),AND(J1176=1,I1176=0)),"?IN_FOCUS",IF(J1176&lt;=2,"?ACTIVATED",IF(J1176&lt;&gt;"","?FAMILIAR",IF(F1176="NEW",IF(ISNA(VLOOKUP(E1176,#REF!,1,FALSE())),"?TYPE_IDENTIFIABLE","?REFERENTIAL"),"_")))))</f>
        <v/>
      </c>
      <c r="H1176" s="12" t="str">
        <f aca="false">IF(J1176&lt;&gt;1,"",IF(I1176="SBJ","CB","?"))</f>
        <v/>
      </c>
      <c r="I1176" s="13" t="str">
        <f aca="false">IF(OR(E1176="",E1176="!!!",F1176="NEW"),"",INDEX(B$2:B1175,-1+SUMPRODUCT(MAX(ROW(E$2:E1175)*(E1176=E$2:E1175)))))</f>
        <v/>
      </c>
      <c r="J1176" s="14" t="str">
        <f aca="true">IF(OR(E1176="",E1176="!!!",F1176="NEW"),"",COUNTBLANK(OFFSET(A$1,,,SUMPRODUCT(MAX(ROW(E$2:E1176)*(E1176=E$2:E1176)))))-COUNTBLANK(OFFSET(A$1,,,SUMPRODUCT(MAX(ROW(E$1:E1175)*(E1176=E$1:E1175))))))</f>
        <v/>
      </c>
      <c r="K1176" s="14" t="str">
        <f aca="false">IF(OR(E1176="",E1176="!!!",F1176="NEW"),"",INDEX(J$1:J1175,SUMPRODUCT(MAX(ROW(E$1:E1175)*(E1176=E$1:E1175)))))</f>
        <v/>
      </c>
      <c r="L1176" s="15"/>
    </row>
    <row r="1177" customFormat="false" ht="12.75" hidden="false" customHeight="false" outlineLevel="0" collapsed="false">
      <c r="A1177" s="0" t="s">
        <v>559</v>
      </c>
      <c r="E1177" s="9" t="str">
        <f aca="false">IF(D1177="?OLD","!!!","")</f>
        <v/>
      </c>
      <c r="F1177" s="10" t="str">
        <f aca="false">IF(OR(E1177="",E1177="!!!"),"",IF(NOT(ISNA(VLOOKUP(E1177,E$1:E1176,1,FALSE()))),"OLD",IF(AND(E1177&lt;&gt;"",E1177&lt;&gt;"!!!"),"NEW","")))</f>
        <v/>
      </c>
      <c r="G1177" s="11" t="str">
        <f aca="false">IF(OR(E1177="",E1177="!!!"),"",IF(OR(J1177=0,AND(J1177=1,K1177=1),AND(J1177=1,I1177="SBJ"),AND(J1177=1,I1177=0)),"?IN_FOCUS",IF(J1177&lt;=2,"?ACTIVATED",IF(J1177&lt;&gt;"","?FAMILIAR",IF(F1177="NEW",IF(ISNA(VLOOKUP(E1177,#REF!,1,FALSE())),"?TYPE_IDENTIFIABLE","?REFERENTIAL"),"_")))))</f>
        <v/>
      </c>
      <c r="H1177" s="12" t="str">
        <f aca="false">IF(J1177&lt;&gt;1,"",IF(I1177="SBJ","CB","?"))</f>
        <v/>
      </c>
      <c r="I1177" s="13" t="str">
        <f aca="false">IF(OR(E1177="",E1177="!!!",F1177="NEW"),"",INDEX(B$2:B1176,-1+SUMPRODUCT(MAX(ROW(E$2:E1176)*(E1177=E$2:E1176)))))</f>
        <v/>
      </c>
      <c r="J1177" s="14" t="str">
        <f aca="true">IF(OR(E1177="",E1177="!!!",F1177="NEW"),"",COUNTBLANK(OFFSET(A$1,,,SUMPRODUCT(MAX(ROW(E$2:E1177)*(E1177=E$2:E1177)))))-COUNTBLANK(OFFSET(A$1,,,SUMPRODUCT(MAX(ROW(E$1:E1176)*(E1177=E$1:E1176))))))</f>
        <v/>
      </c>
      <c r="K1177" s="14" t="str">
        <f aca="false">IF(OR(E1177="",E1177="!!!",F1177="NEW"),"",INDEX(J$1:J1176,SUMPRODUCT(MAX(ROW(E$1:E1176)*(E1177=E$1:E1176)))))</f>
        <v/>
      </c>
      <c r="L1177" s="15"/>
    </row>
    <row r="1178" customFormat="false" ht="12.75" hidden="false" customHeight="false" outlineLevel="0" collapsed="false">
      <c r="A1178" s="0" t="s">
        <v>224</v>
      </c>
      <c r="B1178" s="0" t="s">
        <v>14</v>
      </c>
      <c r="C1178" s="0" t="s">
        <v>38</v>
      </c>
      <c r="D1178" s="0" t="s">
        <v>29</v>
      </c>
      <c r="E1178" s="9" t="str">
        <f aca="false">IF(D1178="?OLD","!!!","")</f>
        <v>!!!</v>
      </c>
      <c r="F1178" s="10" t="str">
        <f aca="false">IF(OR(E1178="",E1178="!!!"),"",IF(NOT(ISNA(VLOOKUP(E1178,E$1:E1177,1,FALSE()))),"OLD",IF(AND(E1178&lt;&gt;"",E1178&lt;&gt;"!!!"),"NEW","")))</f>
        <v/>
      </c>
      <c r="G1178" s="11" t="str">
        <f aca="false">IF(OR(E1178="",E1178="!!!"),"",IF(OR(J1178=0,AND(J1178=1,K1178=1),AND(J1178=1,I1178="SBJ"),AND(J1178=1,I1178=0)),"?IN_FOCUS",IF(J1178&lt;=2,"?ACTIVATED",IF(J1178&lt;&gt;"","?FAMILIAR",IF(F1178="NEW",IF(ISNA(VLOOKUP(E1178,#REF!,1,FALSE())),"?TYPE_IDENTIFIABLE","?REFERENTIAL"),"_")))))</f>
        <v/>
      </c>
      <c r="H1178" s="12" t="str">
        <f aca="false">IF(J1178&lt;&gt;1,"",IF(I1178="SBJ","CB","?"))</f>
        <v/>
      </c>
      <c r="I1178" s="13" t="str">
        <f aca="false">IF(OR(E1178="",E1178="!!!",F1178="NEW"),"",INDEX(B$2:B1177,-1+SUMPRODUCT(MAX(ROW(E$2:E1177)*(E1178=E$2:E1177)))))</f>
        <v/>
      </c>
      <c r="J1178" s="14" t="str">
        <f aca="true">IF(OR(E1178="",E1178="!!!",F1178="NEW"),"",COUNTBLANK(OFFSET(A$1,,,SUMPRODUCT(MAX(ROW(E$2:E1178)*(E1178=E$2:E1178)))))-COUNTBLANK(OFFSET(A$1,,,SUMPRODUCT(MAX(ROW(E$1:E1177)*(E1178=E$1:E1177))))))</f>
        <v/>
      </c>
      <c r="K1178" s="14" t="str">
        <f aca="false">IF(OR(E1178="",E1178="!!!",F1178="NEW"),"",INDEX(J$1:J1177,SUMPRODUCT(MAX(ROW(E$1:E1177)*(E1178=E$1:E1177)))))</f>
        <v/>
      </c>
      <c r="L1178" s="15"/>
    </row>
    <row r="1179" customFormat="false" ht="12.75" hidden="false" customHeight="false" outlineLevel="0" collapsed="false">
      <c r="A1179" s="0" t="s">
        <v>48</v>
      </c>
      <c r="E1179" s="9" t="str">
        <f aca="false">IF(D1179="?OLD","!!!","")</f>
        <v/>
      </c>
      <c r="F1179" s="10" t="str">
        <f aca="false">IF(OR(E1179="",E1179="!!!"),"",IF(NOT(ISNA(VLOOKUP(E1179,E$1:E1178,1,FALSE()))),"OLD",IF(AND(E1179&lt;&gt;"",E1179&lt;&gt;"!!!"),"NEW","")))</f>
        <v/>
      </c>
      <c r="G1179" s="11" t="str">
        <f aca="false">IF(OR(E1179="",E1179="!!!"),"",IF(OR(J1179=0,AND(J1179=1,K1179=1),AND(J1179=1,I1179="SBJ"),AND(J1179=1,I1179=0)),"?IN_FOCUS",IF(J1179&lt;=2,"?ACTIVATED",IF(J1179&lt;&gt;"","?FAMILIAR",IF(F1179="NEW",IF(ISNA(VLOOKUP(E1179,#REF!,1,FALSE())),"?TYPE_IDENTIFIABLE","?REFERENTIAL"),"_")))))</f>
        <v/>
      </c>
      <c r="H1179" s="12" t="str">
        <f aca="false">IF(J1179&lt;&gt;1,"",IF(I1179="SBJ","CB","?"))</f>
        <v/>
      </c>
      <c r="I1179" s="13" t="str">
        <f aca="false">IF(OR(E1179="",E1179="!!!",F1179="NEW"),"",INDEX(B$2:B1178,-1+SUMPRODUCT(MAX(ROW(E$2:E1178)*(E1179=E$2:E1178)))))</f>
        <v/>
      </c>
      <c r="J1179" s="14" t="str">
        <f aca="true">IF(OR(E1179="",E1179="!!!",F1179="NEW"),"",COUNTBLANK(OFFSET(A$1,,,SUMPRODUCT(MAX(ROW(E$2:E1179)*(E1179=E$2:E1179)))))-COUNTBLANK(OFFSET(A$1,,,SUMPRODUCT(MAX(ROW(E$1:E1178)*(E1179=E$1:E1178))))))</f>
        <v/>
      </c>
      <c r="K1179" s="14" t="str">
        <f aca="false">IF(OR(E1179="",E1179="!!!",F1179="NEW"),"",INDEX(J$1:J1178,SUMPRODUCT(MAX(ROW(E$1:E1178)*(E1179=E$1:E1178)))))</f>
        <v/>
      </c>
      <c r="L1179" s="15"/>
    </row>
    <row r="1180" customFormat="false" ht="12.75" hidden="false" customHeight="false" outlineLevel="0" collapsed="false">
      <c r="A1180" s="0" t="s">
        <v>560</v>
      </c>
      <c r="E1180" s="9" t="str">
        <f aca="false">IF(D1180="?OLD","!!!","")</f>
        <v/>
      </c>
      <c r="F1180" s="10" t="str">
        <f aca="false">IF(OR(E1180="",E1180="!!!"),"",IF(NOT(ISNA(VLOOKUP(E1180,E$1:E1179,1,FALSE()))),"OLD",IF(AND(E1180&lt;&gt;"",E1180&lt;&gt;"!!!"),"NEW","")))</f>
        <v/>
      </c>
      <c r="G1180" s="11" t="str">
        <f aca="false">IF(OR(E1180="",E1180="!!!"),"",IF(OR(J1180=0,AND(J1180=1,K1180=1),AND(J1180=1,I1180="SBJ"),AND(J1180=1,I1180=0)),"?IN_FOCUS",IF(J1180&lt;=2,"?ACTIVATED",IF(J1180&lt;&gt;"","?FAMILIAR",IF(F1180="NEW",IF(ISNA(VLOOKUP(E1180,#REF!,1,FALSE())),"?TYPE_IDENTIFIABLE","?REFERENTIAL"),"_")))))</f>
        <v/>
      </c>
      <c r="H1180" s="12" t="str">
        <f aca="false">IF(J1180&lt;&gt;1,"",IF(I1180="SBJ","CB","?"))</f>
        <v/>
      </c>
      <c r="I1180" s="13" t="str">
        <f aca="false">IF(OR(E1180="",E1180="!!!",F1180="NEW"),"",INDEX(B$2:B1179,-1+SUMPRODUCT(MAX(ROW(E$2:E1179)*(E1180=E$2:E1179)))))</f>
        <v/>
      </c>
      <c r="J1180" s="14" t="str">
        <f aca="true">IF(OR(E1180="",E1180="!!!",F1180="NEW"),"",COUNTBLANK(OFFSET(A$1,,,SUMPRODUCT(MAX(ROW(E$2:E1180)*(E1180=E$2:E1180)))))-COUNTBLANK(OFFSET(A$1,,,SUMPRODUCT(MAX(ROW(E$1:E1179)*(E1180=E$1:E1179))))))</f>
        <v/>
      </c>
      <c r="K1180" s="14" t="str">
        <f aca="false">IF(OR(E1180="",E1180="!!!",F1180="NEW"),"",INDEX(J$1:J1179,SUMPRODUCT(MAX(ROW(E$1:E1179)*(E1180=E$1:E1179)))))</f>
        <v/>
      </c>
      <c r="L1180" s="15"/>
    </row>
    <row r="1181" customFormat="false" ht="12.75" hidden="false" customHeight="false" outlineLevel="0" collapsed="false">
      <c r="A1181" s="0" t="s">
        <v>561</v>
      </c>
      <c r="E1181" s="9" t="str">
        <f aca="false">IF(D1181="?OLD","!!!","")</f>
        <v/>
      </c>
      <c r="F1181" s="10" t="str">
        <f aca="false">IF(OR(E1181="",E1181="!!!"),"",IF(NOT(ISNA(VLOOKUP(E1181,E$1:E1180,1,FALSE()))),"OLD",IF(AND(E1181&lt;&gt;"",E1181&lt;&gt;"!!!"),"NEW","")))</f>
        <v/>
      </c>
      <c r="G1181" s="11" t="str">
        <f aca="false">IF(OR(E1181="",E1181="!!!"),"",IF(OR(J1181=0,AND(J1181=1,K1181=1),AND(J1181=1,I1181="SBJ"),AND(J1181=1,I1181=0)),"?IN_FOCUS",IF(J1181&lt;=2,"?ACTIVATED",IF(J1181&lt;&gt;"","?FAMILIAR",IF(F1181="NEW",IF(ISNA(VLOOKUP(E1181,#REF!,1,FALSE())),"?TYPE_IDENTIFIABLE","?REFERENTIAL"),"_")))))</f>
        <v/>
      </c>
      <c r="H1181" s="12" t="str">
        <f aca="false">IF(J1181&lt;&gt;1,"",IF(I1181="SBJ","CB","?"))</f>
        <v/>
      </c>
      <c r="I1181" s="13" t="str">
        <f aca="false">IF(OR(E1181="",E1181="!!!",F1181="NEW"),"",INDEX(B$2:B1180,-1+SUMPRODUCT(MAX(ROW(E$2:E1180)*(E1181=E$2:E1180)))))</f>
        <v/>
      </c>
      <c r="J1181" s="14" t="str">
        <f aca="true">IF(OR(E1181="",E1181="!!!",F1181="NEW"),"",COUNTBLANK(OFFSET(A$1,,,SUMPRODUCT(MAX(ROW(E$2:E1181)*(E1181=E$2:E1181)))))-COUNTBLANK(OFFSET(A$1,,,SUMPRODUCT(MAX(ROW(E$1:E1180)*(E1181=E$1:E1180))))))</f>
        <v/>
      </c>
      <c r="K1181" s="14" t="str">
        <f aca="false">IF(OR(E1181="",E1181="!!!",F1181="NEW"),"",INDEX(J$1:J1180,SUMPRODUCT(MAX(ROW(E$1:E1180)*(E1181=E$1:E1180)))))</f>
        <v/>
      </c>
      <c r="L1181" s="15"/>
    </row>
    <row r="1182" customFormat="false" ht="12.75" hidden="false" customHeight="false" outlineLevel="0" collapsed="false">
      <c r="A1182" s="0" t="s">
        <v>136</v>
      </c>
      <c r="E1182" s="9" t="str">
        <f aca="false">IF(D1182="?OLD","!!!","")</f>
        <v/>
      </c>
      <c r="F1182" s="10" t="str">
        <f aca="false">IF(OR(E1182="",E1182="!!!"),"",IF(NOT(ISNA(VLOOKUP(E1182,E$1:E1181,1,FALSE()))),"OLD",IF(AND(E1182&lt;&gt;"",E1182&lt;&gt;"!!!"),"NEW","")))</f>
        <v/>
      </c>
      <c r="G1182" s="11" t="str">
        <f aca="false">IF(OR(E1182="",E1182="!!!"),"",IF(OR(J1182=0,AND(J1182=1,K1182=1),AND(J1182=1,I1182="SBJ"),AND(J1182=1,I1182=0)),"?IN_FOCUS",IF(J1182&lt;=2,"?ACTIVATED",IF(J1182&lt;&gt;"","?FAMILIAR",IF(F1182="NEW",IF(ISNA(VLOOKUP(E1182,#REF!,1,FALSE())),"?TYPE_IDENTIFIABLE","?REFERENTIAL"),"_")))))</f>
        <v/>
      </c>
      <c r="H1182" s="12" t="str">
        <f aca="false">IF(J1182&lt;&gt;1,"",IF(I1182="SBJ","CB","?"))</f>
        <v/>
      </c>
      <c r="I1182" s="13" t="str">
        <f aca="false">IF(OR(E1182="",E1182="!!!",F1182="NEW"),"",INDEX(B$2:B1181,-1+SUMPRODUCT(MAX(ROW(E$2:E1181)*(E1182=E$2:E1181)))))</f>
        <v/>
      </c>
      <c r="J1182" s="14" t="str">
        <f aca="true">IF(OR(E1182="",E1182="!!!",F1182="NEW"),"",COUNTBLANK(OFFSET(A$1,,,SUMPRODUCT(MAX(ROW(E$2:E1182)*(E1182=E$2:E1182)))))-COUNTBLANK(OFFSET(A$1,,,SUMPRODUCT(MAX(ROW(E$1:E1181)*(E1182=E$1:E1181))))))</f>
        <v/>
      </c>
      <c r="K1182" s="14" t="str">
        <f aca="false">IF(OR(E1182="",E1182="!!!",F1182="NEW"),"",INDEX(J$1:J1181,SUMPRODUCT(MAX(ROW(E$1:E1181)*(E1182=E$1:E1181)))))</f>
        <v/>
      </c>
      <c r="L1182" s="15"/>
    </row>
    <row r="1183" customFormat="false" ht="12.75" hidden="false" customHeight="false" outlineLevel="0" collapsed="false">
      <c r="A1183" s="0" t="s">
        <v>150</v>
      </c>
      <c r="B1183" s="0" t="s">
        <v>28</v>
      </c>
      <c r="C1183" s="0" t="s">
        <v>55</v>
      </c>
      <c r="D1183" s="0" t="s">
        <v>29</v>
      </c>
      <c r="E1183" s="9" t="str">
        <f aca="false">IF(D1183="?OLD","!!!","")</f>
        <v>!!!</v>
      </c>
      <c r="F1183" s="10" t="str">
        <f aca="false">IF(OR(E1183="",E1183="!!!"),"",IF(NOT(ISNA(VLOOKUP(E1183,E$1:E1182,1,FALSE()))),"OLD",IF(AND(E1183&lt;&gt;"",E1183&lt;&gt;"!!!"),"NEW","")))</f>
        <v/>
      </c>
      <c r="G1183" s="11" t="str">
        <f aca="false">IF(OR(E1183="",E1183="!!!"),"",IF(OR(J1183=0,AND(J1183=1,K1183=1),AND(J1183=1,I1183="SBJ"),AND(J1183=1,I1183=0)),"?IN_FOCUS",IF(J1183&lt;=2,"?ACTIVATED",IF(J1183&lt;&gt;"","?FAMILIAR",IF(F1183="NEW",IF(ISNA(VLOOKUP(E1183,#REF!,1,FALSE())),"?TYPE_IDENTIFIABLE","?REFERENTIAL"),"_")))))</f>
        <v/>
      </c>
      <c r="H1183" s="12" t="str">
        <f aca="false">IF(J1183&lt;&gt;1,"",IF(I1183="SBJ","CB","?"))</f>
        <v/>
      </c>
      <c r="I1183" s="13" t="str">
        <f aca="false">IF(OR(E1183="",E1183="!!!",F1183="NEW"),"",INDEX(B$2:B1182,-1+SUMPRODUCT(MAX(ROW(E$2:E1182)*(E1183=E$2:E1182)))))</f>
        <v/>
      </c>
      <c r="J1183" s="14" t="str">
        <f aca="true">IF(OR(E1183="",E1183="!!!",F1183="NEW"),"",COUNTBLANK(OFFSET(A$1,,,SUMPRODUCT(MAX(ROW(E$2:E1183)*(E1183=E$2:E1183)))))-COUNTBLANK(OFFSET(A$1,,,SUMPRODUCT(MAX(ROW(E$1:E1182)*(E1183=E$1:E1182))))))</f>
        <v/>
      </c>
      <c r="K1183" s="14" t="str">
        <f aca="false">IF(OR(E1183="",E1183="!!!",F1183="NEW"),"",INDEX(J$1:J1182,SUMPRODUCT(MAX(ROW(E$1:E1182)*(E1183=E$1:E1182)))))</f>
        <v/>
      </c>
      <c r="L1183" s="15"/>
    </row>
    <row r="1184" customFormat="false" ht="12.75" hidden="false" customHeight="false" outlineLevel="0" collapsed="false">
      <c r="A1184" s="0" t="s">
        <v>562</v>
      </c>
      <c r="B1184" s="0" t="s">
        <v>62</v>
      </c>
      <c r="C1184" s="0" t="s">
        <v>15</v>
      </c>
      <c r="D1184" s="0" t="s">
        <v>29</v>
      </c>
      <c r="E1184" s="9" t="str">
        <f aca="false">IF(D1184="?OLD","!!!","")</f>
        <v>!!!</v>
      </c>
      <c r="F1184" s="10" t="str">
        <f aca="false">IF(OR(E1184="",E1184="!!!"),"",IF(NOT(ISNA(VLOOKUP(E1184,E$1:E1183,1,FALSE()))),"OLD",IF(AND(E1184&lt;&gt;"",E1184&lt;&gt;"!!!"),"NEW","")))</f>
        <v/>
      </c>
      <c r="G1184" s="11" t="str">
        <f aca="false">IF(OR(E1184="",E1184="!!!"),"",IF(OR(J1184=0,AND(J1184=1,K1184=1),AND(J1184=1,I1184="SBJ"),AND(J1184=1,I1184=0)),"?IN_FOCUS",IF(J1184&lt;=2,"?ACTIVATED",IF(J1184&lt;&gt;"","?FAMILIAR",IF(F1184="NEW",IF(ISNA(VLOOKUP(E1184,#REF!,1,FALSE())),"?TYPE_IDENTIFIABLE","?REFERENTIAL"),"_")))))</f>
        <v/>
      </c>
      <c r="H1184" s="12" t="str">
        <f aca="false">IF(J1184&lt;&gt;1,"",IF(I1184="SBJ","CB","?"))</f>
        <v/>
      </c>
      <c r="I1184" s="13" t="str">
        <f aca="false">IF(OR(E1184="",E1184="!!!",F1184="NEW"),"",INDEX(B$2:B1183,-1+SUMPRODUCT(MAX(ROW(E$2:E1183)*(E1184=E$2:E1183)))))</f>
        <v/>
      </c>
      <c r="J1184" s="14" t="str">
        <f aca="true">IF(OR(E1184="",E1184="!!!",F1184="NEW"),"",COUNTBLANK(OFFSET(A$1,,,SUMPRODUCT(MAX(ROW(E$2:E1184)*(E1184=E$2:E1184)))))-COUNTBLANK(OFFSET(A$1,,,SUMPRODUCT(MAX(ROW(E$1:E1183)*(E1184=E$1:E1183))))))</f>
        <v/>
      </c>
      <c r="K1184" s="14" t="str">
        <f aca="false">IF(OR(E1184="",E1184="!!!",F1184="NEW"),"",INDEX(J$1:J1183,SUMPRODUCT(MAX(ROW(E$1:E1183)*(E1184=E$1:E1183)))))</f>
        <v/>
      </c>
      <c r="L1184" s="15"/>
    </row>
    <row r="1185" customFormat="false" ht="12.75" hidden="false" customHeight="false" outlineLevel="0" collapsed="false">
      <c r="A1185" s="0" t="s">
        <v>31</v>
      </c>
      <c r="E1185" s="9" t="str">
        <f aca="false">IF(D1185="?OLD","!!!","")</f>
        <v/>
      </c>
      <c r="F1185" s="10" t="str">
        <f aca="false">IF(OR(E1185="",E1185="!!!"),"",IF(NOT(ISNA(VLOOKUP(E1185,E$1:E1184,1,FALSE()))),"OLD",IF(AND(E1185&lt;&gt;"",E1185&lt;&gt;"!!!"),"NEW","")))</f>
        <v/>
      </c>
      <c r="G1185" s="11" t="str">
        <f aca="false">IF(OR(E1185="",E1185="!!!"),"",IF(OR(J1185=0,AND(J1185=1,K1185=1),AND(J1185=1,I1185="SBJ"),AND(J1185=1,I1185=0)),"?IN_FOCUS",IF(J1185&lt;=2,"?ACTIVATED",IF(J1185&lt;&gt;"","?FAMILIAR",IF(F1185="NEW",IF(ISNA(VLOOKUP(E1185,#REF!,1,FALSE())),"?TYPE_IDENTIFIABLE","?REFERENTIAL"),"_")))))</f>
        <v/>
      </c>
      <c r="H1185" s="12" t="str">
        <f aca="false">IF(J1185&lt;&gt;1,"",IF(I1185="SBJ","CB","?"))</f>
        <v/>
      </c>
      <c r="I1185" s="13" t="str">
        <f aca="false">IF(OR(E1185="",E1185="!!!",F1185="NEW"),"",INDEX(B$2:B1184,-1+SUMPRODUCT(MAX(ROW(E$2:E1184)*(E1185=E$2:E1184)))))</f>
        <v/>
      </c>
      <c r="J1185" s="14" t="str">
        <f aca="true">IF(OR(E1185="",E1185="!!!",F1185="NEW"),"",COUNTBLANK(OFFSET(A$1,,,SUMPRODUCT(MAX(ROW(E$2:E1185)*(E1185=E$2:E1185)))))-COUNTBLANK(OFFSET(A$1,,,SUMPRODUCT(MAX(ROW(E$1:E1184)*(E1185=E$1:E1184))))))</f>
        <v/>
      </c>
      <c r="K1185" s="14" t="str">
        <f aca="false">IF(OR(E1185="",E1185="!!!",F1185="NEW"),"",INDEX(J$1:J1184,SUMPRODUCT(MAX(ROW(E$1:E1184)*(E1185=E$1:E1184)))))</f>
        <v/>
      </c>
      <c r="L1185" s="15"/>
    </row>
    <row r="1186" customFormat="false" ht="12.75" hidden="false" customHeight="false" outlineLevel="0" collapsed="false">
      <c r="A1186" s="0" t="s">
        <v>88</v>
      </c>
      <c r="E1186" s="9" t="str">
        <f aca="false">IF(D1186="?OLD","!!!","")</f>
        <v/>
      </c>
      <c r="F1186" s="10" t="str">
        <f aca="false">IF(OR(E1186="",E1186="!!!"),"",IF(NOT(ISNA(VLOOKUP(E1186,E$1:E1185,1,FALSE()))),"OLD",IF(AND(E1186&lt;&gt;"",E1186&lt;&gt;"!!!"),"NEW","")))</f>
        <v/>
      </c>
      <c r="G1186" s="11" t="str">
        <f aca="false">IF(OR(E1186="",E1186="!!!"),"",IF(OR(J1186=0,AND(J1186=1,K1186=1),AND(J1186=1,I1186="SBJ"),AND(J1186=1,I1186=0)),"?IN_FOCUS",IF(J1186&lt;=2,"?ACTIVATED",IF(J1186&lt;&gt;"","?FAMILIAR",IF(F1186="NEW",IF(ISNA(VLOOKUP(E1186,#REF!,1,FALSE())),"?TYPE_IDENTIFIABLE","?REFERENTIAL"),"_")))))</f>
        <v/>
      </c>
      <c r="H1186" s="12" t="str">
        <f aca="false">IF(J1186&lt;&gt;1,"",IF(I1186="SBJ","CB","?"))</f>
        <v/>
      </c>
      <c r="I1186" s="13" t="str">
        <f aca="false">IF(OR(E1186="",E1186="!!!",F1186="NEW"),"",INDEX(B$2:B1185,-1+SUMPRODUCT(MAX(ROW(E$2:E1185)*(E1186=E$2:E1185)))))</f>
        <v/>
      </c>
      <c r="J1186" s="14" t="str">
        <f aca="true">IF(OR(E1186="",E1186="!!!",F1186="NEW"),"",COUNTBLANK(OFFSET(A$1,,,SUMPRODUCT(MAX(ROW(E$2:E1186)*(E1186=E$2:E1186)))))-COUNTBLANK(OFFSET(A$1,,,SUMPRODUCT(MAX(ROW(E$1:E1185)*(E1186=E$1:E1185))))))</f>
        <v/>
      </c>
      <c r="K1186" s="14" t="str">
        <f aca="false">IF(OR(E1186="",E1186="!!!",F1186="NEW"),"",INDEX(J$1:J1185,SUMPRODUCT(MAX(ROW(E$1:E1185)*(E1186=E$1:E1185)))))</f>
        <v/>
      </c>
      <c r="L1186" s="15"/>
    </row>
    <row r="1187" customFormat="false" ht="12.75" hidden="false" customHeight="false" outlineLevel="0" collapsed="false">
      <c r="A1187" s="0" t="s">
        <v>563</v>
      </c>
      <c r="E1187" s="9" t="str">
        <f aca="false">IF(D1187="?OLD","!!!","")</f>
        <v/>
      </c>
      <c r="F1187" s="10" t="str">
        <f aca="false">IF(OR(E1187="",E1187="!!!"),"",IF(NOT(ISNA(VLOOKUP(E1187,E$1:E1186,1,FALSE()))),"OLD",IF(AND(E1187&lt;&gt;"",E1187&lt;&gt;"!!!"),"NEW","")))</f>
        <v/>
      </c>
      <c r="G1187" s="11" t="str">
        <f aca="false">IF(OR(E1187="",E1187="!!!"),"",IF(OR(J1187=0,AND(J1187=1,K1187=1),AND(J1187=1,I1187="SBJ"),AND(J1187=1,I1187=0)),"?IN_FOCUS",IF(J1187&lt;=2,"?ACTIVATED",IF(J1187&lt;&gt;"","?FAMILIAR",IF(F1187="NEW",IF(ISNA(VLOOKUP(E1187,#REF!,1,FALSE())),"?TYPE_IDENTIFIABLE","?REFERENTIAL"),"_")))))</f>
        <v/>
      </c>
      <c r="H1187" s="12" t="str">
        <f aca="false">IF(J1187&lt;&gt;1,"",IF(I1187="SBJ","CB","?"))</f>
        <v/>
      </c>
      <c r="I1187" s="13" t="str">
        <f aca="false">IF(OR(E1187="",E1187="!!!",F1187="NEW"),"",INDEX(B$2:B1186,-1+SUMPRODUCT(MAX(ROW(E$2:E1186)*(E1187=E$2:E1186)))))</f>
        <v/>
      </c>
      <c r="J1187" s="14" t="str">
        <f aca="true">IF(OR(E1187="",E1187="!!!",F1187="NEW"),"",COUNTBLANK(OFFSET(A$1,,,SUMPRODUCT(MAX(ROW(E$2:E1187)*(E1187=E$2:E1187)))))-COUNTBLANK(OFFSET(A$1,,,SUMPRODUCT(MAX(ROW(E$1:E1186)*(E1187=E$1:E1186))))))</f>
        <v/>
      </c>
      <c r="K1187" s="14" t="str">
        <f aca="false">IF(OR(E1187="",E1187="!!!",F1187="NEW"),"",INDEX(J$1:J1186,SUMPRODUCT(MAX(ROW(E$1:E1186)*(E1187=E$1:E1186)))))</f>
        <v/>
      </c>
      <c r="L1187" s="15"/>
    </row>
    <row r="1188" customFormat="false" ht="12.75" hidden="false" customHeight="false" outlineLevel="0" collapsed="false">
      <c r="A1188" s="0" t="s">
        <v>564</v>
      </c>
      <c r="B1188" s="0" t="s">
        <v>103</v>
      </c>
      <c r="E1188" s="9" t="str">
        <f aca="false">IF(D1188="?OLD","!!!","")</f>
        <v/>
      </c>
      <c r="F1188" s="10" t="str">
        <f aca="false">IF(OR(E1188="",E1188="!!!"),"",IF(NOT(ISNA(VLOOKUP(E1188,E$1:E1187,1,FALSE()))),"OLD",IF(AND(E1188&lt;&gt;"",E1188&lt;&gt;"!!!"),"NEW","")))</f>
        <v/>
      </c>
      <c r="G1188" s="11" t="str">
        <f aca="false">IF(OR(E1188="",E1188="!!!"),"",IF(OR(J1188=0,AND(J1188=1,K1188=1),AND(J1188=1,I1188="SBJ"),AND(J1188=1,I1188=0)),"?IN_FOCUS",IF(J1188&lt;=2,"?ACTIVATED",IF(J1188&lt;&gt;"","?FAMILIAR",IF(F1188="NEW",IF(ISNA(VLOOKUP(E1188,#REF!,1,FALSE())),"?TYPE_IDENTIFIABLE","?REFERENTIAL"),"_")))))</f>
        <v/>
      </c>
      <c r="H1188" s="12" t="str">
        <f aca="false">IF(J1188&lt;&gt;1,"",IF(I1188="SBJ","CB","?"))</f>
        <v/>
      </c>
      <c r="I1188" s="13" t="str">
        <f aca="false">IF(OR(E1188="",E1188="!!!",F1188="NEW"),"",INDEX(B$2:B1187,-1+SUMPRODUCT(MAX(ROW(E$2:E1187)*(E1188=E$2:E1187)))))</f>
        <v/>
      </c>
      <c r="J1188" s="14" t="str">
        <f aca="true">IF(OR(E1188="",E1188="!!!",F1188="NEW"),"",COUNTBLANK(OFFSET(A$1,,,SUMPRODUCT(MAX(ROW(E$2:E1188)*(E1188=E$2:E1188)))))-COUNTBLANK(OFFSET(A$1,,,SUMPRODUCT(MAX(ROW(E$1:E1187)*(E1188=E$1:E1187))))))</f>
        <v/>
      </c>
      <c r="K1188" s="14" t="str">
        <f aca="false">IF(OR(E1188="",E1188="!!!",F1188="NEW"),"",INDEX(J$1:J1187,SUMPRODUCT(MAX(ROW(E$1:E1187)*(E1188=E$1:E1187)))))</f>
        <v/>
      </c>
      <c r="L1188" s="15"/>
    </row>
    <row r="1189" customFormat="false" ht="12.75" hidden="false" customHeight="false" outlineLevel="0" collapsed="false">
      <c r="A1189" s="0" t="s">
        <v>241</v>
      </c>
      <c r="E1189" s="9" t="str">
        <f aca="false">IF(D1189="?OLD","!!!","")</f>
        <v/>
      </c>
      <c r="F1189" s="10" t="str">
        <f aca="false">IF(OR(E1189="",E1189="!!!"),"",IF(NOT(ISNA(VLOOKUP(E1189,E$1:E1188,1,FALSE()))),"OLD",IF(AND(E1189&lt;&gt;"",E1189&lt;&gt;"!!!"),"NEW","")))</f>
        <v/>
      </c>
      <c r="G1189" s="11" t="str">
        <f aca="false">IF(OR(E1189="",E1189="!!!"),"",IF(OR(J1189=0,AND(J1189=1,K1189=1),AND(J1189=1,I1189="SBJ"),AND(J1189=1,I1189=0)),"?IN_FOCUS",IF(J1189&lt;=2,"?ACTIVATED",IF(J1189&lt;&gt;"","?FAMILIAR",IF(F1189="NEW",IF(ISNA(VLOOKUP(E1189,#REF!,1,FALSE())),"?TYPE_IDENTIFIABLE","?REFERENTIAL"),"_")))))</f>
        <v/>
      </c>
      <c r="H1189" s="12" t="str">
        <f aca="false">IF(J1189&lt;&gt;1,"",IF(I1189="SBJ","CB","?"))</f>
        <v/>
      </c>
      <c r="I1189" s="13" t="str">
        <f aca="false">IF(OR(E1189="",E1189="!!!",F1189="NEW"),"",INDEX(B$2:B1188,-1+SUMPRODUCT(MAX(ROW(E$2:E1188)*(E1189=E$2:E1188)))))</f>
        <v/>
      </c>
      <c r="J1189" s="14" t="str">
        <f aca="true">IF(OR(E1189="",E1189="!!!",F1189="NEW"),"",COUNTBLANK(OFFSET(A$1,,,SUMPRODUCT(MAX(ROW(E$2:E1189)*(E1189=E$2:E1189)))))-COUNTBLANK(OFFSET(A$1,,,SUMPRODUCT(MAX(ROW(E$1:E1188)*(E1189=E$1:E1188))))))</f>
        <v/>
      </c>
      <c r="K1189" s="14" t="str">
        <f aca="false">IF(OR(E1189="",E1189="!!!",F1189="NEW"),"",INDEX(J$1:J1188,SUMPRODUCT(MAX(ROW(E$1:E1188)*(E1189=E$1:E1188)))))</f>
        <v/>
      </c>
      <c r="L1189" s="15"/>
    </row>
    <row r="1190" customFormat="false" ht="12.75" hidden="false" customHeight="false" outlineLevel="0" collapsed="false">
      <c r="A1190" s="0" t="s">
        <v>565</v>
      </c>
      <c r="E1190" s="9" t="str">
        <f aca="false">IF(D1190="?OLD","!!!","")</f>
        <v/>
      </c>
      <c r="F1190" s="10" t="str">
        <f aca="false">IF(OR(E1190="",E1190="!!!"),"",IF(NOT(ISNA(VLOOKUP(E1190,E$1:E1189,1,FALSE()))),"OLD",IF(AND(E1190&lt;&gt;"",E1190&lt;&gt;"!!!"),"NEW","")))</f>
        <v/>
      </c>
      <c r="G1190" s="11" t="str">
        <f aca="false">IF(OR(E1190="",E1190="!!!"),"",IF(OR(J1190=0,AND(J1190=1,K1190=1),AND(J1190=1,I1190="SBJ"),AND(J1190=1,I1190=0)),"?IN_FOCUS",IF(J1190&lt;=2,"?ACTIVATED",IF(J1190&lt;&gt;"","?FAMILIAR",IF(F1190="NEW",IF(ISNA(VLOOKUP(E1190,#REF!,1,FALSE())),"?TYPE_IDENTIFIABLE","?REFERENTIAL"),"_")))))</f>
        <v/>
      </c>
      <c r="H1190" s="12" t="str">
        <f aca="false">IF(J1190&lt;&gt;1,"",IF(I1190="SBJ","CB","?"))</f>
        <v/>
      </c>
      <c r="I1190" s="13" t="str">
        <f aca="false">IF(OR(E1190="",E1190="!!!",F1190="NEW"),"",INDEX(B$2:B1189,-1+SUMPRODUCT(MAX(ROW(E$2:E1189)*(E1190=E$2:E1189)))))</f>
        <v/>
      </c>
      <c r="J1190" s="14" t="str">
        <f aca="true">IF(OR(E1190="",E1190="!!!",F1190="NEW"),"",COUNTBLANK(OFFSET(A$1,,,SUMPRODUCT(MAX(ROW(E$2:E1190)*(E1190=E$2:E1190)))))-COUNTBLANK(OFFSET(A$1,,,SUMPRODUCT(MAX(ROW(E$1:E1189)*(E1190=E$1:E1189))))))</f>
        <v/>
      </c>
      <c r="K1190" s="14" t="str">
        <f aca="false">IF(OR(E1190="",E1190="!!!",F1190="NEW"),"",INDEX(J$1:J1189,SUMPRODUCT(MAX(ROW(E$1:E1189)*(E1190=E$1:E1189)))))</f>
        <v/>
      </c>
      <c r="L1190" s="15"/>
    </row>
    <row r="1191" customFormat="false" ht="12.75" hidden="false" customHeight="false" outlineLevel="0" collapsed="false">
      <c r="A1191" s="0" t="s">
        <v>40</v>
      </c>
      <c r="E1191" s="9" t="str">
        <f aca="false">IF(D1191="?OLD","!!!","")</f>
        <v/>
      </c>
      <c r="F1191" s="10" t="str">
        <f aca="false">IF(OR(E1191="",E1191="!!!"),"",IF(NOT(ISNA(VLOOKUP(E1191,E$1:E1190,1,FALSE()))),"OLD",IF(AND(E1191&lt;&gt;"",E1191&lt;&gt;"!!!"),"NEW","")))</f>
        <v/>
      </c>
      <c r="G1191" s="11" t="str">
        <f aca="false">IF(OR(E1191="",E1191="!!!"),"",IF(OR(J1191=0,AND(J1191=1,K1191=1),AND(J1191=1,I1191="SBJ"),AND(J1191=1,I1191=0)),"?IN_FOCUS",IF(J1191&lt;=2,"?ACTIVATED",IF(J1191&lt;&gt;"","?FAMILIAR",IF(F1191="NEW",IF(ISNA(VLOOKUP(E1191,#REF!,1,FALSE())),"?TYPE_IDENTIFIABLE","?REFERENTIAL"),"_")))))</f>
        <v/>
      </c>
      <c r="H1191" s="12" t="str">
        <f aca="false">IF(J1191&lt;&gt;1,"",IF(I1191="SBJ","CB","?"))</f>
        <v/>
      </c>
      <c r="I1191" s="13" t="str">
        <f aca="false">IF(OR(E1191="",E1191="!!!",F1191="NEW"),"",INDEX(B$2:B1190,-1+SUMPRODUCT(MAX(ROW(E$2:E1190)*(E1191=E$2:E1190)))))</f>
        <v/>
      </c>
      <c r="J1191" s="14" t="str">
        <f aca="true">IF(OR(E1191="",E1191="!!!",F1191="NEW"),"",COUNTBLANK(OFFSET(A$1,,,SUMPRODUCT(MAX(ROW(E$2:E1191)*(E1191=E$2:E1191)))))-COUNTBLANK(OFFSET(A$1,,,SUMPRODUCT(MAX(ROW(E$1:E1190)*(E1191=E$1:E1190))))))</f>
        <v/>
      </c>
      <c r="K1191" s="14" t="str">
        <f aca="false">IF(OR(E1191="",E1191="!!!",F1191="NEW"),"",INDEX(J$1:J1190,SUMPRODUCT(MAX(ROW(E$1:E1190)*(E1191=E$1:E1190)))))</f>
        <v/>
      </c>
      <c r="L1191" s="15"/>
    </row>
    <row r="1192" customFormat="false" ht="12.75" hidden="false" customHeight="false" outlineLevel="0" collapsed="false">
      <c r="A1192" s="0" t="s">
        <v>437</v>
      </c>
      <c r="B1192" s="0" t="s">
        <v>28</v>
      </c>
      <c r="C1192" s="0" t="s">
        <v>43</v>
      </c>
      <c r="E1192" s="9" t="str">
        <f aca="false">IF(D1192="?OLD","!!!","")</f>
        <v/>
      </c>
      <c r="F1192" s="10" t="str">
        <f aca="false">IF(OR(E1192="",E1192="!!!"),"",IF(NOT(ISNA(VLOOKUP(E1192,E$1:E1191,1,FALSE()))),"OLD",IF(AND(E1192&lt;&gt;"",E1192&lt;&gt;"!!!"),"NEW","")))</f>
        <v/>
      </c>
      <c r="G1192" s="11" t="str">
        <f aca="false">IF(OR(E1192="",E1192="!!!"),"",IF(OR(J1192=0,AND(J1192=1,K1192=1),AND(J1192=1,I1192="SBJ"),AND(J1192=1,I1192=0)),"?IN_FOCUS",IF(J1192&lt;=2,"?ACTIVATED",IF(J1192&lt;&gt;"","?FAMILIAR",IF(F1192="NEW",IF(ISNA(VLOOKUP(E1192,#REF!,1,FALSE())),"?TYPE_IDENTIFIABLE","?REFERENTIAL"),"_")))))</f>
        <v/>
      </c>
      <c r="H1192" s="12" t="str">
        <f aca="false">IF(J1192&lt;&gt;1,"",IF(I1192="SBJ","CB","?"))</f>
        <v/>
      </c>
      <c r="I1192" s="13" t="str">
        <f aca="false">IF(OR(E1192="",E1192="!!!",F1192="NEW"),"",INDEX(B$2:B1191,-1+SUMPRODUCT(MAX(ROW(E$2:E1191)*(E1192=E$2:E1191)))))</f>
        <v/>
      </c>
      <c r="J1192" s="14" t="str">
        <f aca="true">IF(OR(E1192="",E1192="!!!",F1192="NEW"),"",COUNTBLANK(OFFSET(A$1,,,SUMPRODUCT(MAX(ROW(E$2:E1192)*(E1192=E$2:E1192)))))-COUNTBLANK(OFFSET(A$1,,,SUMPRODUCT(MAX(ROW(E$1:E1191)*(E1192=E$1:E1191))))))</f>
        <v/>
      </c>
      <c r="K1192" s="14" t="str">
        <f aca="false">IF(OR(E1192="",E1192="!!!",F1192="NEW"),"",INDEX(J$1:J1191,SUMPRODUCT(MAX(ROW(E$1:E1191)*(E1192=E$1:E1191)))))</f>
        <v/>
      </c>
      <c r="L1192" s="15"/>
    </row>
    <row r="1193" customFormat="false" ht="12.75" hidden="false" customHeight="false" outlineLevel="0" collapsed="false">
      <c r="A1193" s="0" t="s">
        <v>183</v>
      </c>
      <c r="E1193" s="9" t="str">
        <f aca="false">IF(D1193="?OLD","!!!","")</f>
        <v/>
      </c>
      <c r="F1193" s="10" t="str">
        <f aca="false">IF(OR(E1193="",E1193="!!!"),"",IF(NOT(ISNA(VLOOKUP(E1193,E$1:E1192,1,FALSE()))),"OLD",IF(AND(E1193&lt;&gt;"",E1193&lt;&gt;"!!!"),"NEW","")))</f>
        <v/>
      </c>
      <c r="G1193" s="11" t="str">
        <f aca="false">IF(OR(E1193="",E1193="!!!"),"",IF(OR(J1193=0,AND(J1193=1,K1193=1),AND(J1193=1,I1193="SBJ"),AND(J1193=1,I1193=0)),"?IN_FOCUS",IF(J1193&lt;=2,"?ACTIVATED",IF(J1193&lt;&gt;"","?FAMILIAR",IF(F1193="NEW",IF(ISNA(VLOOKUP(E1193,#REF!,1,FALSE())),"?TYPE_IDENTIFIABLE","?REFERENTIAL"),"_")))))</f>
        <v/>
      </c>
      <c r="H1193" s="12" t="str">
        <f aca="false">IF(J1193&lt;&gt;1,"",IF(I1193="SBJ","CB","?"))</f>
        <v/>
      </c>
      <c r="I1193" s="13" t="str">
        <f aca="false">IF(OR(E1193="",E1193="!!!",F1193="NEW"),"",INDEX(B$2:B1192,-1+SUMPRODUCT(MAX(ROW(E$2:E1192)*(E1193=E$2:E1192)))))</f>
        <v/>
      </c>
      <c r="J1193" s="14" t="str">
        <f aca="true">IF(OR(E1193="",E1193="!!!",F1193="NEW"),"",COUNTBLANK(OFFSET(A$1,,,SUMPRODUCT(MAX(ROW(E$2:E1193)*(E1193=E$2:E1193)))))-COUNTBLANK(OFFSET(A$1,,,SUMPRODUCT(MAX(ROW(E$1:E1192)*(E1193=E$1:E1192))))))</f>
        <v/>
      </c>
      <c r="K1193" s="14" t="str">
        <f aca="false">IF(OR(E1193="",E1193="!!!",F1193="NEW"),"",INDEX(J$1:J1192,SUMPRODUCT(MAX(ROW(E$1:E1192)*(E1193=E$1:E1192)))))</f>
        <v/>
      </c>
      <c r="L1193" s="15"/>
    </row>
    <row r="1194" customFormat="false" ht="12.75" hidden="false" customHeight="false" outlineLevel="0" collapsed="false">
      <c r="A1194" s="0" t="s">
        <v>45</v>
      </c>
      <c r="E1194" s="9" t="str">
        <f aca="false">IF(D1194="?OLD","!!!","")</f>
        <v/>
      </c>
      <c r="F1194" s="10" t="str">
        <f aca="false">IF(OR(E1194="",E1194="!!!"),"",IF(NOT(ISNA(VLOOKUP(E1194,E$1:E1193,1,FALSE()))),"OLD",IF(AND(E1194&lt;&gt;"",E1194&lt;&gt;"!!!"),"NEW","")))</f>
        <v/>
      </c>
      <c r="G1194" s="11" t="str">
        <f aca="false">IF(OR(E1194="",E1194="!!!"),"",IF(OR(J1194=0,AND(J1194=1,K1194=1),AND(J1194=1,I1194="SBJ"),AND(J1194=1,I1194=0)),"?IN_FOCUS",IF(J1194&lt;=2,"?ACTIVATED",IF(J1194&lt;&gt;"","?FAMILIAR",IF(F1194="NEW",IF(ISNA(VLOOKUP(E1194,#REF!,1,FALSE())),"?TYPE_IDENTIFIABLE","?REFERENTIAL"),"_")))))</f>
        <v/>
      </c>
      <c r="H1194" s="12" t="str">
        <f aca="false">IF(J1194&lt;&gt;1,"",IF(I1194="SBJ","CB","?"))</f>
        <v/>
      </c>
      <c r="I1194" s="13" t="str">
        <f aca="false">IF(OR(E1194="",E1194="!!!",F1194="NEW"),"",INDEX(B$2:B1193,-1+SUMPRODUCT(MAX(ROW(E$2:E1193)*(E1194=E$2:E1193)))))</f>
        <v/>
      </c>
      <c r="J1194" s="14" t="str">
        <f aca="true">IF(OR(E1194="",E1194="!!!",F1194="NEW"),"",COUNTBLANK(OFFSET(A$1,,,SUMPRODUCT(MAX(ROW(E$2:E1194)*(E1194=E$2:E1194)))))-COUNTBLANK(OFFSET(A$1,,,SUMPRODUCT(MAX(ROW(E$1:E1193)*(E1194=E$1:E1193))))))</f>
        <v/>
      </c>
      <c r="K1194" s="14" t="str">
        <f aca="false">IF(OR(E1194="",E1194="!!!",F1194="NEW"),"",INDEX(J$1:J1193,SUMPRODUCT(MAX(ROW(E$1:E1193)*(E1194=E$1:E1193)))))</f>
        <v/>
      </c>
      <c r="L1194" s="15"/>
    </row>
    <row r="1195" customFormat="false" ht="12.75" hidden="false" customHeight="false" outlineLevel="0" collapsed="false">
      <c r="A1195" s="0" t="s">
        <v>185</v>
      </c>
      <c r="B1195" s="0" t="s">
        <v>22</v>
      </c>
      <c r="C1195" s="0" t="s">
        <v>135</v>
      </c>
      <c r="D1195" s="0" t="s">
        <v>29</v>
      </c>
      <c r="E1195" s="9" t="str">
        <f aca="false">IF(D1195="?OLD","!!!","")</f>
        <v>!!!</v>
      </c>
      <c r="F1195" s="10" t="str">
        <f aca="false">IF(OR(E1195="",E1195="!!!"),"",IF(NOT(ISNA(VLOOKUP(E1195,E$1:E1194,1,FALSE()))),"OLD",IF(AND(E1195&lt;&gt;"",E1195&lt;&gt;"!!!"),"NEW","")))</f>
        <v/>
      </c>
      <c r="G1195" s="11" t="str">
        <f aca="false">IF(OR(E1195="",E1195="!!!"),"",IF(OR(J1195=0,AND(J1195=1,K1195=1),AND(J1195=1,I1195="SBJ"),AND(J1195=1,I1195=0)),"?IN_FOCUS",IF(J1195&lt;=2,"?ACTIVATED",IF(J1195&lt;&gt;"","?FAMILIAR",IF(F1195="NEW",IF(ISNA(VLOOKUP(E1195,#REF!,1,FALSE())),"?TYPE_IDENTIFIABLE","?REFERENTIAL"),"_")))))</f>
        <v/>
      </c>
      <c r="H1195" s="12" t="str">
        <f aca="false">IF(J1195&lt;&gt;1,"",IF(I1195="SBJ","CB","?"))</f>
        <v/>
      </c>
      <c r="I1195" s="13" t="str">
        <f aca="false">IF(OR(E1195="",E1195="!!!",F1195="NEW"),"",INDEX(B$2:B1194,-1+SUMPRODUCT(MAX(ROW(E$2:E1194)*(E1195=E$2:E1194)))))</f>
        <v/>
      </c>
      <c r="J1195" s="14" t="str">
        <f aca="true">IF(OR(E1195="",E1195="!!!",F1195="NEW"),"",COUNTBLANK(OFFSET(A$1,,,SUMPRODUCT(MAX(ROW(E$2:E1195)*(E1195=E$2:E1195)))))-COUNTBLANK(OFFSET(A$1,,,SUMPRODUCT(MAX(ROW(E$1:E1194)*(E1195=E$1:E1194))))))</f>
        <v/>
      </c>
      <c r="K1195" s="14" t="str">
        <f aca="false">IF(OR(E1195="",E1195="!!!",F1195="NEW"),"",INDEX(J$1:J1194,SUMPRODUCT(MAX(ROW(E$1:E1194)*(E1195=E$1:E1194)))))</f>
        <v/>
      </c>
      <c r="L1195" s="15"/>
    </row>
    <row r="1196" customFormat="false" ht="12.75" hidden="false" customHeight="false" outlineLevel="0" collapsed="false">
      <c r="A1196" s="0" t="s">
        <v>19</v>
      </c>
      <c r="E1196" s="9" t="str">
        <f aca="false">IF(D1196="?OLD","!!!","")</f>
        <v/>
      </c>
      <c r="F1196" s="10" t="str">
        <f aca="false">IF(OR(E1196="",E1196="!!!"),"",IF(NOT(ISNA(VLOOKUP(E1196,E$1:E1195,1,FALSE()))),"OLD",IF(AND(E1196&lt;&gt;"",E1196&lt;&gt;"!!!"),"NEW","")))</f>
        <v/>
      </c>
      <c r="G1196" s="11" t="str">
        <f aca="false">IF(OR(E1196="",E1196="!!!"),"",IF(OR(J1196=0,AND(J1196=1,K1196=1),AND(J1196=1,I1196="SBJ"),AND(J1196=1,I1196=0)),"?IN_FOCUS",IF(J1196&lt;=2,"?ACTIVATED",IF(J1196&lt;&gt;"","?FAMILIAR",IF(F1196="NEW",IF(ISNA(VLOOKUP(E1196,#REF!,1,FALSE())),"?TYPE_IDENTIFIABLE","?REFERENTIAL"),"_")))))</f>
        <v/>
      </c>
      <c r="H1196" s="12" t="str">
        <f aca="false">IF(J1196&lt;&gt;1,"",IF(I1196="SBJ","CB","?"))</f>
        <v/>
      </c>
      <c r="I1196" s="13" t="str">
        <f aca="false">IF(OR(E1196="",E1196="!!!",F1196="NEW"),"",INDEX(B$2:B1195,-1+SUMPRODUCT(MAX(ROW(E$2:E1195)*(E1196=E$2:E1195)))))</f>
        <v/>
      </c>
      <c r="J1196" s="14" t="str">
        <f aca="true">IF(OR(E1196="",E1196="!!!",F1196="NEW"),"",COUNTBLANK(OFFSET(A$1,,,SUMPRODUCT(MAX(ROW(E$2:E1196)*(E1196=E$2:E1196)))))-COUNTBLANK(OFFSET(A$1,,,SUMPRODUCT(MAX(ROW(E$1:E1195)*(E1196=E$1:E1195))))))</f>
        <v/>
      </c>
      <c r="K1196" s="14" t="str">
        <f aca="false">IF(OR(E1196="",E1196="!!!",F1196="NEW"),"",INDEX(J$1:J1195,SUMPRODUCT(MAX(ROW(E$1:E1195)*(E1196=E$1:E1195)))))</f>
        <v/>
      </c>
      <c r="L1196" s="15"/>
    </row>
    <row r="1197" customFormat="false" ht="12.75" hidden="false" customHeight="false" outlineLevel="0" collapsed="false">
      <c r="A1197" s="0" t="s">
        <v>142</v>
      </c>
      <c r="B1197" s="0" t="s">
        <v>64</v>
      </c>
      <c r="C1197" s="0" t="s">
        <v>38</v>
      </c>
      <c r="D1197" s="0" t="s">
        <v>29</v>
      </c>
      <c r="E1197" s="9" t="str">
        <f aca="false">IF(D1197="?OLD","!!!","")</f>
        <v>!!!</v>
      </c>
      <c r="F1197" s="10" t="str">
        <f aca="false">IF(OR(E1197="",E1197="!!!"),"",IF(NOT(ISNA(VLOOKUP(E1197,E$1:E1196,1,FALSE()))),"OLD",IF(AND(E1197&lt;&gt;"",E1197&lt;&gt;"!!!"),"NEW","")))</f>
        <v/>
      </c>
      <c r="G1197" s="11" t="str">
        <f aca="false">IF(OR(E1197="",E1197="!!!"),"",IF(OR(J1197=0,AND(J1197=1,K1197=1),AND(J1197=1,I1197="SBJ"),AND(J1197=1,I1197=0)),"?IN_FOCUS",IF(J1197&lt;=2,"?ACTIVATED",IF(J1197&lt;&gt;"","?FAMILIAR",IF(F1197="NEW",IF(ISNA(VLOOKUP(E1197,#REF!,1,FALSE())),"?TYPE_IDENTIFIABLE","?REFERENTIAL"),"_")))))</f>
        <v/>
      </c>
      <c r="H1197" s="12" t="str">
        <f aca="false">IF(J1197&lt;&gt;1,"",IF(I1197="SBJ","CB","?"))</f>
        <v/>
      </c>
      <c r="I1197" s="13" t="str">
        <f aca="false">IF(OR(E1197="",E1197="!!!",F1197="NEW"),"",INDEX(B$2:B1196,-1+SUMPRODUCT(MAX(ROW(E$2:E1196)*(E1197=E$2:E1196)))))</f>
        <v/>
      </c>
      <c r="J1197" s="14" t="str">
        <f aca="true">IF(OR(E1197="",E1197="!!!",F1197="NEW"),"",COUNTBLANK(OFFSET(A$1,,,SUMPRODUCT(MAX(ROW(E$2:E1197)*(E1197=E$2:E1197)))))-COUNTBLANK(OFFSET(A$1,,,SUMPRODUCT(MAX(ROW(E$1:E1196)*(E1197=E$1:E1196))))))</f>
        <v/>
      </c>
      <c r="K1197" s="14" t="str">
        <f aca="false">IF(OR(E1197="",E1197="!!!",F1197="NEW"),"",INDEX(J$1:J1196,SUMPRODUCT(MAX(ROW(E$1:E1196)*(E1197=E$1:E1196)))))</f>
        <v/>
      </c>
      <c r="L1197" s="15"/>
    </row>
    <row r="1198" customFormat="false" ht="12.75" hidden="false" customHeight="false" outlineLevel="0" collapsed="false">
      <c r="A1198" s="0" t="s">
        <v>31</v>
      </c>
      <c r="E1198" s="9" t="str">
        <f aca="false">IF(D1198="?OLD","!!!","")</f>
        <v/>
      </c>
      <c r="F1198" s="10" t="str">
        <f aca="false">IF(OR(E1198="",E1198="!!!"),"",IF(NOT(ISNA(VLOOKUP(E1198,E$1:E1197,1,FALSE()))),"OLD",IF(AND(E1198&lt;&gt;"",E1198&lt;&gt;"!!!"),"NEW","")))</f>
        <v/>
      </c>
      <c r="G1198" s="11" t="str">
        <f aca="false">IF(OR(E1198="",E1198="!!!"),"",IF(OR(J1198=0,AND(J1198=1,K1198=1),AND(J1198=1,I1198="SBJ"),AND(J1198=1,I1198=0)),"?IN_FOCUS",IF(J1198&lt;=2,"?ACTIVATED",IF(J1198&lt;&gt;"","?FAMILIAR",IF(F1198="NEW",IF(ISNA(VLOOKUP(E1198,#REF!,1,FALSE())),"?TYPE_IDENTIFIABLE","?REFERENTIAL"),"_")))))</f>
        <v/>
      </c>
      <c r="H1198" s="12" t="str">
        <f aca="false">IF(J1198&lt;&gt;1,"",IF(I1198="SBJ","CB","?"))</f>
        <v/>
      </c>
      <c r="I1198" s="13" t="str">
        <f aca="false">IF(OR(E1198="",E1198="!!!",F1198="NEW"),"",INDEX(B$2:B1197,-1+SUMPRODUCT(MAX(ROW(E$2:E1197)*(E1198=E$2:E1197)))))</f>
        <v/>
      </c>
      <c r="J1198" s="14" t="str">
        <f aca="true">IF(OR(E1198="",E1198="!!!",F1198="NEW"),"",COUNTBLANK(OFFSET(A$1,,,SUMPRODUCT(MAX(ROW(E$2:E1198)*(E1198=E$2:E1198)))))-COUNTBLANK(OFFSET(A$1,,,SUMPRODUCT(MAX(ROW(E$1:E1197)*(E1198=E$1:E1197))))))</f>
        <v/>
      </c>
      <c r="K1198" s="14" t="str">
        <f aca="false">IF(OR(E1198="",E1198="!!!",F1198="NEW"),"",INDEX(J$1:J1197,SUMPRODUCT(MAX(ROW(E$1:E1197)*(E1198=E$1:E1197)))))</f>
        <v/>
      </c>
      <c r="L1198" s="15"/>
    </row>
    <row r="1199" customFormat="false" ht="12.75" hidden="false" customHeight="false" outlineLevel="0" collapsed="false">
      <c r="A1199" s="0" t="s">
        <v>436</v>
      </c>
      <c r="E1199" s="9" t="str">
        <f aca="false">IF(D1199="?OLD","!!!","")</f>
        <v/>
      </c>
      <c r="F1199" s="10" t="str">
        <f aca="false">IF(OR(E1199="",E1199="!!!"),"",IF(NOT(ISNA(VLOOKUP(E1199,E$1:E1198,1,FALSE()))),"OLD",IF(AND(E1199&lt;&gt;"",E1199&lt;&gt;"!!!"),"NEW","")))</f>
        <v/>
      </c>
      <c r="G1199" s="11" t="str">
        <f aca="false">IF(OR(E1199="",E1199="!!!"),"",IF(OR(J1199=0,AND(J1199=1,K1199=1),AND(J1199=1,I1199="SBJ"),AND(J1199=1,I1199=0)),"?IN_FOCUS",IF(J1199&lt;=2,"?ACTIVATED",IF(J1199&lt;&gt;"","?FAMILIAR",IF(F1199="NEW",IF(ISNA(VLOOKUP(E1199,#REF!,1,FALSE())),"?TYPE_IDENTIFIABLE","?REFERENTIAL"),"_")))))</f>
        <v/>
      </c>
      <c r="H1199" s="12" t="str">
        <f aca="false">IF(J1199&lt;&gt;1,"",IF(I1199="SBJ","CB","?"))</f>
        <v/>
      </c>
      <c r="I1199" s="13" t="str">
        <f aca="false">IF(OR(E1199="",E1199="!!!",F1199="NEW"),"",INDEX(B$2:B1198,-1+SUMPRODUCT(MAX(ROW(E$2:E1198)*(E1199=E$2:E1198)))))</f>
        <v/>
      </c>
      <c r="J1199" s="14" t="str">
        <f aca="true">IF(OR(E1199="",E1199="!!!",F1199="NEW"),"",COUNTBLANK(OFFSET(A$1,,,SUMPRODUCT(MAX(ROW(E$2:E1199)*(E1199=E$2:E1199)))))-COUNTBLANK(OFFSET(A$1,,,SUMPRODUCT(MAX(ROW(E$1:E1198)*(E1199=E$1:E1198))))))</f>
        <v/>
      </c>
      <c r="K1199" s="14" t="str">
        <f aca="false">IF(OR(E1199="",E1199="!!!",F1199="NEW"),"",INDEX(J$1:J1198,SUMPRODUCT(MAX(ROW(E$1:E1198)*(E1199=E$1:E1198)))))</f>
        <v/>
      </c>
      <c r="L1199" s="15"/>
    </row>
    <row r="1200" customFormat="false" ht="12.75" hidden="false" customHeight="false" outlineLevel="0" collapsed="false">
      <c r="A1200" s="0" t="s">
        <v>31</v>
      </c>
      <c r="E1200" s="9" t="str">
        <f aca="false">IF(D1200="?OLD","!!!","")</f>
        <v/>
      </c>
      <c r="F1200" s="10" t="str">
        <f aca="false">IF(OR(E1200="",E1200="!!!"),"",IF(NOT(ISNA(VLOOKUP(E1200,E$1:E1199,1,FALSE()))),"OLD",IF(AND(E1200&lt;&gt;"",E1200&lt;&gt;"!!!"),"NEW","")))</f>
        <v/>
      </c>
      <c r="G1200" s="11" t="str">
        <f aca="false">IF(OR(E1200="",E1200="!!!"),"",IF(OR(J1200=0,AND(J1200=1,K1200=1),AND(J1200=1,I1200="SBJ"),AND(J1200=1,I1200=0)),"?IN_FOCUS",IF(J1200&lt;=2,"?ACTIVATED",IF(J1200&lt;&gt;"","?FAMILIAR",IF(F1200="NEW",IF(ISNA(VLOOKUP(E1200,#REF!,1,FALSE())),"?TYPE_IDENTIFIABLE","?REFERENTIAL"),"_")))))</f>
        <v/>
      </c>
      <c r="H1200" s="12" t="str">
        <f aca="false">IF(J1200&lt;&gt;1,"",IF(I1200="SBJ","CB","?"))</f>
        <v/>
      </c>
      <c r="I1200" s="13" t="str">
        <f aca="false">IF(OR(E1200="",E1200="!!!",F1200="NEW"),"",INDEX(B$2:B1199,-1+SUMPRODUCT(MAX(ROW(E$2:E1199)*(E1200=E$2:E1199)))))</f>
        <v/>
      </c>
      <c r="J1200" s="14" t="str">
        <f aca="true">IF(OR(E1200="",E1200="!!!",F1200="NEW"),"",COUNTBLANK(OFFSET(A$1,,,SUMPRODUCT(MAX(ROW(E$2:E1200)*(E1200=E$2:E1200)))))-COUNTBLANK(OFFSET(A$1,,,SUMPRODUCT(MAX(ROW(E$1:E1199)*(E1200=E$1:E1199))))))</f>
        <v/>
      </c>
      <c r="K1200" s="14" t="str">
        <f aca="false">IF(OR(E1200="",E1200="!!!",F1200="NEW"),"",INDEX(J$1:J1199,SUMPRODUCT(MAX(ROW(E$1:E1199)*(E1200=E$1:E1199)))))</f>
        <v/>
      </c>
      <c r="L1200" s="15"/>
    </row>
    <row r="1201" customFormat="false" ht="12.75" hidden="false" customHeight="false" outlineLevel="0" collapsed="false">
      <c r="A1201" s="0" t="s">
        <v>128</v>
      </c>
      <c r="E1201" s="9" t="str">
        <f aca="false">IF(D1201="?OLD","!!!","")</f>
        <v/>
      </c>
      <c r="F1201" s="10" t="str">
        <f aca="false">IF(OR(E1201="",E1201="!!!"),"",IF(NOT(ISNA(VLOOKUP(E1201,E$1:E1200,1,FALSE()))),"OLD",IF(AND(E1201&lt;&gt;"",E1201&lt;&gt;"!!!"),"NEW","")))</f>
        <v/>
      </c>
      <c r="G1201" s="11" t="str">
        <f aca="false">IF(OR(E1201="",E1201="!!!"),"",IF(OR(J1201=0,AND(J1201=1,K1201=1),AND(J1201=1,I1201="SBJ"),AND(J1201=1,I1201=0)),"?IN_FOCUS",IF(J1201&lt;=2,"?ACTIVATED",IF(J1201&lt;&gt;"","?FAMILIAR",IF(F1201="NEW",IF(ISNA(VLOOKUP(E1201,#REF!,1,FALSE())),"?TYPE_IDENTIFIABLE","?REFERENTIAL"),"_")))))</f>
        <v/>
      </c>
      <c r="H1201" s="12" t="str">
        <f aca="false">IF(J1201&lt;&gt;1,"",IF(I1201="SBJ","CB","?"))</f>
        <v/>
      </c>
      <c r="I1201" s="13" t="str">
        <f aca="false">IF(OR(E1201="",E1201="!!!",F1201="NEW"),"",INDEX(B$2:B1200,-1+SUMPRODUCT(MAX(ROW(E$2:E1200)*(E1201=E$2:E1200)))))</f>
        <v/>
      </c>
      <c r="J1201" s="14" t="str">
        <f aca="true">IF(OR(E1201="",E1201="!!!",F1201="NEW"),"",COUNTBLANK(OFFSET(A$1,,,SUMPRODUCT(MAX(ROW(E$2:E1201)*(E1201=E$2:E1201)))))-COUNTBLANK(OFFSET(A$1,,,SUMPRODUCT(MAX(ROW(E$1:E1200)*(E1201=E$1:E1200))))))</f>
        <v/>
      </c>
      <c r="K1201" s="14" t="str">
        <f aca="false">IF(OR(E1201="",E1201="!!!",F1201="NEW"),"",INDEX(J$1:J1200,SUMPRODUCT(MAX(ROW(E$1:E1200)*(E1201=E$1:E1200)))))</f>
        <v/>
      </c>
      <c r="L1201" s="15"/>
    </row>
    <row r="1202" customFormat="false" ht="12.75" hidden="false" customHeight="false" outlineLevel="0" collapsed="false">
      <c r="A1202" s="0" t="s">
        <v>566</v>
      </c>
      <c r="E1202" s="9" t="str">
        <f aca="false">IF(D1202="?OLD","!!!","")</f>
        <v/>
      </c>
      <c r="F1202" s="10" t="str">
        <f aca="false">IF(OR(E1202="",E1202="!!!"),"",IF(NOT(ISNA(VLOOKUP(E1202,E$1:E1201,1,FALSE()))),"OLD",IF(AND(E1202&lt;&gt;"",E1202&lt;&gt;"!!!"),"NEW","")))</f>
        <v/>
      </c>
      <c r="G1202" s="11" t="str">
        <f aca="false">IF(OR(E1202="",E1202="!!!"),"",IF(OR(J1202=0,AND(J1202=1,K1202=1),AND(J1202=1,I1202="SBJ"),AND(J1202=1,I1202=0)),"?IN_FOCUS",IF(J1202&lt;=2,"?ACTIVATED",IF(J1202&lt;&gt;"","?FAMILIAR",IF(F1202="NEW",IF(ISNA(VLOOKUP(E1202,#REF!,1,FALSE())),"?TYPE_IDENTIFIABLE","?REFERENTIAL"),"_")))))</f>
        <v/>
      </c>
      <c r="H1202" s="12" t="str">
        <f aca="false">IF(J1202&lt;&gt;1,"",IF(I1202="SBJ","CB","?"))</f>
        <v/>
      </c>
      <c r="I1202" s="13" t="str">
        <f aca="false">IF(OR(E1202="",E1202="!!!",F1202="NEW"),"",INDEX(B$2:B1201,-1+SUMPRODUCT(MAX(ROW(E$2:E1201)*(E1202=E$2:E1201)))))</f>
        <v/>
      </c>
      <c r="J1202" s="14" t="str">
        <f aca="true">IF(OR(E1202="",E1202="!!!",F1202="NEW"),"",COUNTBLANK(OFFSET(A$1,,,SUMPRODUCT(MAX(ROW(E$2:E1202)*(E1202=E$2:E1202)))))-COUNTBLANK(OFFSET(A$1,,,SUMPRODUCT(MAX(ROW(E$1:E1201)*(E1202=E$1:E1201))))))</f>
        <v/>
      </c>
      <c r="K1202" s="14" t="str">
        <f aca="false">IF(OR(E1202="",E1202="!!!",F1202="NEW"),"",INDEX(J$1:J1201,SUMPRODUCT(MAX(ROW(E$1:E1201)*(E1202=E$1:E1201)))))</f>
        <v/>
      </c>
      <c r="L1202" s="15"/>
    </row>
    <row r="1203" customFormat="false" ht="12.75" hidden="false" customHeight="false" outlineLevel="0" collapsed="false">
      <c r="A1203" s="0" t="s">
        <v>88</v>
      </c>
      <c r="E1203" s="9" t="str">
        <f aca="false">IF(D1203="?OLD","!!!","")</f>
        <v/>
      </c>
      <c r="F1203" s="10" t="str">
        <f aca="false">IF(OR(E1203="",E1203="!!!"),"",IF(NOT(ISNA(VLOOKUP(E1203,E$1:E1202,1,FALSE()))),"OLD",IF(AND(E1203&lt;&gt;"",E1203&lt;&gt;"!!!"),"NEW","")))</f>
        <v/>
      </c>
      <c r="G1203" s="11" t="str">
        <f aca="false">IF(OR(E1203="",E1203="!!!"),"",IF(OR(J1203=0,AND(J1203=1,K1203=1),AND(J1203=1,I1203="SBJ"),AND(J1203=1,I1203=0)),"?IN_FOCUS",IF(J1203&lt;=2,"?ACTIVATED",IF(J1203&lt;&gt;"","?FAMILIAR",IF(F1203="NEW",IF(ISNA(VLOOKUP(E1203,#REF!,1,FALSE())),"?TYPE_IDENTIFIABLE","?REFERENTIAL"),"_")))))</f>
        <v/>
      </c>
      <c r="H1203" s="12" t="str">
        <f aca="false">IF(J1203&lt;&gt;1,"",IF(I1203="SBJ","CB","?"))</f>
        <v/>
      </c>
      <c r="I1203" s="13" t="str">
        <f aca="false">IF(OR(E1203="",E1203="!!!",F1203="NEW"),"",INDEX(B$2:B1202,-1+SUMPRODUCT(MAX(ROW(E$2:E1202)*(E1203=E$2:E1202)))))</f>
        <v/>
      </c>
      <c r="J1203" s="14" t="str">
        <f aca="true">IF(OR(E1203="",E1203="!!!",F1203="NEW"),"",COUNTBLANK(OFFSET(A$1,,,SUMPRODUCT(MAX(ROW(E$2:E1203)*(E1203=E$2:E1203)))))-COUNTBLANK(OFFSET(A$1,,,SUMPRODUCT(MAX(ROW(E$1:E1202)*(E1203=E$1:E1202))))))</f>
        <v/>
      </c>
      <c r="K1203" s="14" t="str">
        <f aca="false">IF(OR(E1203="",E1203="!!!",F1203="NEW"),"",INDEX(J$1:J1202,SUMPRODUCT(MAX(ROW(E$1:E1202)*(E1203=E$1:E1202)))))</f>
        <v/>
      </c>
      <c r="L1203" s="15"/>
    </row>
    <row r="1204" customFormat="false" ht="12.75" hidden="false" customHeight="false" outlineLevel="0" collapsed="false">
      <c r="A1204" s="0" t="s">
        <v>567</v>
      </c>
      <c r="E1204" s="9" t="str">
        <f aca="false">IF(D1204="?OLD","!!!","")</f>
        <v/>
      </c>
      <c r="F1204" s="10" t="str">
        <f aca="false">IF(OR(E1204="",E1204="!!!"),"",IF(NOT(ISNA(VLOOKUP(E1204,E$1:E1203,1,FALSE()))),"OLD",IF(AND(E1204&lt;&gt;"",E1204&lt;&gt;"!!!"),"NEW","")))</f>
        <v/>
      </c>
      <c r="G1204" s="11" t="str">
        <f aca="false">IF(OR(E1204="",E1204="!!!"),"",IF(OR(J1204=0,AND(J1204=1,K1204=1),AND(J1204=1,I1204="SBJ"),AND(J1204=1,I1204=0)),"?IN_FOCUS",IF(J1204&lt;=2,"?ACTIVATED",IF(J1204&lt;&gt;"","?FAMILIAR",IF(F1204="NEW",IF(ISNA(VLOOKUP(E1204,#REF!,1,FALSE())),"?TYPE_IDENTIFIABLE","?REFERENTIAL"),"_")))))</f>
        <v/>
      </c>
      <c r="H1204" s="12" t="str">
        <f aca="false">IF(J1204&lt;&gt;1,"",IF(I1204="SBJ","CB","?"))</f>
        <v/>
      </c>
      <c r="I1204" s="13" t="str">
        <f aca="false">IF(OR(E1204="",E1204="!!!",F1204="NEW"),"",INDEX(B$2:B1203,-1+SUMPRODUCT(MAX(ROW(E$2:E1203)*(E1204=E$2:E1203)))))</f>
        <v/>
      </c>
      <c r="J1204" s="14" t="str">
        <f aca="true">IF(OR(E1204="",E1204="!!!",F1204="NEW"),"",COUNTBLANK(OFFSET(A$1,,,SUMPRODUCT(MAX(ROW(E$2:E1204)*(E1204=E$2:E1204)))))-COUNTBLANK(OFFSET(A$1,,,SUMPRODUCT(MAX(ROW(E$1:E1203)*(E1204=E$1:E1203))))))</f>
        <v/>
      </c>
      <c r="K1204" s="14" t="str">
        <f aca="false">IF(OR(E1204="",E1204="!!!",F1204="NEW"),"",INDEX(J$1:J1203,SUMPRODUCT(MAX(ROW(E$1:E1203)*(E1204=E$1:E1203)))))</f>
        <v/>
      </c>
      <c r="L1204" s="15"/>
    </row>
    <row r="1205" customFormat="false" ht="12.75" hidden="false" customHeight="false" outlineLevel="0" collapsed="false">
      <c r="A1205" s="0" t="s">
        <v>568</v>
      </c>
      <c r="E1205" s="9" t="str">
        <f aca="false">IF(D1205="?OLD","!!!","")</f>
        <v/>
      </c>
      <c r="F1205" s="10" t="str">
        <f aca="false">IF(OR(E1205="",E1205="!!!"),"",IF(NOT(ISNA(VLOOKUP(E1205,E$1:E1204,1,FALSE()))),"OLD",IF(AND(E1205&lt;&gt;"",E1205&lt;&gt;"!!!"),"NEW","")))</f>
        <v/>
      </c>
      <c r="G1205" s="11" t="str">
        <f aca="false">IF(OR(E1205="",E1205="!!!"),"",IF(OR(J1205=0,AND(J1205=1,K1205=1),AND(J1205=1,I1205="SBJ"),AND(J1205=1,I1205=0)),"?IN_FOCUS",IF(J1205&lt;=2,"?ACTIVATED",IF(J1205&lt;&gt;"","?FAMILIAR",IF(F1205="NEW",IF(ISNA(VLOOKUP(E1205,#REF!,1,FALSE())),"?TYPE_IDENTIFIABLE","?REFERENTIAL"),"_")))))</f>
        <v/>
      </c>
      <c r="H1205" s="12" t="str">
        <f aca="false">IF(J1205&lt;&gt;1,"",IF(I1205="SBJ","CB","?"))</f>
        <v/>
      </c>
      <c r="I1205" s="13" t="str">
        <f aca="false">IF(OR(E1205="",E1205="!!!",F1205="NEW"),"",INDEX(B$2:B1204,-1+SUMPRODUCT(MAX(ROW(E$2:E1204)*(E1205=E$2:E1204)))))</f>
        <v/>
      </c>
      <c r="J1205" s="14" t="str">
        <f aca="true">IF(OR(E1205="",E1205="!!!",F1205="NEW"),"",COUNTBLANK(OFFSET(A$1,,,SUMPRODUCT(MAX(ROW(E$2:E1205)*(E1205=E$2:E1205)))))-COUNTBLANK(OFFSET(A$1,,,SUMPRODUCT(MAX(ROW(E$1:E1204)*(E1205=E$1:E1204))))))</f>
        <v/>
      </c>
      <c r="K1205" s="14" t="str">
        <f aca="false">IF(OR(E1205="",E1205="!!!",F1205="NEW"),"",INDEX(J$1:J1204,SUMPRODUCT(MAX(ROW(E$1:E1204)*(E1205=E$1:E1204)))))</f>
        <v/>
      </c>
      <c r="L1205" s="15"/>
    </row>
    <row r="1206" customFormat="false" ht="12.75" hidden="false" customHeight="false" outlineLevel="0" collapsed="false">
      <c r="A1206" s="0" t="s">
        <v>73</v>
      </c>
      <c r="E1206" s="9" t="str">
        <f aca="false">IF(D1206="?OLD","!!!","")</f>
        <v/>
      </c>
      <c r="F1206" s="10" t="str">
        <f aca="false">IF(OR(E1206="",E1206="!!!"),"",IF(NOT(ISNA(VLOOKUP(E1206,E$1:E1205,1,FALSE()))),"OLD",IF(AND(E1206&lt;&gt;"",E1206&lt;&gt;"!!!"),"NEW","")))</f>
        <v/>
      </c>
      <c r="G1206" s="11" t="str">
        <f aca="false">IF(OR(E1206="",E1206="!!!"),"",IF(OR(J1206=0,AND(J1206=1,K1206=1),AND(J1206=1,I1206="SBJ"),AND(J1206=1,I1206=0)),"?IN_FOCUS",IF(J1206&lt;=2,"?ACTIVATED",IF(J1206&lt;&gt;"","?FAMILIAR",IF(F1206="NEW",IF(ISNA(VLOOKUP(E1206,#REF!,1,FALSE())),"?TYPE_IDENTIFIABLE","?REFERENTIAL"),"_")))))</f>
        <v/>
      </c>
      <c r="H1206" s="12" t="str">
        <f aca="false">IF(J1206&lt;&gt;1,"",IF(I1206="SBJ","CB","?"))</f>
        <v/>
      </c>
      <c r="I1206" s="13" t="str">
        <f aca="false">IF(OR(E1206="",E1206="!!!",F1206="NEW"),"",INDEX(B$2:B1205,-1+SUMPRODUCT(MAX(ROW(E$2:E1205)*(E1206=E$2:E1205)))))</f>
        <v/>
      </c>
      <c r="J1206" s="14" t="str">
        <f aca="true">IF(OR(E1206="",E1206="!!!",F1206="NEW"),"",COUNTBLANK(OFFSET(A$1,,,SUMPRODUCT(MAX(ROW(E$2:E1206)*(E1206=E$2:E1206)))))-COUNTBLANK(OFFSET(A$1,,,SUMPRODUCT(MAX(ROW(E$1:E1205)*(E1206=E$1:E1205))))))</f>
        <v/>
      </c>
      <c r="K1206" s="14" t="str">
        <f aca="false">IF(OR(E1206="",E1206="!!!",F1206="NEW"),"",INDEX(J$1:J1205,SUMPRODUCT(MAX(ROW(E$1:E1205)*(E1206=E$1:E1205)))))</f>
        <v/>
      </c>
      <c r="L1206" s="15"/>
    </row>
    <row r="1207" customFormat="false" ht="12.75" hidden="false" customHeight="false" outlineLevel="0" collapsed="false">
      <c r="E1207" s="9" t="str">
        <f aca="false">IF(D1207="?OLD","!!!","")</f>
        <v/>
      </c>
      <c r="F1207" s="10" t="str">
        <f aca="false">IF(OR(E1207="",E1207="!!!"),"",IF(NOT(ISNA(VLOOKUP(E1207,E$1:E1206,1,FALSE()))),"OLD",IF(AND(E1207&lt;&gt;"",E1207&lt;&gt;"!!!"),"NEW","")))</f>
        <v/>
      </c>
      <c r="G1207" s="11" t="str">
        <f aca="false">IF(OR(E1207="",E1207="!!!"),"",IF(OR(J1207=0,AND(J1207=1,K1207=1),AND(J1207=1,I1207="SBJ"),AND(J1207=1,I1207=0)),"?IN_FOCUS",IF(J1207&lt;=2,"?ACTIVATED",IF(J1207&lt;&gt;"","?FAMILIAR",IF(F1207="NEW",IF(ISNA(VLOOKUP(E1207,#REF!,1,FALSE())),"?TYPE_IDENTIFIABLE","?REFERENTIAL"),"_")))))</f>
        <v/>
      </c>
      <c r="H1207" s="12" t="str">
        <f aca="false">IF(J1207&lt;&gt;1,"",IF(I1207="SBJ","CB","?"))</f>
        <v/>
      </c>
      <c r="I1207" s="13" t="str">
        <f aca="false">IF(OR(E1207="",E1207="!!!",F1207="NEW"),"",INDEX(B$2:B1206,-1+SUMPRODUCT(MAX(ROW(E$2:E1206)*(E1207=E$2:E1206)))))</f>
        <v/>
      </c>
      <c r="J1207" s="14" t="str">
        <f aca="true">IF(OR(E1207="",E1207="!!!",F1207="NEW"),"",COUNTBLANK(OFFSET(A$1,,,SUMPRODUCT(MAX(ROW(E$2:E1207)*(E1207=E$2:E1207)))))-COUNTBLANK(OFFSET(A$1,,,SUMPRODUCT(MAX(ROW(E$1:E1206)*(E1207=E$1:E1206))))))</f>
        <v/>
      </c>
      <c r="K1207" s="14" t="str">
        <f aca="false">IF(OR(E1207="",E1207="!!!",F1207="NEW"),"",INDEX(J$1:J1206,SUMPRODUCT(MAX(ROW(E$1:E1206)*(E1207=E$1:E1206)))))</f>
        <v/>
      </c>
      <c r="L1207" s="15"/>
    </row>
    <row r="1208" customFormat="false" ht="12.75" hidden="false" customHeight="false" outlineLevel="0" collapsed="false">
      <c r="A1208" s="0" t="s">
        <v>569</v>
      </c>
      <c r="E1208" s="9" t="str">
        <f aca="false">IF(D1208="?OLD","!!!","")</f>
        <v/>
      </c>
      <c r="F1208" s="10" t="str">
        <f aca="false">IF(OR(E1208="",E1208="!!!"),"",IF(NOT(ISNA(VLOOKUP(E1208,E$1:E1207,1,FALSE()))),"OLD",IF(AND(E1208&lt;&gt;"",E1208&lt;&gt;"!!!"),"NEW","")))</f>
        <v/>
      </c>
      <c r="G1208" s="11" t="str">
        <f aca="false">IF(OR(E1208="",E1208="!!!"),"",IF(OR(J1208=0,AND(J1208=1,K1208=1),AND(J1208=1,I1208="SBJ"),AND(J1208=1,I1208=0)),"?IN_FOCUS",IF(J1208&lt;=2,"?ACTIVATED",IF(J1208&lt;&gt;"","?FAMILIAR",IF(F1208="NEW",IF(ISNA(VLOOKUP(E1208,#REF!,1,FALSE())),"?TYPE_IDENTIFIABLE","?REFERENTIAL"),"_")))))</f>
        <v/>
      </c>
      <c r="H1208" s="12" t="str">
        <f aca="false">IF(J1208&lt;&gt;1,"",IF(I1208="SBJ","CB","?"))</f>
        <v/>
      </c>
      <c r="I1208" s="13" t="str">
        <f aca="false">IF(OR(E1208="",E1208="!!!",F1208="NEW"),"",INDEX(B$2:B1207,-1+SUMPRODUCT(MAX(ROW(E$2:E1207)*(E1208=E$2:E1207)))))</f>
        <v/>
      </c>
      <c r="J1208" s="14" t="str">
        <f aca="true">IF(OR(E1208="",E1208="!!!",F1208="NEW"),"",COUNTBLANK(OFFSET(A$1,,,SUMPRODUCT(MAX(ROW(E$2:E1208)*(E1208=E$2:E1208)))))-COUNTBLANK(OFFSET(A$1,,,SUMPRODUCT(MAX(ROW(E$1:E1207)*(E1208=E$1:E1207))))))</f>
        <v/>
      </c>
      <c r="K1208" s="14" t="str">
        <f aca="false">IF(OR(E1208="",E1208="!!!",F1208="NEW"),"",INDEX(J$1:J1207,SUMPRODUCT(MAX(ROW(E$1:E1207)*(E1208=E$1:E1207)))))</f>
        <v/>
      </c>
      <c r="L1208" s="15"/>
    </row>
    <row r="1209" customFormat="false" ht="12.75" hidden="false" customHeight="false" outlineLevel="0" collapsed="false">
      <c r="A1209" s="0" t="s">
        <v>109</v>
      </c>
      <c r="E1209" s="9" t="str">
        <f aca="false">IF(D1209="?OLD","!!!","")</f>
        <v/>
      </c>
      <c r="F1209" s="10" t="str">
        <f aca="false">IF(OR(E1209="",E1209="!!!"),"",IF(NOT(ISNA(VLOOKUP(E1209,E$1:E1208,1,FALSE()))),"OLD",IF(AND(E1209&lt;&gt;"",E1209&lt;&gt;"!!!"),"NEW","")))</f>
        <v/>
      </c>
      <c r="G1209" s="11" t="str">
        <f aca="false">IF(OR(E1209="",E1209="!!!"),"",IF(OR(J1209=0,AND(J1209=1,K1209=1),AND(J1209=1,I1209="SBJ"),AND(J1209=1,I1209=0)),"?IN_FOCUS",IF(J1209&lt;=2,"?ACTIVATED",IF(J1209&lt;&gt;"","?FAMILIAR",IF(F1209="NEW",IF(ISNA(VLOOKUP(E1209,#REF!,1,FALSE())),"?TYPE_IDENTIFIABLE","?REFERENTIAL"),"_")))))</f>
        <v/>
      </c>
      <c r="H1209" s="12" t="str">
        <f aca="false">IF(J1209&lt;&gt;1,"",IF(I1209="SBJ","CB","?"))</f>
        <v/>
      </c>
      <c r="I1209" s="13" t="str">
        <f aca="false">IF(OR(E1209="",E1209="!!!",F1209="NEW"),"",INDEX(B$2:B1208,-1+SUMPRODUCT(MAX(ROW(E$2:E1208)*(E1209=E$2:E1208)))))</f>
        <v/>
      </c>
      <c r="J1209" s="14" t="str">
        <f aca="true">IF(OR(E1209="",E1209="!!!",F1209="NEW"),"",COUNTBLANK(OFFSET(A$1,,,SUMPRODUCT(MAX(ROW(E$2:E1209)*(E1209=E$2:E1209)))))-COUNTBLANK(OFFSET(A$1,,,SUMPRODUCT(MAX(ROW(E$1:E1208)*(E1209=E$1:E1208))))))</f>
        <v/>
      </c>
      <c r="K1209" s="14" t="str">
        <f aca="false">IF(OR(E1209="",E1209="!!!",F1209="NEW"),"",INDEX(J$1:J1208,SUMPRODUCT(MAX(ROW(E$1:E1208)*(E1209=E$1:E1208)))))</f>
        <v/>
      </c>
      <c r="L1209" s="15"/>
    </row>
    <row r="1210" customFormat="false" ht="12.75" hidden="false" customHeight="false" outlineLevel="0" collapsed="false">
      <c r="A1210" s="0" t="s">
        <v>570</v>
      </c>
      <c r="E1210" s="9" t="str">
        <f aca="false">IF(D1210="?OLD","!!!","")</f>
        <v/>
      </c>
      <c r="F1210" s="10" t="str">
        <f aca="false">IF(OR(E1210="",E1210="!!!"),"",IF(NOT(ISNA(VLOOKUP(E1210,E$1:E1209,1,FALSE()))),"OLD",IF(AND(E1210&lt;&gt;"",E1210&lt;&gt;"!!!"),"NEW","")))</f>
        <v/>
      </c>
      <c r="G1210" s="11" t="str">
        <f aca="false">IF(OR(E1210="",E1210="!!!"),"",IF(OR(J1210=0,AND(J1210=1,K1210=1),AND(J1210=1,I1210="SBJ"),AND(J1210=1,I1210=0)),"?IN_FOCUS",IF(J1210&lt;=2,"?ACTIVATED",IF(J1210&lt;&gt;"","?FAMILIAR",IF(F1210="NEW",IF(ISNA(VLOOKUP(E1210,#REF!,1,FALSE())),"?TYPE_IDENTIFIABLE","?REFERENTIAL"),"_")))))</f>
        <v/>
      </c>
      <c r="H1210" s="12" t="str">
        <f aca="false">IF(J1210&lt;&gt;1,"",IF(I1210="SBJ","CB","?"))</f>
        <v/>
      </c>
      <c r="I1210" s="13" t="str">
        <f aca="false">IF(OR(E1210="",E1210="!!!",F1210="NEW"),"",INDEX(B$2:B1209,-1+SUMPRODUCT(MAX(ROW(E$2:E1209)*(E1210=E$2:E1209)))))</f>
        <v/>
      </c>
      <c r="J1210" s="14" t="str">
        <f aca="true">IF(OR(E1210="",E1210="!!!",F1210="NEW"),"",COUNTBLANK(OFFSET(A$1,,,SUMPRODUCT(MAX(ROW(E$2:E1210)*(E1210=E$2:E1210)))))-COUNTBLANK(OFFSET(A$1,,,SUMPRODUCT(MAX(ROW(E$1:E1209)*(E1210=E$1:E1209))))))</f>
        <v/>
      </c>
      <c r="K1210" s="14" t="str">
        <f aca="false">IF(OR(E1210="",E1210="!!!",F1210="NEW"),"",INDEX(J$1:J1209,SUMPRODUCT(MAX(ROW(E$1:E1209)*(E1210=E$1:E1209)))))</f>
        <v/>
      </c>
      <c r="L1210" s="15"/>
    </row>
    <row r="1211" customFormat="false" ht="12.75" hidden="false" customHeight="false" outlineLevel="0" collapsed="false">
      <c r="A1211" s="0" t="s">
        <v>571</v>
      </c>
      <c r="B1211" s="0" t="s">
        <v>62</v>
      </c>
      <c r="C1211" s="0" t="s">
        <v>111</v>
      </c>
      <c r="D1211" s="0" t="s">
        <v>29</v>
      </c>
      <c r="E1211" s="9" t="str">
        <f aca="false">IF(D1211="?OLD","!!!","")</f>
        <v>!!!</v>
      </c>
      <c r="F1211" s="10" t="str">
        <f aca="false">IF(OR(E1211="",E1211="!!!"),"",IF(NOT(ISNA(VLOOKUP(E1211,E$1:E1210,1,FALSE()))),"OLD",IF(AND(E1211&lt;&gt;"",E1211&lt;&gt;"!!!"),"NEW","")))</f>
        <v/>
      </c>
      <c r="G1211" s="11" t="str">
        <f aca="false">IF(OR(E1211="",E1211="!!!"),"",IF(OR(J1211=0,AND(J1211=1,K1211=1),AND(J1211=1,I1211="SBJ"),AND(J1211=1,I1211=0)),"?IN_FOCUS",IF(J1211&lt;=2,"?ACTIVATED",IF(J1211&lt;&gt;"","?FAMILIAR",IF(F1211="NEW",IF(ISNA(VLOOKUP(E1211,#REF!,1,FALSE())),"?TYPE_IDENTIFIABLE","?REFERENTIAL"),"_")))))</f>
        <v/>
      </c>
      <c r="H1211" s="12" t="str">
        <f aca="false">IF(J1211&lt;&gt;1,"",IF(I1211="SBJ","CB","?"))</f>
        <v/>
      </c>
      <c r="I1211" s="13" t="str">
        <f aca="false">IF(OR(E1211="",E1211="!!!",F1211="NEW"),"",INDEX(B$2:B1210,-1+SUMPRODUCT(MAX(ROW(E$2:E1210)*(E1211=E$2:E1210)))))</f>
        <v/>
      </c>
      <c r="J1211" s="14" t="str">
        <f aca="true">IF(OR(E1211="",E1211="!!!",F1211="NEW"),"",COUNTBLANK(OFFSET(A$1,,,SUMPRODUCT(MAX(ROW(E$2:E1211)*(E1211=E$2:E1211)))))-COUNTBLANK(OFFSET(A$1,,,SUMPRODUCT(MAX(ROW(E$1:E1210)*(E1211=E$1:E1210))))))</f>
        <v/>
      </c>
      <c r="K1211" s="14" t="str">
        <f aca="false">IF(OR(E1211="",E1211="!!!",F1211="NEW"),"",INDEX(J$1:J1210,SUMPRODUCT(MAX(ROW(E$1:E1210)*(E1211=E$1:E1210)))))</f>
        <v/>
      </c>
      <c r="L1211" s="15"/>
    </row>
    <row r="1212" customFormat="false" ht="12.75" hidden="false" customHeight="false" outlineLevel="0" collapsed="false">
      <c r="A1212" s="0" t="s">
        <v>183</v>
      </c>
      <c r="E1212" s="9" t="str">
        <f aca="false">IF(D1212="?OLD","!!!","")</f>
        <v/>
      </c>
      <c r="F1212" s="10" t="str">
        <f aca="false">IF(OR(E1212="",E1212="!!!"),"",IF(NOT(ISNA(VLOOKUP(E1212,E$1:E1211,1,FALSE()))),"OLD",IF(AND(E1212&lt;&gt;"",E1212&lt;&gt;"!!!"),"NEW","")))</f>
        <v/>
      </c>
      <c r="G1212" s="11" t="str">
        <f aca="false">IF(OR(E1212="",E1212="!!!"),"",IF(OR(J1212=0,AND(J1212=1,K1212=1),AND(J1212=1,I1212="SBJ"),AND(J1212=1,I1212=0)),"?IN_FOCUS",IF(J1212&lt;=2,"?ACTIVATED",IF(J1212&lt;&gt;"","?FAMILIAR",IF(F1212="NEW",IF(ISNA(VLOOKUP(E1212,#REF!,1,FALSE())),"?TYPE_IDENTIFIABLE","?REFERENTIAL"),"_")))))</f>
        <v/>
      </c>
      <c r="H1212" s="12" t="str">
        <f aca="false">IF(J1212&lt;&gt;1,"",IF(I1212="SBJ","CB","?"))</f>
        <v/>
      </c>
      <c r="I1212" s="13" t="str">
        <f aca="false">IF(OR(E1212="",E1212="!!!",F1212="NEW"),"",INDEX(B$2:B1211,-1+SUMPRODUCT(MAX(ROW(E$2:E1211)*(E1212=E$2:E1211)))))</f>
        <v/>
      </c>
      <c r="J1212" s="14" t="str">
        <f aca="true">IF(OR(E1212="",E1212="!!!",F1212="NEW"),"",COUNTBLANK(OFFSET(A$1,,,SUMPRODUCT(MAX(ROW(E$2:E1212)*(E1212=E$2:E1212)))))-COUNTBLANK(OFFSET(A$1,,,SUMPRODUCT(MAX(ROW(E$1:E1211)*(E1212=E$1:E1211))))))</f>
        <v/>
      </c>
      <c r="K1212" s="14" t="str">
        <f aca="false">IF(OR(E1212="",E1212="!!!",F1212="NEW"),"",INDEX(J$1:J1211,SUMPRODUCT(MAX(ROW(E$1:E1211)*(E1212=E$1:E1211)))))</f>
        <v/>
      </c>
      <c r="L1212" s="15"/>
    </row>
    <row r="1213" customFormat="false" ht="12.75" hidden="false" customHeight="false" outlineLevel="0" collapsed="false">
      <c r="A1213" s="0" t="s">
        <v>36</v>
      </c>
      <c r="B1213" s="0" t="s">
        <v>62</v>
      </c>
      <c r="C1213" s="0" t="s">
        <v>38</v>
      </c>
      <c r="D1213" s="0" t="s">
        <v>29</v>
      </c>
      <c r="E1213" s="9" t="str">
        <f aca="false">IF(D1213="?OLD","!!!","")</f>
        <v>!!!</v>
      </c>
      <c r="F1213" s="10" t="str">
        <f aca="false">IF(OR(E1213="",E1213="!!!"),"",IF(NOT(ISNA(VLOOKUP(E1213,E$1:E1212,1,FALSE()))),"OLD",IF(AND(E1213&lt;&gt;"",E1213&lt;&gt;"!!!"),"NEW","")))</f>
        <v/>
      </c>
      <c r="G1213" s="11" t="str">
        <f aca="false">IF(OR(E1213="",E1213="!!!"),"",IF(OR(J1213=0,AND(J1213=1,K1213=1),AND(J1213=1,I1213="SBJ"),AND(J1213=1,I1213=0)),"?IN_FOCUS",IF(J1213&lt;=2,"?ACTIVATED",IF(J1213&lt;&gt;"","?FAMILIAR",IF(F1213="NEW",IF(ISNA(VLOOKUP(E1213,#REF!,1,FALSE())),"?TYPE_IDENTIFIABLE","?REFERENTIAL"),"_")))))</f>
        <v/>
      </c>
      <c r="H1213" s="12" t="str">
        <f aca="false">IF(J1213&lt;&gt;1,"",IF(I1213="SBJ","CB","?"))</f>
        <v/>
      </c>
      <c r="I1213" s="13" t="str">
        <f aca="false">IF(OR(E1213="",E1213="!!!",F1213="NEW"),"",INDEX(B$2:B1212,-1+SUMPRODUCT(MAX(ROW(E$2:E1212)*(E1213=E$2:E1212)))))</f>
        <v/>
      </c>
      <c r="J1213" s="14" t="str">
        <f aca="true">IF(OR(E1213="",E1213="!!!",F1213="NEW"),"",COUNTBLANK(OFFSET(A$1,,,SUMPRODUCT(MAX(ROW(E$2:E1213)*(E1213=E$2:E1213)))))-COUNTBLANK(OFFSET(A$1,,,SUMPRODUCT(MAX(ROW(E$1:E1212)*(E1213=E$1:E1212))))))</f>
        <v/>
      </c>
      <c r="K1213" s="14" t="str">
        <f aca="false">IF(OR(E1213="",E1213="!!!",F1213="NEW"),"",INDEX(J$1:J1212,SUMPRODUCT(MAX(ROW(E$1:E1212)*(E1213=E$1:E1212)))))</f>
        <v/>
      </c>
      <c r="L1213" s="15"/>
    </row>
    <row r="1214" customFormat="false" ht="12.75" hidden="false" customHeight="false" outlineLevel="0" collapsed="false">
      <c r="A1214" s="0" t="s">
        <v>31</v>
      </c>
      <c r="E1214" s="9" t="str">
        <f aca="false">IF(D1214="?OLD","!!!","")</f>
        <v/>
      </c>
      <c r="F1214" s="10" t="str">
        <f aca="false">IF(OR(E1214="",E1214="!!!"),"",IF(NOT(ISNA(VLOOKUP(E1214,E$1:E1213,1,FALSE()))),"OLD",IF(AND(E1214&lt;&gt;"",E1214&lt;&gt;"!!!"),"NEW","")))</f>
        <v/>
      </c>
      <c r="G1214" s="11" t="str">
        <f aca="false">IF(OR(E1214="",E1214="!!!"),"",IF(OR(J1214=0,AND(J1214=1,K1214=1),AND(J1214=1,I1214="SBJ"),AND(J1214=1,I1214=0)),"?IN_FOCUS",IF(J1214&lt;=2,"?ACTIVATED",IF(J1214&lt;&gt;"","?FAMILIAR",IF(F1214="NEW",IF(ISNA(VLOOKUP(E1214,#REF!,1,FALSE())),"?TYPE_IDENTIFIABLE","?REFERENTIAL"),"_")))))</f>
        <v/>
      </c>
      <c r="H1214" s="12" t="str">
        <f aca="false">IF(J1214&lt;&gt;1,"",IF(I1214="SBJ","CB","?"))</f>
        <v/>
      </c>
      <c r="I1214" s="13" t="str">
        <f aca="false">IF(OR(E1214="",E1214="!!!",F1214="NEW"),"",INDEX(B$2:B1213,-1+SUMPRODUCT(MAX(ROW(E$2:E1213)*(E1214=E$2:E1213)))))</f>
        <v/>
      </c>
      <c r="J1214" s="14" t="str">
        <f aca="true">IF(OR(E1214="",E1214="!!!",F1214="NEW"),"",COUNTBLANK(OFFSET(A$1,,,SUMPRODUCT(MAX(ROW(E$2:E1214)*(E1214=E$2:E1214)))))-COUNTBLANK(OFFSET(A$1,,,SUMPRODUCT(MAX(ROW(E$1:E1213)*(E1214=E$1:E1213))))))</f>
        <v/>
      </c>
      <c r="K1214" s="14" t="str">
        <f aca="false">IF(OR(E1214="",E1214="!!!",F1214="NEW"),"",INDEX(J$1:J1213,SUMPRODUCT(MAX(ROW(E$1:E1213)*(E1214=E$1:E1213)))))</f>
        <v/>
      </c>
      <c r="L1214" s="15"/>
    </row>
    <row r="1215" customFormat="false" ht="12.75" hidden="false" customHeight="false" outlineLevel="0" collapsed="false">
      <c r="A1215" s="0" t="s">
        <v>88</v>
      </c>
      <c r="E1215" s="9" t="str">
        <f aca="false">IF(D1215="?OLD","!!!","")</f>
        <v/>
      </c>
      <c r="F1215" s="10" t="str">
        <f aca="false">IF(OR(E1215="",E1215="!!!"),"",IF(NOT(ISNA(VLOOKUP(E1215,E$1:E1214,1,FALSE()))),"OLD",IF(AND(E1215&lt;&gt;"",E1215&lt;&gt;"!!!"),"NEW","")))</f>
        <v/>
      </c>
      <c r="G1215" s="11" t="str">
        <f aca="false">IF(OR(E1215="",E1215="!!!"),"",IF(OR(J1215=0,AND(J1215=1,K1215=1),AND(J1215=1,I1215="SBJ"),AND(J1215=1,I1215=0)),"?IN_FOCUS",IF(J1215&lt;=2,"?ACTIVATED",IF(J1215&lt;&gt;"","?FAMILIAR",IF(F1215="NEW",IF(ISNA(VLOOKUP(E1215,#REF!,1,FALSE())),"?TYPE_IDENTIFIABLE","?REFERENTIAL"),"_")))))</f>
        <v/>
      </c>
      <c r="H1215" s="12" t="str">
        <f aca="false">IF(J1215&lt;&gt;1,"",IF(I1215="SBJ","CB","?"))</f>
        <v/>
      </c>
      <c r="I1215" s="13" t="str">
        <f aca="false">IF(OR(E1215="",E1215="!!!",F1215="NEW"),"",INDEX(B$2:B1214,-1+SUMPRODUCT(MAX(ROW(E$2:E1214)*(E1215=E$2:E1214)))))</f>
        <v/>
      </c>
      <c r="J1215" s="14" t="str">
        <f aca="true">IF(OR(E1215="",E1215="!!!",F1215="NEW"),"",COUNTBLANK(OFFSET(A$1,,,SUMPRODUCT(MAX(ROW(E$2:E1215)*(E1215=E$2:E1215)))))-COUNTBLANK(OFFSET(A$1,,,SUMPRODUCT(MAX(ROW(E$1:E1214)*(E1215=E$1:E1214))))))</f>
        <v/>
      </c>
      <c r="K1215" s="14" t="str">
        <f aca="false">IF(OR(E1215="",E1215="!!!",F1215="NEW"),"",INDEX(J$1:J1214,SUMPRODUCT(MAX(ROW(E$1:E1214)*(E1215=E$1:E1214)))))</f>
        <v/>
      </c>
      <c r="L1215" s="15"/>
    </row>
    <row r="1216" customFormat="false" ht="12.75" hidden="false" customHeight="false" outlineLevel="0" collapsed="false">
      <c r="A1216" s="0" t="s">
        <v>36</v>
      </c>
      <c r="B1216" s="0" t="s">
        <v>42</v>
      </c>
      <c r="C1216" s="0" t="s">
        <v>38</v>
      </c>
      <c r="D1216" s="0" t="s">
        <v>29</v>
      </c>
      <c r="E1216" s="9" t="str">
        <f aca="false">IF(D1216="?OLD","!!!","")</f>
        <v>!!!</v>
      </c>
      <c r="F1216" s="10" t="str">
        <f aca="false">IF(OR(E1216="",E1216="!!!"),"",IF(NOT(ISNA(VLOOKUP(E1216,E$1:E1215,1,FALSE()))),"OLD",IF(AND(E1216&lt;&gt;"",E1216&lt;&gt;"!!!"),"NEW","")))</f>
        <v/>
      </c>
      <c r="G1216" s="11" t="str">
        <f aca="false">IF(OR(E1216="",E1216="!!!"),"",IF(OR(J1216=0,AND(J1216=1,K1216=1),AND(J1216=1,I1216="SBJ"),AND(J1216=1,I1216=0)),"?IN_FOCUS",IF(J1216&lt;=2,"?ACTIVATED",IF(J1216&lt;&gt;"","?FAMILIAR",IF(F1216="NEW",IF(ISNA(VLOOKUP(E1216,#REF!,1,FALSE())),"?TYPE_IDENTIFIABLE","?REFERENTIAL"),"_")))))</f>
        <v/>
      </c>
      <c r="H1216" s="12" t="str">
        <f aca="false">IF(J1216&lt;&gt;1,"",IF(I1216="SBJ","CB","?"))</f>
        <v/>
      </c>
      <c r="I1216" s="13" t="str">
        <f aca="false">IF(OR(E1216="",E1216="!!!",F1216="NEW"),"",INDEX(B$2:B1215,-1+SUMPRODUCT(MAX(ROW(E$2:E1215)*(E1216=E$2:E1215)))))</f>
        <v/>
      </c>
      <c r="J1216" s="14" t="str">
        <f aca="true">IF(OR(E1216="",E1216="!!!",F1216="NEW"),"",COUNTBLANK(OFFSET(A$1,,,SUMPRODUCT(MAX(ROW(E$2:E1216)*(E1216=E$2:E1216)))))-COUNTBLANK(OFFSET(A$1,,,SUMPRODUCT(MAX(ROW(E$1:E1215)*(E1216=E$1:E1215))))))</f>
        <v/>
      </c>
      <c r="K1216" s="14" t="str">
        <f aca="false">IF(OR(E1216="",E1216="!!!",F1216="NEW"),"",INDEX(J$1:J1215,SUMPRODUCT(MAX(ROW(E$1:E1215)*(E1216=E$1:E1215)))))</f>
        <v/>
      </c>
      <c r="L1216" s="15"/>
    </row>
    <row r="1217" customFormat="false" ht="12.75" hidden="false" customHeight="false" outlineLevel="0" collapsed="false">
      <c r="A1217" s="0" t="s">
        <v>475</v>
      </c>
      <c r="E1217" s="9" t="str">
        <f aca="false">IF(D1217="?OLD","!!!","")</f>
        <v/>
      </c>
      <c r="F1217" s="10" t="str">
        <f aca="false">IF(OR(E1217="",E1217="!!!"),"",IF(NOT(ISNA(VLOOKUP(E1217,E$1:E1216,1,FALSE()))),"OLD",IF(AND(E1217&lt;&gt;"",E1217&lt;&gt;"!!!"),"NEW","")))</f>
        <v/>
      </c>
      <c r="G1217" s="11" t="str">
        <f aca="false">IF(OR(E1217="",E1217="!!!"),"",IF(OR(J1217=0,AND(J1217=1,K1217=1),AND(J1217=1,I1217="SBJ"),AND(J1217=1,I1217=0)),"?IN_FOCUS",IF(J1217&lt;=2,"?ACTIVATED",IF(J1217&lt;&gt;"","?FAMILIAR",IF(F1217="NEW",IF(ISNA(VLOOKUP(E1217,#REF!,1,FALSE())),"?TYPE_IDENTIFIABLE","?REFERENTIAL"),"_")))))</f>
        <v/>
      </c>
      <c r="H1217" s="12" t="str">
        <f aca="false">IF(J1217&lt;&gt;1,"",IF(I1217="SBJ","CB","?"))</f>
        <v/>
      </c>
      <c r="I1217" s="13" t="str">
        <f aca="false">IF(OR(E1217="",E1217="!!!",F1217="NEW"),"",INDEX(B$2:B1216,-1+SUMPRODUCT(MAX(ROW(E$2:E1216)*(E1217=E$2:E1216)))))</f>
        <v/>
      </c>
      <c r="J1217" s="14" t="str">
        <f aca="true">IF(OR(E1217="",E1217="!!!",F1217="NEW"),"",COUNTBLANK(OFFSET(A$1,,,SUMPRODUCT(MAX(ROW(E$2:E1217)*(E1217=E$2:E1217)))))-COUNTBLANK(OFFSET(A$1,,,SUMPRODUCT(MAX(ROW(E$1:E1216)*(E1217=E$1:E1216))))))</f>
        <v/>
      </c>
      <c r="K1217" s="14" t="str">
        <f aca="false">IF(OR(E1217="",E1217="!!!",F1217="NEW"),"",INDEX(J$1:J1216,SUMPRODUCT(MAX(ROW(E$1:E1216)*(E1217=E$1:E1216)))))</f>
        <v/>
      </c>
      <c r="L1217" s="15"/>
    </row>
    <row r="1218" customFormat="false" ht="12.75" hidden="false" customHeight="false" outlineLevel="0" collapsed="false">
      <c r="A1218" s="0" t="s">
        <v>565</v>
      </c>
      <c r="E1218" s="9" t="str">
        <f aca="false">IF(D1218="?OLD","!!!","")</f>
        <v/>
      </c>
      <c r="F1218" s="10" t="str">
        <f aca="false">IF(OR(E1218="",E1218="!!!"),"",IF(NOT(ISNA(VLOOKUP(E1218,E$1:E1217,1,FALSE()))),"OLD",IF(AND(E1218&lt;&gt;"",E1218&lt;&gt;"!!!"),"NEW","")))</f>
        <v/>
      </c>
      <c r="G1218" s="11" t="str">
        <f aca="false">IF(OR(E1218="",E1218="!!!"),"",IF(OR(J1218=0,AND(J1218=1,K1218=1),AND(J1218=1,I1218="SBJ"),AND(J1218=1,I1218=0)),"?IN_FOCUS",IF(J1218&lt;=2,"?ACTIVATED",IF(J1218&lt;&gt;"","?FAMILIAR",IF(F1218="NEW",IF(ISNA(VLOOKUP(E1218,#REF!,1,FALSE())),"?TYPE_IDENTIFIABLE","?REFERENTIAL"),"_")))))</f>
        <v/>
      </c>
      <c r="H1218" s="12" t="str">
        <f aca="false">IF(J1218&lt;&gt;1,"",IF(I1218="SBJ","CB","?"))</f>
        <v/>
      </c>
      <c r="I1218" s="13" t="str">
        <f aca="false">IF(OR(E1218="",E1218="!!!",F1218="NEW"),"",INDEX(B$2:B1217,-1+SUMPRODUCT(MAX(ROW(E$2:E1217)*(E1218=E$2:E1217)))))</f>
        <v/>
      </c>
      <c r="J1218" s="14" t="str">
        <f aca="true">IF(OR(E1218="",E1218="!!!",F1218="NEW"),"",COUNTBLANK(OFFSET(A$1,,,SUMPRODUCT(MAX(ROW(E$2:E1218)*(E1218=E$2:E1218)))))-COUNTBLANK(OFFSET(A$1,,,SUMPRODUCT(MAX(ROW(E$1:E1217)*(E1218=E$1:E1217))))))</f>
        <v/>
      </c>
      <c r="K1218" s="14" t="str">
        <f aca="false">IF(OR(E1218="",E1218="!!!",F1218="NEW"),"",INDEX(J$1:J1217,SUMPRODUCT(MAX(ROW(E$1:E1217)*(E1218=E$1:E1217)))))</f>
        <v/>
      </c>
      <c r="L1218" s="15"/>
    </row>
    <row r="1219" customFormat="false" ht="12.75" hidden="false" customHeight="false" outlineLevel="0" collapsed="false">
      <c r="A1219" s="0" t="s">
        <v>40</v>
      </c>
      <c r="E1219" s="9" t="str">
        <f aca="false">IF(D1219="?OLD","!!!","")</f>
        <v/>
      </c>
      <c r="F1219" s="10" t="str">
        <f aca="false">IF(OR(E1219="",E1219="!!!"),"",IF(NOT(ISNA(VLOOKUP(E1219,E$1:E1218,1,FALSE()))),"OLD",IF(AND(E1219&lt;&gt;"",E1219&lt;&gt;"!!!"),"NEW","")))</f>
        <v/>
      </c>
      <c r="G1219" s="11" t="str">
        <f aca="false">IF(OR(E1219="",E1219="!!!"),"",IF(OR(J1219=0,AND(J1219=1,K1219=1),AND(J1219=1,I1219="SBJ"),AND(J1219=1,I1219=0)),"?IN_FOCUS",IF(J1219&lt;=2,"?ACTIVATED",IF(J1219&lt;&gt;"","?FAMILIAR",IF(F1219="NEW",IF(ISNA(VLOOKUP(E1219,#REF!,1,FALSE())),"?TYPE_IDENTIFIABLE","?REFERENTIAL"),"_")))))</f>
        <v/>
      </c>
      <c r="H1219" s="12" t="str">
        <f aca="false">IF(J1219&lt;&gt;1,"",IF(I1219="SBJ","CB","?"))</f>
        <v/>
      </c>
      <c r="I1219" s="13" t="str">
        <f aca="false">IF(OR(E1219="",E1219="!!!",F1219="NEW"),"",INDEX(B$2:B1218,-1+SUMPRODUCT(MAX(ROW(E$2:E1218)*(E1219=E$2:E1218)))))</f>
        <v/>
      </c>
      <c r="J1219" s="14" t="str">
        <f aca="true">IF(OR(E1219="",E1219="!!!",F1219="NEW"),"",COUNTBLANK(OFFSET(A$1,,,SUMPRODUCT(MAX(ROW(E$2:E1219)*(E1219=E$2:E1219)))))-COUNTBLANK(OFFSET(A$1,,,SUMPRODUCT(MAX(ROW(E$1:E1218)*(E1219=E$1:E1218))))))</f>
        <v/>
      </c>
      <c r="K1219" s="14" t="str">
        <f aca="false">IF(OR(E1219="",E1219="!!!",F1219="NEW"),"",INDEX(J$1:J1218,SUMPRODUCT(MAX(ROW(E$1:E1218)*(E1219=E$1:E1218)))))</f>
        <v/>
      </c>
      <c r="L1219" s="15"/>
    </row>
    <row r="1220" customFormat="false" ht="12.75" hidden="false" customHeight="false" outlineLevel="0" collapsed="false">
      <c r="A1220" s="0" t="s">
        <v>139</v>
      </c>
      <c r="E1220" s="9" t="str">
        <f aca="false">IF(D1220="?OLD","!!!","")</f>
        <v/>
      </c>
      <c r="F1220" s="10" t="str">
        <f aca="false">IF(OR(E1220="",E1220="!!!"),"",IF(NOT(ISNA(VLOOKUP(E1220,E$1:E1219,1,FALSE()))),"OLD",IF(AND(E1220&lt;&gt;"",E1220&lt;&gt;"!!!"),"NEW","")))</f>
        <v/>
      </c>
      <c r="G1220" s="11" t="str">
        <f aca="false">IF(OR(E1220="",E1220="!!!"),"",IF(OR(J1220=0,AND(J1220=1,K1220=1),AND(J1220=1,I1220="SBJ"),AND(J1220=1,I1220=0)),"?IN_FOCUS",IF(J1220&lt;=2,"?ACTIVATED",IF(J1220&lt;&gt;"","?FAMILIAR",IF(F1220="NEW",IF(ISNA(VLOOKUP(E1220,#REF!,1,FALSE())),"?TYPE_IDENTIFIABLE","?REFERENTIAL"),"_")))))</f>
        <v/>
      </c>
      <c r="H1220" s="12" t="str">
        <f aca="false">IF(J1220&lt;&gt;1,"",IF(I1220="SBJ","CB","?"))</f>
        <v/>
      </c>
      <c r="I1220" s="13" t="str">
        <f aca="false">IF(OR(E1220="",E1220="!!!",F1220="NEW"),"",INDEX(B$2:B1219,-1+SUMPRODUCT(MAX(ROW(E$2:E1219)*(E1220=E$2:E1219)))))</f>
        <v/>
      </c>
      <c r="J1220" s="14" t="str">
        <f aca="true">IF(OR(E1220="",E1220="!!!",F1220="NEW"),"",COUNTBLANK(OFFSET(A$1,,,SUMPRODUCT(MAX(ROW(E$2:E1220)*(E1220=E$2:E1220)))))-COUNTBLANK(OFFSET(A$1,,,SUMPRODUCT(MAX(ROW(E$1:E1219)*(E1220=E$1:E1219))))))</f>
        <v/>
      </c>
      <c r="K1220" s="14" t="str">
        <f aca="false">IF(OR(E1220="",E1220="!!!",F1220="NEW"),"",INDEX(J$1:J1219,SUMPRODUCT(MAX(ROW(E$1:E1219)*(E1220=E$1:E1219)))))</f>
        <v/>
      </c>
      <c r="L1220" s="15"/>
    </row>
    <row r="1221" customFormat="false" ht="12.75" hidden="false" customHeight="false" outlineLevel="0" collapsed="false">
      <c r="A1221" s="0" t="s">
        <v>572</v>
      </c>
      <c r="E1221" s="9" t="str">
        <f aca="false">IF(D1221="?OLD","!!!","")</f>
        <v/>
      </c>
      <c r="F1221" s="10" t="str">
        <f aca="false">IF(OR(E1221="",E1221="!!!"),"",IF(NOT(ISNA(VLOOKUP(E1221,E$1:E1220,1,FALSE()))),"OLD",IF(AND(E1221&lt;&gt;"",E1221&lt;&gt;"!!!"),"NEW","")))</f>
        <v/>
      </c>
      <c r="G1221" s="11" t="str">
        <f aca="false">IF(OR(E1221="",E1221="!!!"),"",IF(OR(J1221=0,AND(J1221=1,K1221=1),AND(J1221=1,I1221="SBJ"),AND(J1221=1,I1221=0)),"?IN_FOCUS",IF(J1221&lt;=2,"?ACTIVATED",IF(J1221&lt;&gt;"","?FAMILIAR",IF(F1221="NEW",IF(ISNA(VLOOKUP(E1221,#REF!,1,FALSE())),"?TYPE_IDENTIFIABLE","?REFERENTIAL"),"_")))))</f>
        <v/>
      </c>
      <c r="H1221" s="12" t="str">
        <f aca="false">IF(J1221&lt;&gt;1,"",IF(I1221="SBJ","CB","?"))</f>
        <v/>
      </c>
      <c r="I1221" s="13" t="str">
        <f aca="false">IF(OR(E1221="",E1221="!!!",F1221="NEW"),"",INDEX(B$2:B1220,-1+SUMPRODUCT(MAX(ROW(E$2:E1220)*(E1221=E$2:E1220)))))</f>
        <v/>
      </c>
      <c r="J1221" s="14" t="str">
        <f aca="true">IF(OR(E1221="",E1221="!!!",F1221="NEW"),"",COUNTBLANK(OFFSET(A$1,,,SUMPRODUCT(MAX(ROW(E$2:E1221)*(E1221=E$2:E1221)))))-COUNTBLANK(OFFSET(A$1,,,SUMPRODUCT(MAX(ROW(E$1:E1220)*(E1221=E$1:E1220))))))</f>
        <v/>
      </c>
      <c r="K1221" s="14" t="str">
        <f aca="false">IF(OR(E1221="",E1221="!!!",F1221="NEW"),"",INDEX(J$1:J1220,SUMPRODUCT(MAX(ROW(E$1:E1220)*(E1221=E$1:E1220)))))</f>
        <v/>
      </c>
      <c r="L1221" s="15"/>
    </row>
    <row r="1222" customFormat="false" ht="12.75" hidden="false" customHeight="false" outlineLevel="0" collapsed="false">
      <c r="A1222" s="0" t="s">
        <v>573</v>
      </c>
      <c r="E1222" s="9" t="str">
        <f aca="false">IF(D1222="?OLD","!!!","")</f>
        <v/>
      </c>
      <c r="F1222" s="10" t="str">
        <f aca="false">IF(OR(E1222="",E1222="!!!"),"",IF(NOT(ISNA(VLOOKUP(E1222,E$1:E1221,1,FALSE()))),"OLD",IF(AND(E1222&lt;&gt;"",E1222&lt;&gt;"!!!"),"NEW","")))</f>
        <v/>
      </c>
      <c r="G1222" s="11" t="str">
        <f aca="false">IF(OR(E1222="",E1222="!!!"),"",IF(OR(J1222=0,AND(J1222=1,K1222=1),AND(J1222=1,I1222="SBJ"),AND(J1222=1,I1222=0)),"?IN_FOCUS",IF(J1222&lt;=2,"?ACTIVATED",IF(J1222&lt;&gt;"","?FAMILIAR",IF(F1222="NEW",IF(ISNA(VLOOKUP(E1222,#REF!,1,FALSE())),"?TYPE_IDENTIFIABLE","?REFERENTIAL"),"_")))))</f>
        <v/>
      </c>
      <c r="H1222" s="12" t="str">
        <f aca="false">IF(J1222&lt;&gt;1,"",IF(I1222="SBJ","CB","?"))</f>
        <v/>
      </c>
      <c r="I1222" s="13" t="str">
        <f aca="false">IF(OR(E1222="",E1222="!!!",F1222="NEW"),"",INDEX(B$2:B1221,-1+SUMPRODUCT(MAX(ROW(E$2:E1221)*(E1222=E$2:E1221)))))</f>
        <v/>
      </c>
      <c r="J1222" s="14" t="str">
        <f aca="true">IF(OR(E1222="",E1222="!!!",F1222="NEW"),"",COUNTBLANK(OFFSET(A$1,,,SUMPRODUCT(MAX(ROW(E$2:E1222)*(E1222=E$2:E1222)))))-COUNTBLANK(OFFSET(A$1,,,SUMPRODUCT(MAX(ROW(E$1:E1221)*(E1222=E$1:E1221))))))</f>
        <v/>
      </c>
      <c r="K1222" s="14" t="str">
        <f aca="false">IF(OR(E1222="",E1222="!!!",F1222="NEW"),"",INDEX(J$1:J1221,SUMPRODUCT(MAX(ROW(E$1:E1221)*(E1222=E$1:E1221)))))</f>
        <v/>
      </c>
      <c r="L1222" s="15"/>
    </row>
    <row r="1223" customFormat="false" ht="12.75" hidden="false" customHeight="false" outlineLevel="0" collapsed="false">
      <c r="A1223" s="0" t="s">
        <v>68</v>
      </c>
      <c r="E1223" s="9" t="str">
        <f aca="false">IF(D1223="?OLD","!!!","")</f>
        <v/>
      </c>
      <c r="F1223" s="10" t="str">
        <f aca="false">IF(OR(E1223="",E1223="!!!"),"",IF(NOT(ISNA(VLOOKUP(E1223,E$1:E1222,1,FALSE()))),"OLD",IF(AND(E1223&lt;&gt;"",E1223&lt;&gt;"!!!"),"NEW","")))</f>
        <v/>
      </c>
      <c r="G1223" s="11" t="str">
        <f aca="false">IF(OR(E1223="",E1223="!!!"),"",IF(OR(J1223=0,AND(J1223=1,K1223=1),AND(J1223=1,I1223="SBJ"),AND(J1223=1,I1223=0)),"?IN_FOCUS",IF(J1223&lt;=2,"?ACTIVATED",IF(J1223&lt;&gt;"","?FAMILIAR",IF(F1223="NEW",IF(ISNA(VLOOKUP(E1223,#REF!,1,FALSE())),"?TYPE_IDENTIFIABLE","?REFERENTIAL"),"_")))))</f>
        <v/>
      </c>
      <c r="H1223" s="12" t="str">
        <f aca="false">IF(J1223&lt;&gt;1,"",IF(I1223="SBJ","CB","?"))</f>
        <v/>
      </c>
      <c r="I1223" s="13" t="str">
        <f aca="false">IF(OR(E1223="",E1223="!!!",F1223="NEW"),"",INDEX(B$2:B1222,-1+SUMPRODUCT(MAX(ROW(E$2:E1222)*(E1223=E$2:E1222)))))</f>
        <v/>
      </c>
      <c r="J1223" s="14" t="str">
        <f aca="true">IF(OR(E1223="",E1223="!!!",F1223="NEW"),"",COUNTBLANK(OFFSET(A$1,,,SUMPRODUCT(MAX(ROW(E$2:E1223)*(E1223=E$2:E1223)))))-COUNTBLANK(OFFSET(A$1,,,SUMPRODUCT(MAX(ROW(E$1:E1222)*(E1223=E$1:E1222))))))</f>
        <v/>
      </c>
      <c r="K1223" s="14" t="str">
        <f aca="false">IF(OR(E1223="",E1223="!!!",F1223="NEW"),"",INDEX(J$1:J1222,SUMPRODUCT(MAX(ROW(E$1:E1222)*(E1223=E$1:E1222)))))</f>
        <v/>
      </c>
      <c r="L1223" s="15"/>
    </row>
    <row r="1224" customFormat="false" ht="12.75" hidden="false" customHeight="false" outlineLevel="0" collapsed="false">
      <c r="A1224" s="0" t="s">
        <v>574</v>
      </c>
      <c r="B1224" s="0" t="s">
        <v>28</v>
      </c>
      <c r="C1224" s="0" t="s">
        <v>43</v>
      </c>
      <c r="E1224" s="9" t="str">
        <f aca="false">IF(D1224="?OLD","!!!","")</f>
        <v/>
      </c>
      <c r="F1224" s="10" t="str">
        <f aca="false">IF(OR(E1224="",E1224="!!!"),"",IF(NOT(ISNA(VLOOKUP(E1224,E$1:E1223,1,FALSE()))),"OLD",IF(AND(E1224&lt;&gt;"",E1224&lt;&gt;"!!!"),"NEW","")))</f>
        <v/>
      </c>
      <c r="G1224" s="11" t="str">
        <f aca="false">IF(OR(E1224="",E1224="!!!"),"",IF(OR(J1224=0,AND(J1224=1,K1224=1),AND(J1224=1,I1224="SBJ"),AND(J1224=1,I1224=0)),"?IN_FOCUS",IF(J1224&lt;=2,"?ACTIVATED",IF(J1224&lt;&gt;"","?FAMILIAR",IF(F1224="NEW",IF(ISNA(VLOOKUP(E1224,#REF!,1,FALSE())),"?TYPE_IDENTIFIABLE","?REFERENTIAL"),"_")))))</f>
        <v/>
      </c>
      <c r="H1224" s="12" t="str">
        <f aca="false">IF(J1224&lt;&gt;1,"",IF(I1224="SBJ","CB","?"))</f>
        <v/>
      </c>
      <c r="I1224" s="13" t="str">
        <f aca="false">IF(OR(E1224="",E1224="!!!",F1224="NEW"),"",INDEX(B$2:B1223,-1+SUMPRODUCT(MAX(ROW(E$2:E1223)*(E1224=E$2:E1223)))))</f>
        <v/>
      </c>
      <c r="J1224" s="14" t="str">
        <f aca="true">IF(OR(E1224="",E1224="!!!",F1224="NEW"),"",COUNTBLANK(OFFSET(A$1,,,SUMPRODUCT(MAX(ROW(E$2:E1224)*(E1224=E$2:E1224)))))-COUNTBLANK(OFFSET(A$1,,,SUMPRODUCT(MAX(ROW(E$1:E1223)*(E1224=E$1:E1223))))))</f>
        <v/>
      </c>
      <c r="K1224" s="14" t="str">
        <f aca="false">IF(OR(E1224="",E1224="!!!",F1224="NEW"),"",INDEX(J$1:J1223,SUMPRODUCT(MAX(ROW(E$1:E1223)*(E1224=E$1:E1223)))))</f>
        <v/>
      </c>
      <c r="L1224" s="15"/>
    </row>
    <row r="1225" customFormat="false" ht="12.75" hidden="false" customHeight="false" outlineLevel="0" collapsed="false">
      <c r="A1225" s="0" t="s">
        <v>31</v>
      </c>
      <c r="E1225" s="9" t="str">
        <f aca="false">IF(D1225="?OLD","!!!","")</f>
        <v/>
      </c>
      <c r="F1225" s="10" t="str">
        <f aca="false">IF(OR(E1225="",E1225="!!!"),"",IF(NOT(ISNA(VLOOKUP(E1225,E$1:E1224,1,FALSE()))),"OLD",IF(AND(E1225&lt;&gt;"",E1225&lt;&gt;"!!!"),"NEW","")))</f>
        <v/>
      </c>
      <c r="G1225" s="11" t="str">
        <f aca="false">IF(OR(E1225="",E1225="!!!"),"",IF(OR(J1225=0,AND(J1225=1,K1225=1),AND(J1225=1,I1225="SBJ"),AND(J1225=1,I1225=0)),"?IN_FOCUS",IF(J1225&lt;=2,"?ACTIVATED",IF(J1225&lt;&gt;"","?FAMILIAR",IF(F1225="NEW",IF(ISNA(VLOOKUP(E1225,#REF!,1,FALSE())),"?TYPE_IDENTIFIABLE","?REFERENTIAL"),"_")))))</f>
        <v/>
      </c>
      <c r="H1225" s="12" t="str">
        <f aca="false">IF(J1225&lt;&gt;1,"",IF(I1225="SBJ","CB","?"))</f>
        <v/>
      </c>
      <c r="I1225" s="13" t="str">
        <f aca="false">IF(OR(E1225="",E1225="!!!",F1225="NEW"),"",INDEX(B$2:B1224,-1+SUMPRODUCT(MAX(ROW(E$2:E1224)*(E1225=E$2:E1224)))))</f>
        <v/>
      </c>
      <c r="J1225" s="14" t="str">
        <f aca="true">IF(OR(E1225="",E1225="!!!",F1225="NEW"),"",COUNTBLANK(OFFSET(A$1,,,SUMPRODUCT(MAX(ROW(E$2:E1225)*(E1225=E$2:E1225)))))-COUNTBLANK(OFFSET(A$1,,,SUMPRODUCT(MAX(ROW(E$1:E1224)*(E1225=E$1:E1224))))))</f>
        <v/>
      </c>
      <c r="K1225" s="14" t="str">
        <f aca="false">IF(OR(E1225="",E1225="!!!",F1225="NEW"),"",INDEX(J$1:J1224,SUMPRODUCT(MAX(ROW(E$1:E1224)*(E1225=E$1:E1224)))))</f>
        <v/>
      </c>
      <c r="L1225" s="15"/>
    </row>
    <row r="1226" customFormat="false" ht="12.75" hidden="false" customHeight="false" outlineLevel="0" collapsed="false">
      <c r="A1226" s="0" t="s">
        <v>173</v>
      </c>
      <c r="E1226" s="9" t="str">
        <f aca="false">IF(D1226="?OLD","!!!","")</f>
        <v/>
      </c>
      <c r="F1226" s="10" t="str">
        <f aca="false">IF(OR(E1226="",E1226="!!!"),"",IF(NOT(ISNA(VLOOKUP(E1226,E$1:E1225,1,FALSE()))),"OLD",IF(AND(E1226&lt;&gt;"",E1226&lt;&gt;"!!!"),"NEW","")))</f>
        <v/>
      </c>
      <c r="G1226" s="11" t="str">
        <f aca="false">IF(OR(E1226="",E1226="!!!"),"",IF(OR(J1226=0,AND(J1226=1,K1226=1),AND(J1226=1,I1226="SBJ"),AND(J1226=1,I1226=0)),"?IN_FOCUS",IF(J1226&lt;=2,"?ACTIVATED",IF(J1226&lt;&gt;"","?FAMILIAR",IF(F1226="NEW",IF(ISNA(VLOOKUP(E1226,#REF!,1,FALSE())),"?TYPE_IDENTIFIABLE","?REFERENTIAL"),"_")))))</f>
        <v/>
      </c>
      <c r="H1226" s="12" t="str">
        <f aca="false">IF(J1226&lt;&gt;1,"",IF(I1226="SBJ","CB","?"))</f>
        <v/>
      </c>
      <c r="I1226" s="13" t="str">
        <f aca="false">IF(OR(E1226="",E1226="!!!",F1226="NEW"),"",INDEX(B$2:B1225,-1+SUMPRODUCT(MAX(ROW(E$2:E1225)*(E1226=E$2:E1225)))))</f>
        <v/>
      </c>
      <c r="J1226" s="14" t="str">
        <f aca="true">IF(OR(E1226="",E1226="!!!",F1226="NEW"),"",COUNTBLANK(OFFSET(A$1,,,SUMPRODUCT(MAX(ROW(E$2:E1226)*(E1226=E$2:E1226)))))-COUNTBLANK(OFFSET(A$1,,,SUMPRODUCT(MAX(ROW(E$1:E1225)*(E1226=E$1:E1225))))))</f>
        <v/>
      </c>
      <c r="K1226" s="14" t="str">
        <f aca="false">IF(OR(E1226="",E1226="!!!",F1226="NEW"),"",INDEX(J$1:J1225,SUMPRODUCT(MAX(ROW(E$1:E1225)*(E1226=E$1:E1225)))))</f>
        <v/>
      </c>
      <c r="L1226" s="15"/>
    </row>
    <row r="1227" customFormat="false" ht="12.75" hidden="false" customHeight="false" outlineLevel="0" collapsed="false">
      <c r="A1227" s="0" t="s">
        <v>66</v>
      </c>
      <c r="E1227" s="9" t="str">
        <f aca="false">IF(D1227="?OLD","!!!","")</f>
        <v/>
      </c>
      <c r="F1227" s="10" t="str">
        <f aca="false">IF(OR(E1227="",E1227="!!!"),"",IF(NOT(ISNA(VLOOKUP(E1227,E$1:E1226,1,FALSE()))),"OLD",IF(AND(E1227&lt;&gt;"",E1227&lt;&gt;"!!!"),"NEW","")))</f>
        <v/>
      </c>
      <c r="G1227" s="11" t="str">
        <f aca="false">IF(OR(E1227="",E1227="!!!"),"",IF(OR(J1227=0,AND(J1227=1,K1227=1),AND(J1227=1,I1227="SBJ"),AND(J1227=1,I1227=0)),"?IN_FOCUS",IF(J1227&lt;=2,"?ACTIVATED",IF(J1227&lt;&gt;"","?FAMILIAR",IF(F1227="NEW",IF(ISNA(VLOOKUP(E1227,#REF!,1,FALSE())),"?TYPE_IDENTIFIABLE","?REFERENTIAL"),"_")))))</f>
        <v/>
      </c>
      <c r="H1227" s="12" t="str">
        <f aca="false">IF(J1227&lt;&gt;1,"",IF(I1227="SBJ","CB","?"))</f>
        <v/>
      </c>
      <c r="I1227" s="13" t="str">
        <f aca="false">IF(OR(E1227="",E1227="!!!",F1227="NEW"),"",INDEX(B$2:B1226,-1+SUMPRODUCT(MAX(ROW(E$2:E1226)*(E1227=E$2:E1226)))))</f>
        <v/>
      </c>
      <c r="J1227" s="14" t="str">
        <f aca="true">IF(OR(E1227="",E1227="!!!",F1227="NEW"),"",COUNTBLANK(OFFSET(A$1,,,SUMPRODUCT(MAX(ROW(E$2:E1227)*(E1227=E$2:E1227)))))-COUNTBLANK(OFFSET(A$1,,,SUMPRODUCT(MAX(ROW(E$1:E1226)*(E1227=E$1:E1226))))))</f>
        <v/>
      </c>
      <c r="K1227" s="14" t="str">
        <f aca="false">IF(OR(E1227="",E1227="!!!",F1227="NEW"),"",INDEX(J$1:J1226,SUMPRODUCT(MAX(ROW(E$1:E1226)*(E1227=E$1:E1226)))))</f>
        <v/>
      </c>
      <c r="L1227" s="15"/>
    </row>
    <row r="1228" customFormat="false" ht="12.75" hidden="false" customHeight="false" outlineLevel="0" collapsed="false">
      <c r="A1228" s="0" t="s">
        <v>575</v>
      </c>
      <c r="B1228" s="0" t="s">
        <v>62</v>
      </c>
      <c r="C1228" s="0" t="s">
        <v>111</v>
      </c>
      <c r="D1228" s="0" t="s">
        <v>29</v>
      </c>
      <c r="E1228" s="9" t="str">
        <f aca="false">IF(D1228="?OLD","!!!","")</f>
        <v>!!!</v>
      </c>
      <c r="F1228" s="10" t="str">
        <f aca="false">IF(OR(E1228="",E1228="!!!"),"",IF(NOT(ISNA(VLOOKUP(E1228,E$1:E1227,1,FALSE()))),"OLD",IF(AND(E1228&lt;&gt;"",E1228&lt;&gt;"!!!"),"NEW","")))</f>
        <v/>
      </c>
      <c r="G1228" s="11" t="str">
        <f aca="false">IF(OR(E1228="",E1228="!!!"),"",IF(OR(J1228=0,AND(J1228=1,K1228=1),AND(J1228=1,I1228="SBJ"),AND(J1228=1,I1228=0)),"?IN_FOCUS",IF(J1228&lt;=2,"?ACTIVATED",IF(J1228&lt;&gt;"","?FAMILIAR",IF(F1228="NEW",IF(ISNA(VLOOKUP(E1228,#REF!,1,FALSE())),"?TYPE_IDENTIFIABLE","?REFERENTIAL"),"_")))))</f>
        <v/>
      </c>
      <c r="H1228" s="12" t="str">
        <f aca="false">IF(J1228&lt;&gt;1,"",IF(I1228="SBJ","CB","?"))</f>
        <v/>
      </c>
      <c r="I1228" s="13" t="str">
        <f aca="false">IF(OR(E1228="",E1228="!!!",F1228="NEW"),"",INDEX(B$2:B1227,-1+SUMPRODUCT(MAX(ROW(E$2:E1227)*(E1228=E$2:E1227)))))</f>
        <v/>
      </c>
      <c r="J1228" s="14" t="str">
        <f aca="true">IF(OR(E1228="",E1228="!!!",F1228="NEW"),"",COUNTBLANK(OFFSET(A$1,,,SUMPRODUCT(MAX(ROW(E$2:E1228)*(E1228=E$2:E1228)))))-COUNTBLANK(OFFSET(A$1,,,SUMPRODUCT(MAX(ROW(E$1:E1227)*(E1228=E$1:E1227))))))</f>
        <v/>
      </c>
      <c r="K1228" s="14" t="str">
        <f aca="false">IF(OR(E1228="",E1228="!!!",F1228="NEW"),"",INDEX(J$1:J1227,SUMPRODUCT(MAX(ROW(E$1:E1227)*(E1228=E$1:E1227)))))</f>
        <v/>
      </c>
      <c r="L1228" s="15"/>
    </row>
    <row r="1229" customFormat="false" ht="12.75" hidden="false" customHeight="false" outlineLevel="0" collapsed="false">
      <c r="A1229" s="0" t="s">
        <v>19</v>
      </c>
      <c r="E1229" s="9" t="str">
        <f aca="false">IF(D1229="?OLD","!!!","")</f>
        <v/>
      </c>
      <c r="F1229" s="10" t="str">
        <f aca="false">IF(OR(E1229="",E1229="!!!"),"",IF(NOT(ISNA(VLOOKUP(E1229,E$1:E1228,1,FALSE()))),"OLD",IF(AND(E1229&lt;&gt;"",E1229&lt;&gt;"!!!"),"NEW","")))</f>
        <v/>
      </c>
      <c r="G1229" s="11" t="str">
        <f aca="false">IF(OR(E1229="",E1229="!!!"),"",IF(OR(J1229=0,AND(J1229=1,K1229=1),AND(J1229=1,I1229="SBJ"),AND(J1229=1,I1229=0)),"?IN_FOCUS",IF(J1229&lt;=2,"?ACTIVATED",IF(J1229&lt;&gt;"","?FAMILIAR",IF(F1229="NEW",IF(ISNA(VLOOKUP(E1229,#REF!,1,FALSE())),"?TYPE_IDENTIFIABLE","?REFERENTIAL"),"_")))))</f>
        <v/>
      </c>
      <c r="H1229" s="12" t="str">
        <f aca="false">IF(J1229&lt;&gt;1,"",IF(I1229="SBJ","CB","?"))</f>
        <v/>
      </c>
      <c r="I1229" s="13" t="str">
        <f aca="false">IF(OR(E1229="",E1229="!!!",F1229="NEW"),"",INDEX(B$2:B1228,-1+SUMPRODUCT(MAX(ROW(E$2:E1228)*(E1229=E$2:E1228)))))</f>
        <v/>
      </c>
      <c r="J1229" s="14" t="str">
        <f aca="true">IF(OR(E1229="",E1229="!!!",F1229="NEW"),"",COUNTBLANK(OFFSET(A$1,,,SUMPRODUCT(MAX(ROW(E$2:E1229)*(E1229=E$2:E1229)))))-COUNTBLANK(OFFSET(A$1,,,SUMPRODUCT(MAX(ROW(E$1:E1228)*(E1229=E$1:E1228))))))</f>
        <v/>
      </c>
      <c r="K1229" s="14" t="str">
        <f aca="false">IF(OR(E1229="",E1229="!!!",F1229="NEW"),"",INDEX(J$1:J1228,SUMPRODUCT(MAX(ROW(E$1:E1228)*(E1229=E$1:E1228)))))</f>
        <v/>
      </c>
      <c r="L1229" s="15"/>
    </row>
    <row r="1230" customFormat="false" ht="12.75" hidden="false" customHeight="false" outlineLevel="0" collapsed="false">
      <c r="A1230" s="0" t="s">
        <v>66</v>
      </c>
      <c r="E1230" s="9" t="str">
        <f aca="false">IF(D1230="?OLD","!!!","")</f>
        <v/>
      </c>
      <c r="F1230" s="10" t="str">
        <f aca="false">IF(OR(E1230="",E1230="!!!"),"",IF(NOT(ISNA(VLOOKUP(E1230,E$1:E1229,1,FALSE()))),"OLD",IF(AND(E1230&lt;&gt;"",E1230&lt;&gt;"!!!"),"NEW","")))</f>
        <v/>
      </c>
      <c r="G1230" s="11" t="str">
        <f aca="false">IF(OR(E1230="",E1230="!!!"),"",IF(OR(J1230=0,AND(J1230=1,K1230=1),AND(J1230=1,I1230="SBJ"),AND(J1230=1,I1230=0)),"?IN_FOCUS",IF(J1230&lt;=2,"?ACTIVATED",IF(J1230&lt;&gt;"","?FAMILIAR",IF(F1230="NEW",IF(ISNA(VLOOKUP(E1230,#REF!,1,FALSE())),"?TYPE_IDENTIFIABLE","?REFERENTIAL"),"_")))))</f>
        <v/>
      </c>
      <c r="H1230" s="12" t="str">
        <f aca="false">IF(J1230&lt;&gt;1,"",IF(I1230="SBJ","CB","?"))</f>
        <v/>
      </c>
      <c r="I1230" s="13" t="str">
        <f aca="false">IF(OR(E1230="",E1230="!!!",F1230="NEW"),"",INDEX(B$2:B1229,-1+SUMPRODUCT(MAX(ROW(E$2:E1229)*(E1230=E$2:E1229)))))</f>
        <v/>
      </c>
      <c r="J1230" s="14" t="str">
        <f aca="true">IF(OR(E1230="",E1230="!!!",F1230="NEW"),"",COUNTBLANK(OFFSET(A$1,,,SUMPRODUCT(MAX(ROW(E$2:E1230)*(E1230=E$2:E1230)))))-COUNTBLANK(OFFSET(A$1,,,SUMPRODUCT(MAX(ROW(E$1:E1229)*(E1230=E$1:E1229))))))</f>
        <v/>
      </c>
      <c r="K1230" s="14" t="str">
        <f aca="false">IF(OR(E1230="",E1230="!!!",F1230="NEW"),"",INDEX(J$1:J1229,SUMPRODUCT(MAX(ROW(E$1:E1229)*(E1230=E$1:E1229)))))</f>
        <v/>
      </c>
      <c r="L1230" s="15"/>
    </row>
    <row r="1231" customFormat="false" ht="12.75" hidden="false" customHeight="false" outlineLevel="0" collapsed="false">
      <c r="A1231" s="0" t="s">
        <v>576</v>
      </c>
      <c r="E1231" s="9" t="str">
        <f aca="false">IF(D1231="?OLD","!!!","")</f>
        <v/>
      </c>
      <c r="F1231" s="10" t="str">
        <f aca="false">IF(OR(E1231="",E1231="!!!"),"",IF(NOT(ISNA(VLOOKUP(E1231,E$1:E1230,1,FALSE()))),"OLD",IF(AND(E1231&lt;&gt;"",E1231&lt;&gt;"!!!"),"NEW","")))</f>
        <v/>
      </c>
      <c r="G1231" s="11" t="str">
        <f aca="false">IF(OR(E1231="",E1231="!!!"),"",IF(OR(J1231=0,AND(J1231=1,K1231=1),AND(J1231=1,I1231="SBJ"),AND(J1231=1,I1231=0)),"?IN_FOCUS",IF(J1231&lt;=2,"?ACTIVATED",IF(J1231&lt;&gt;"","?FAMILIAR",IF(F1231="NEW",IF(ISNA(VLOOKUP(E1231,#REF!,1,FALSE())),"?TYPE_IDENTIFIABLE","?REFERENTIAL"),"_")))))</f>
        <v/>
      </c>
      <c r="H1231" s="12" t="str">
        <f aca="false">IF(J1231&lt;&gt;1,"",IF(I1231="SBJ","CB","?"))</f>
        <v/>
      </c>
      <c r="I1231" s="13" t="str">
        <f aca="false">IF(OR(E1231="",E1231="!!!",F1231="NEW"),"",INDEX(B$2:B1230,-1+SUMPRODUCT(MAX(ROW(E$2:E1230)*(E1231=E$2:E1230)))))</f>
        <v/>
      </c>
      <c r="J1231" s="14" t="str">
        <f aca="true">IF(OR(E1231="",E1231="!!!",F1231="NEW"),"",COUNTBLANK(OFFSET(A$1,,,SUMPRODUCT(MAX(ROW(E$2:E1231)*(E1231=E$2:E1231)))))-COUNTBLANK(OFFSET(A$1,,,SUMPRODUCT(MAX(ROW(E$1:E1230)*(E1231=E$1:E1230))))))</f>
        <v/>
      </c>
      <c r="K1231" s="14" t="str">
        <f aca="false">IF(OR(E1231="",E1231="!!!",F1231="NEW"),"",INDEX(J$1:J1230,SUMPRODUCT(MAX(ROW(E$1:E1230)*(E1231=E$1:E1230)))))</f>
        <v/>
      </c>
      <c r="L1231" s="15"/>
    </row>
    <row r="1232" customFormat="false" ht="12.75" hidden="false" customHeight="false" outlineLevel="0" collapsed="false">
      <c r="A1232" s="0" t="s">
        <v>577</v>
      </c>
      <c r="B1232" s="0" t="s">
        <v>28</v>
      </c>
      <c r="C1232" s="0" t="s">
        <v>111</v>
      </c>
      <c r="D1232" s="0" t="s">
        <v>29</v>
      </c>
      <c r="E1232" s="9" t="str">
        <f aca="false">IF(D1232="?OLD","!!!","")</f>
        <v>!!!</v>
      </c>
      <c r="F1232" s="10" t="str">
        <f aca="false">IF(OR(E1232="",E1232="!!!"),"",IF(NOT(ISNA(VLOOKUP(E1232,E$1:E1231,1,FALSE()))),"OLD",IF(AND(E1232&lt;&gt;"",E1232&lt;&gt;"!!!"),"NEW","")))</f>
        <v/>
      </c>
      <c r="G1232" s="11" t="str">
        <f aca="false">IF(OR(E1232="",E1232="!!!"),"",IF(OR(J1232=0,AND(J1232=1,K1232=1),AND(J1232=1,I1232="SBJ"),AND(J1232=1,I1232=0)),"?IN_FOCUS",IF(J1232&lt;=2,"?ACTIVATED",IF(J1232&lt;&gt;"","?FAMILIAR",IF(F1232="NEW",IF(ISNA(VLOOKUP(E1232,#REF!,1,FALSE())),"?TYPE_IDENTIFIABLE","?REFERENTIAL"),"_")))))</f>
        <v/>
      </c>
      <c r="H1232" s="12" t="str">
        <f aca="false">IF(J1232&lt;&gt;1,"",IF(I1232="SBJ","CB","?"))</f>
        <v/>
      </c>
      <c r="I1232" s="13" t="str">
        <f aca="false">IF(OR(E1232="",E1232="!!!",F1232="NEW"),"",INDEX(B$2:B1231,-1+SUMPRODUCT(MAX(ROW(E$2:E1231)*(E1232=E$2:E1231)))))</f>
        <v/>
      </c>
      <c r="J1232" s="14" t="str">
        <f aca="true">IF(OR(E1232="",E1232="!!!",F1232="NEW"),"",COUNTBLANK(OFFSET(A$1,,,SUMPRODUCT(MAX(ROW(E$2:E1232)*(E1232=E$2:E1232)))))-COUNTBLANK(OFFSET(A$1,,,SUMPRODUCT(MAX(ROW(E$1:E1231)*(E1232=E$1:E1231))))))</f>
        <v/>
      </c>
      <c r="K1232" s="14" t="str">
        <f aca="false">IF(OR(E1232="",E1232="!!!",F1232="NEW"),"",INDEX(J$1:J1231,SUMPRODUCT(MAX(ROW(E$1:E1231)*(E1232=E$1:E1231)))))</f>
        <v/>
      </c>
      <c r="L1232" s="15"/>
    </row>
    <row r="1233" customFormat="false" ht="12.75" hidden="false" customHeight="false" outlineLevel="0" collapsed="false">
      <c r="A1233" s="0" t="s">
        <v>117</v>
      </c>
      <c r="E1233" s="9" t="str">
        <f aca="false">IF(D1233="?OLD","!!!","")</f>
        <v/>
      </c>
      <c r="F1233" s="10" t="str">
        <f aca="false">IF(OR(E1233="",E1233="!!!"),"",IF(NOT(ISNA(VLOOKUP(E1233,E$1:E1232,1,FALSE()))),"OLD",IF(AND(E1233&lt;&gt;"",E1233&lt;&gt;"!!!"),"NEW","")))</f>
        <v/>
      </c>
      <c r="G1233" s="11" t="str">
        <f aca="false">IF(OR(E1233="",E1233="!!!"),"",IF(OR(J1233=0,AND(J1233=1,K1233=1),AND(J1233=1,I1233="SBJ"),AND(J1233=1,I1233=0)),"?IN_FOCUS",IF(J1233&lt;=2,"?ACTIVATED",IF(J1233&lt;&gt;"","?FAMILIAR",IF(F1233="NEW",IF(ISNA(VLOOKUP(E1233,#REF!,1,FALSE())),"?TYPE_IDENTIFIABLE","?REFERENTIAL"),"_")))))</f>
        <v/>
      </c>
      <c r="H1233" s="12" t="str">
        <f aca="false">IF(J1233&lt;&gt;1,"",IF(I1233="SBJ","CB","?"))</f>
        <v/>
      </c>
      <c r="I1233" s="13" t="str">
        <f aca="false">IF(OR(E1233="",E1233="!!!",F1233="NEW"),"",INDEX(B$2:B1232,-1+SUMPRODUCT(MAX(ROW(E$2:E1232)*(E1233=E$2:E1232)))))</f>
        <v/>
      </c>
      <c r="J1233" s="14" t="str">
        <f aca="true">IF(OR(E1233="",E1233="!!!",F1233="NEW"),"",COUNTBLANK(OFFSET(A$1,,,SUMPRODUCT(MAX(ROW(E$2:E1233)*(E1233=E$2:E1233)))))-COUNTBLANK(OFFSET(A$1,,,SUMPRODUCT(MAX(ROW(E$1:E1232)*(E1233=E$1:E1232))))))</f>
        <v/>
      </c>
      <c r="K1233" s="14" t="str">
        <f aca="false">IF(OR(E1233="",E1233="!!!",F1233="NEW"),"",INDEX(J$1:J1232,SUMPRODUCT(MAX(ROW(E$1:E1232)*(E1233=E$1:E1232)))))</f>
        <v/>
      </c>
      <c r="L1233" s="15"/>
    </row>
    <row r="1234" customFormat="false" ht="12.75" hidden="false" customHeight="false" outlineLevel="0" collapsed="false">
      <c r="A1234" s="0" t="s">
        <v>371</v>
      </c>
      <c r="B1234" s="0" t="s">
        <v>62</v>
      </c>
      <c r="C1234" s="0" t="s">
        <v>120</v>
      </c>
      <c r="E1234" s="9" t="str">
        <f aca="false">IF(D1234="?OLD","!!!","")</f>
        <v/>
      </c>
      <c r="F1234" s="10" t="str">
        <f aca="false">IF(OR(E1234="",E1234="!!!"),"",IF(NOT(ISNA(VLOOKUP(E1234,E$1:E1233,1,FALSE()))),"OLD",IF(AND(E1234&lt;&gt;"",E1234&lt;&gt;"!!!"),"NEW","")))</f>
        <v/>
      </c>
      <c r="G1234" s="11" t="str">
        <f aca="false">IF(OR(E1234="",E1234="!!!"),"",IF(OR(J1234=0,AND(J1234=1,K1234=1),AND(J1234=1,I1234="SBJ"),AND(J1234=1,I1234=0)),"?IN_FOCUS",IF(J1234&lt;=2,"?ACTIVATED",IF(J1234&lt;&gt;"","?FAMILIAR",IF(F1234="NEW",IF(ISNA(VLOOKUP(E1234,#REF!,1,FALSE())),"?TYPE_IDENTIFIABLE","?REFERENTIAL"),"_")))))</f>
        <v/>
      </c>
      <c r="H1234" s="12" t="str">
        <f aca="false">IF(J1234&lt;&gt;1,"",IF(I1234="SBJ","CB","?"))</f>
        <v/>
      </c>
      <c r="I1234" s="13" t="str">
        <f aca="false">IF(OR(E1234="",E1234="!!!",F1234="NEW"),"",INDEX(B$2:B1233,-1+SUMPRODUCT(MAX(ROW(E$2:E1233)*(E1234=E$2:E1233)))))</f>
        <v/>
      </c>
      <c r="J1234" s="14" t="str">
        <f aca="true">IF(OR(E1234="",E1234="!!!",F1234="NEW"),"",COUNTBLANK(OFFSET(A$1,,,SUMPRODUCT(MAX(ROW(E$2:E1234)*(E1234=E$2:E1234)))))-COUNTBLANK(OFFSET(A$1,,,SUMPRODUCT(MAX(ROW(E$1:E1233)*(E1234=E$1:E1233))))))</f>
        <v/>
      </c>
      <c r="K1234" s="14" t="str">
        <f aca="false">IF(OR(E1234="",E1234="!!!",F1234="NEW"),"",INDEX(J$1:J1233,SUMPRODUCT(MAX(ROW(E$1:E1233)*(E1234=E$1:E1233)))))</f>
        <v/>
      </c>
      <c r="L1234" s="15"/>
    </row>
    <row r="1235" customFormat="false" ht="12.75" hidden="false" customHeight="false" outlineLevel="0" collapsed="false">
      <c r="A1235" s="0" t="s">
        <v>578</v>
      </c>
      <c r="E1235" s="9" t="str">
        <f aca="false">IF(D1235="?OLD","!!!","")</f>
        <v/>
      </c>
      <c r="F1235" s="10" t="str">
        <f aca="false">IF(OR(E1235="",E1235="!!!"),"",IF(NOT(ISNA(VLOOKUP(E1235,E$1:E1234,1,FALSE()))),"OLD",IF(AND(E1235&lt;&gt;"",E1235&lt;&gt;"!!!"),"NEW","")))</f>
        <v/>
      </c>
      <c r="G1235" s="11" t="str">
        <f aca="false">IF(OR(E1235="",E1235="!!!"),"",IF(OR(J1235=0,AND(J1235=1,K1235=1),AND(J1235=1,I1235="SBJ"),AND(J1235=1,I1235=0)),"?IN_FOCUS",IF(J1235&lt;=2,"?ACTIVATED",IF(J1235&lt;&gt;"","?FAMILIAR",IF(F1235="NEW",IF(ISNA(VLOOKUP(E1235,#REF!,1,FALSE())),"?TYPE_IDENTIFIABLE","?REFERENTIAL"),"_")))))</f>
        <v/>
      </c>
      <c r="H1235" s="12" t="str">
        <f aca="false">IF(J1235&lt;&gt;1,"",IF(I1235="SBJ","CB","?"))</f>
        <v/>
      </c>
      <c r="I1235" s="13" t="str">
        <f aca="false">IF(OR(E1235="",E1235="!!!",F1235="NEW"),"",INDEX(B$2:B1234,-1+SUMPRODUCT(MAX(ROW(E$2:E1234)*(E1235=E$2:E1234)))))</f>
        <v/>
      </c>
      <c r="J1235" s="14" t="str">
        <f aca="true">IF(OR(E1235="",E1235="!!!",F1235="NEW"),"",COUNTBLANK(OFFSET(A$1,,,SUMPRODUCT(MAX(ROW(E$2:E1235)*(E1235=E$2:E1235)))))-COUNTBLANK(OFFSET(A$1,,,SUMPRODUCT(MAX(ROW(E$1:E1234)*(E1235=E$1:E1234))))))</f>
        <v/>
      </c>
      <c r="K1235" s="14" t="str">
        <f aca="false">IF(OR(E1235="",E1235="!!!",F1235="NEW"),"",INDEX(J$1:J1234,SUMPRODUCT(MAX(ROW(E$1:E1234)*(E1235=E$1:E1234)))))</f>
        <v/>
      </c>
      <c r="L1235" s="15"/>
    </row>
    <row r="1236" customFormat="false" ht="12.75" hidden="false" customHeight="false" outlineLevel="0" collapsed="false">
      <c r="A1236" s="0" t="s">
        <v>178</v>
      </c>
      <c r="E1236" s="9" t="str">
        <f aca="false">IF(D1236="?OLD","!!!","")</f>
        <v/>
      </c>
      <c r="F1236" s="10" t="str">
        <f aca="false">IF(OR(E1236="",E1236="!!!"),"",IF(NOT(ISNA(VLOOKUP(E1236,E$1:E1235,1,FALSE()))),"OLD",IF(AND(E1236&lt;&gt;"",E1236&lt;&gt;"!!!"),"NEW","")))</f>
        <v/>
      </c>
      <c r="G1236" s="11" t="str">
        <f aca="false">IF(OR(E1236="",E1236="!!!"),"",IF(OR(J1236=0,AND(J1236=1,K1236=1),AND(J1236=1,I1236="SBJ"),AND(J1236=1,I1236=0)),"?IN_FOCUS",IF(J1236&lt;=2,"?ACTIVATED",IF(J1236&lt;&gt;"","?FAMILIAR",IF(F1236="NEW",IF(ISNA(VLOOKUP(E1236,#REF!,1,FALSE())),"?TYPE_IDENTIFIABLE","?REFERENTIAL"),"_")))))</f>
        <v/>
      </c>
      <c r="H1236" s="12" t="str">
        <f aca="false">IF(J1236&lt;&gt;1,"",IF(I1236="SBJ","CB","?"))</f>
        <v/>
      </c>
      <c r="I1236" s="13" t="str">
        <f aca="false">IF(OR(E1236="",E1236="!!!",F1236="NEW"),"",INDEX(B$2:B1235,-1+SUMPRODUCT(MAX(ROW(E$2:E1235)*(E1236=E$2:E1235)))))</f>
        <v/>
      </c>
      <c r="J1236" s="14" t="str">
        <f aca="true">IF(OR(E1236="",E1236="!!!",F1236="NEW"),"",COUNTBLANK(OFFSET(A$1,,,SUMPRODUCT(MAX(ROW(E$2:E1236)*(E1236=E$2:E1236)))))-COUNTBLANK(OFFSET(A$1,,,SUMPRODUCT(MAX(ROW(E$1:E1235)*(E1236=E$1:E1235))))))</f>
        <v/>
      </c>
      <c r="K1236" s="14" t="str">
        <f aca="false">IF(OR(E1236="",E1236="!!!",F1236="NEW"),"",INDEX(J$1:J1235,SUMPRODUCT(MAX(ROW(E$1:E1235)*(E1236=E$1:E1235)))))</f>
        <v/>
      </c>
      <c r="L1236" s="15"/>
    </row>
    <row r="1237" customFormat="false" ht="12.75" hidden="false" customHeight="false" outlineLevel="0" collapsed="false">
      <c r="A1237" s="0" t="s">
        <v>579</v>
      </c>
      <c r="B1237" s="0" t="s">
        <v>64</v>
      </c>
      <c r="C1237" s="0" t="s">
        <v>55</v>
      </c>
      <c r="D1237" s="0" t="s">
        <v>29</v>
      </c>
      <c r="E1237" s="9" t="str">
        <f aca="false">IF(D1237="?OLD","!!!","")</f>
        <v>!!!</v>
      </c>
      <c r="F1237" s="10" t="str">
        <f aca="false">IF(OR(E1237="",E1237="!!!"),"",IF(NOT(ISNA(VLOOKUP(E1237,E$1:E1236,1,FALSE()))),"OLD",IF(AND(E1237&lt;&gt;"",E1237&lt;&gt;"!!!"),"NEW","")))</f>
        <v/>
      </c>
      <c r="G1237" s="11" t="str">
        <f aca="false">IF(OR(E1237="",E1237="!!!"),"",IF(OR(J1237=0,AND(J1237=1,K1237=1),AND(J1237=1,I1237="SBJ"),AND(J1237=1,I1237=0)),"?IN_FOCUS",IF(J1237&lt;=2,"?ACTIVATED",IF(J1237&lt;&gt;"","?FAMILIAR",IF(F1237="NEW",IF(ISNA(VLOOKUP(E1237,#REF!,1,FALSE())),"?TYPE_IDENTIFIABLE","?REFERENTIAL"),"_")))))</f>
        <v/>
      </c>
      <c r="H1237" s="12" t="str">
        <f aca="false">IF(J1237&lt;&gt;1,"",IF(I1237="SBJ","CB","?"))</f>
        <v/>
      </c>
      <c r="I1237" s="13" t="str">
        <f aca="false">IF(OR(E1237="",E1237="!!!",F1237="NEW"),"",INDEX(B$2:B1236,-1+SUMPRODUCT(MAX(ROW(E$2:E1236)*(E1237=E$2:E1236)))))</f>
        <v/>
      </c>
      <c r="J1237" s="14" t="str">
        <f aca="true">IF(OR(E1237="",E1237="!!!",F1237="NEW"),"",COUNTBLANK(OFFSET(A$1,,,SUMPRODUCT(MAX(ROW(E$2:E1237)*(E1237=E$2:E1237)))))-COUNTBLANK(OFFSET(A$1,,,SUMPRODUCT(MAX(ROW(E$1:E1236)*(E1237=E$1:E1236))))))</f>
        <v/>
      </c>
      <c r="K1237" s="14" t="str">
        <f aca="false">IF(OR(E1237="",E1237="!!!",F1237="NEW"),"",INDEX(J$1:J1236,SUMPRODUCT(MAX(ROW(E$1:E1236)*(E1237=E$1:E1236)))))</f>
        <v/>
      </c>
      <c r="L1237" s="15"/>
    </row>
    <row r="1238" customFormat="false" ht="12.75" hidden="false" customHeight="false" outlineLevel="0" collapsed="false">
      <c r="A1238" s="0" t="s">
        <v>580</v>
      </c>
      <c r="B1238" s="0" t="s">
        <v>22</v>
      </c>
      <c r="C1238" s="0" t="s">
        <v>15</v>
      </c>
      <c r="D1238" s="0" t="s">
        <v>29</v>
      </c>
      <c r="E1238" s="9" t="str">
        <f aca="false">IF(D1238="?OLD","!!!","")</f>
        <v>!!!</v>
      </c>
      <c r="F1238" s="10" t="str">
        <f aca="false">IF(OR(E1238="",E1238="!!!"),"",IF(NOT(ISNA(VLOOKUP(E1238,E$1:E1237,1,FALSE()))),"OLD",IF(AND(E1238&lt;&gt;"",E1238&lt;&gt;"!!!"),"NEW","")))</f>
        <v/>
      </c>
      <c r="G1238" s="11" t="str">
        <f aca="false">IF(OR(E1238="",E1238="!!!"),"",IF(OR(J1238=0,AND(J1238=1,K1238=1),AND(J1238=1,I1238="SBJ"),AND(J1238=1,I1238=0)),"?IN_FOCUS",IF(J1238&lt;=2,"?ACTIVATED",IF(J1238&lt;&gt;"","?FAMILIAR",IF(F1238="NEW",IF(ISNA(VLOOKUP(E1238,#REF!,1,FALSE())),"?TYPE_IDENTIFIABLE","?REFERENTIAL"),"_")))))</f>
        <v/>
      </c>
      <c r="H1238" s="12" t="str">
        <f aca="false">IF(J1238&lt;&gt;1,"",IF(I1238="SBJ","CB","?"))</f>
        <v/>
      </c>
      <c r="I1238" s="13" t="str">
        <f aca="false">IF(OR(E1238="",E1238="!!!",F1238="NEW"),"",INDEX(B$2:B1237,-1+SUMPRODUCT(MAX(ROW(E$2:E1237)*(E1238=E$2:E1237)))))</f>
        <v/>
      </c>
      <c r="J1238" s="14" t="str">
        <f aca="true">IF(OR(E1238="",E1238="!!!",F1238="NEW"),"",COUNTBLANK(OFFSET(A$1,,,SUMPRODUCT(MAX(ROW(E$2:E1238)*(E1238=E$2:E1238)))))-COUNTBLANK(OFFSET(A$1,,,SUMPRODUCT(MAX(ROW(E$1:E1237)*(E1238=E$1:E1237))))))</f>
        <v/>
      </c>
      <c r="K1238" s="14" t="str">
        <f aca="false">IF(OR(E1238="",E1238="!!!",F1238="NEW"),"",INDEX(J$1:J1237,SUMPRODUCT(MAX(ROW(E$1:E1237)*(E1238=E$1:E1237)))))</f>
        <v/>
      </c>
      <c r="L1238" s="15"/>
    </row>
    <row r="1239" customFormat="false" ht="12.75" hidden="false" customHeight="false" outlineLevel="0" collapsed="false">
      <c r="A1239" s="0" t="s">
        <v>73</v>
      </c>
      <c r="E1239" s="9" t="str">
        <f aca="false">IF(D1239="?OLD","!!!","")</f>
        <v/>
      </c>
      <c r="F1239" s="10" t="str">
        <f aca="false">IF(OR(E1239="",E1239="!!!"),"",IF(NOT(ISNA(VLOOKUP(E1239,E$1:E1238,1,FALSE()))),"OLD",IF(AND(E1239&lt;&gt;"",E1239&lt;&gt;"!!!"),"NEW","")))</f>
        <v/>
      </c>
      <c r="G1239" s="11" t="str">
        <f aca="false">IF(OR(E1239="",E1239="!!!"),"",IF(OR(J1239=0,AND(J1239=1,K1239=1),AND(J1239=1,I1239="SBJ"),AND(J1239=1,I1239=0)),"?IN_FOCUS",IF(J1239&lt;=2,"?ACTIVATED",IF(J1239&lt;&gt;"","?FAMILIAR",IF(F1239="NEW",IF(ISNA(VLOOKUP(E1239,#REF!,1,FALSE())),"?TYPE_IDENTIFIABLE","?REFERENTIAL"),"_")))))</f>
        <v/>
      </c>
      <c r="H1239" s="12" t="str">
        <f aca="false">IF(J1239&lt;&gt;1,"",IF(I1239="SBJ","CB","?"))</f>
        <v/>
      </c>
      <c r="I1239" s="13" t="str">
        <f aca="false">IF(OR(E1239="",E1239="!!!",F1239="NEW"),"",INDEX(B$2:B1238,-1+SUMPRODUCT(MAX(ROW(E$2:E1238)*(E1239=E$2:E1238)))))</f>
        <v/>
      </c>
      <c r="J1239" s="14" t="str">
        <f aca="true">IF(OR(E1239="",E1239="!!!",F1239="NEW"),"",COUNTBLANK(OFFSET(A$1,,,SUMPRODUCT(MAX(ROW(E$2:E1239)*(E1239=E$2:E1239)))))-COUNTBLANK(OFFSET(A$1,,,SUMPRODUCT(MAX(ROW(E$1:E1238)*(E1239=E$1:E1238))))))</f>
        <v/>
      </c>
      <c r="K1239" s="14" t="str">
        <f aca="false">IF(OR(E1239="",E1239="!!!",F1239="NEW"),"",INDEX(J$1:J1238,SUMPRODUCT(MAX(ROW(E$1:E1238)*(E1239=E$1:E1238)))))</f>
        <v/>
      </c>
      <c r="L1239" s="15"/>
    </row>
    <row r="1240" customFormat="false" ht="12.75" hidden="false" customHeight="false" outlineLevel="0" collapsed="false">
      <c r="E1240" s="9" t="str">
        <f aca="false">IF(D1240="?OLD","!!!","")</f>
        <v/>
      </c>
      <c r="F1240" s="10" t="str">
        <f aca="false">IF(OR(E1240="",E1240="!!!"),"",IF(NOT(ISNA(VLOOKUP(E1240,E$1:E1239,1,FALSE()))),"OLD",IF(AND(E1240&lt;&gt;"",E1240&lt;&gt;"!!!"),"NEW","")))</f>
        <v/>
      </c>
      <c r="G1240" s="11" t="str">
        <f aca="false">IF(OR(E1240="",E1240="!!!"),"",IF(OR(J1240=0,AND(J1240=1,K1240=1),AND(J1240=1,I1240="SBJ"),AND(J1240=1,I1240=0)),"?IN_FOCUS",IF(J1240&lt;=2,"?ACTIVATED",IF(J1240&lt;&gt;"","?FAMILIAR",IF(F1240="NEW",IF(ISNA(VLOOKUP(E1240,#REF!,1,FALSE())),"?TYPE_IDENTIFIABLE","?REFERENTIAL"),"_")))))</f>
        <v/>
      </c>
      <c r="H1240" s="12" t="str">
        <f aca="false">IF(J1240&lt;&gt;1,"",IF(I1240="SBJ","CB","?"))</f>
        <v/>
      </c>
      <c r="I1240" s="13" t="str">
        <f aca="false">IF(OR(E1240="",E1240="!!!",F1240="NEW"),"",INDEX(B$2:B1239,-1+SUMPRODUCT(MAX(ROW(E$2:E1239)*(E1240=E$2:E1239)))))</f>
        <v/>
      </c>
      <c r="J1240" s="14" t="str">
        <f aca="true">IF(OR(E1240="",E1240="!!!",F1240="NEW"),"",COUNTBLANK(OFFSET(A$1,,,SUMPRODUCT(MAX(ROW(E$2:E1240)*(E1240=E$2:E1240)))))-COUNTBLANK(OFFSET(A$1,,,SUMPRODUCT(MAX(ROW(E$1:E1239)*(E1240=E$1:E1239))))))</f>
        <v/>
      </c>
      <c r="K1240" s="14" t="str">
        <f aca="false">IF(OR(E1240="",E1240="!!!",F1240="NEW"),"",INDEX(J$1:J1239,SUMPRODUCT(MAX(ROW(E$1:E1239)*(E1240=E$1:E1239)))))</f>
        <v/>
      </c>
      <c r="L1240" s="15"/>
    </row>
    <row r="1241" customFormat="false" ht="12.75" hidden="false" customHeight="false" outlineLevel="0" collapsed="false">
      <c r="A1241" s="0" t="s">
        <v>581</v>
      </c>
      <c r="E1241" s="9" t="str">
        <f aca="false">IF(D1241="?OLD","!!!","")</f>
        <v/>
      </c>
      <c r="F1241" s="10" t="str">
        <f aca="false">IF(OR(E1241="",E1241="!!!"),"",IF(NOT(ISNA(VLOOKUP(E1241,E$1:E1240,1,FALSE()))),"OLD",IF(AND(E1241&lt;&gt;"",E1241&lt;&gt;"!!!"),"NEW","")))</f>
        <v/>
      </c>
      <c r="G1241" s="11" t="str">
        <f aca="false">IF(OR(E1241="",E1241="!!!"),"",IF(OR(J1241=0,AND(J1241=1,K1241=1),AND(J1241=1,I1241="SBJ"),AND(J1241=1,I1241=0)),"?IN_FOCUS",IF(J1241&lt;=2,"?ACTIVATED",IF(J1241&lt;&gt;"","?FAMILIAR",IF(F1241="NEW",IF(ISNA(VLOOKUP(E1241,#REF!,1,FALSE())),"?TYPE_IDENTIFIABLE","?REFERENTIAL"),"_")))))</f>
        <v/>
      </c>
      <c r="H1241" s="12" t="str">
        <f aca="false">IF(J1241&lt;&gt;1,"",IF(I1241="SBJ","CB","?"))</f>
        <v/>
      </c>
      <c r="I1241" s="13" t="str">
        <f aca="false">IF(OR(E1241="",E1241="!!!",F1241="NEW"),"",INDEX(B$2:B1240,-1+SUMPRODUCT(MAX(ROW(E$2:E1240)*(E1241=E$2:E1240)))))</f>
        <v/>
      </c>
      <c r="J1241" s="14" t="str">
        <f aca="true">IF(OR(E1241="",E1241="!!!",F1241="NEW"),"",COUNTBLANK(OFFSET(A$1,,,SUMPRODUCT(MAX(ROW(E$2:E1241)*(E1241=E$2:E1241)))))-COUNTBLANK(OFFSET(A$1,,,SUMPRODUCT(MAX(ROW(E$1:E1240)*(E1241=E$1:E1240))))))</f>
        <v/>
      </c>
      <c r="K1241" s="14" t="str">
        <f aca="false">IF(OR(E1241="",E1241="!!!",F1241="NEW"),"",INDEX(J$1:J1240,SUMPRODUCT(MAX(ROW(E$1:E1240)*(E1241=E$1:E1240)))))</f>
        <v/>
      </c>
      <c r="L1241" s="15"/>
    </row>
    <row r="1242" customFormat="false" ht="12.75" hidden="false" customHeight="false" outlineLevel="0" collapsed="false">
      <c r="A1242" s="0" t="s">
        <v>21</v>
      </c>
      <c r="B1242" s="0" t="s">
        <v>28</v>
      </c>
      <c r="C1242" s="0" t="s">
        <v>23</v>
      </c>
      <c r="D1242" s="0" t="s">
        <v>29</v>
      </c>
      <c r="E1242" s="9" t="str">
        <f aca="false">IF(D1242="?OLD","!!!","")</f>
        <v>!!!</v>
      </c>
      <c r="F1242" s="10" t="str">
        <f aca="false">IF(OR(E1242="",E1242="!!!"),"",IF(NOT(ISNA(VLOOKUP(E1242,E$1:E1241,1,FALSE()))),"OLD",IF(AND(E1242&lt;&gt;"",E1242&lt;&gt;"!!!"),"NEW","")))</f>
        <v/>
      </c>
      <c r="G1242" s="11" t="str">
        <f aca="false">IF(OR(E1242="",E1242="!!!"),"",IF(OR(J1242=0,AND(J1242=1,K1242=1),AND(J1242=1,I1242="SBJ"),AND(J1242=1,I1242=0)),"?IN_FOCUS",IF(J1242&lt;=2,"?ACTIVATED",IF(J1242&lt;&gt;"","?FAMILIAR",IF(F1242="NEW",IF(ISNA(VLOOKUP(E1242,#REF!,1,FALSE())),"?TYPE_IDENTIFIABLE","?REFERENTIAL"),"_")))))</f>
        <v/>
      </c>
      <c r="H1242" s="12" t="str">
        <f aca="false">IF(J1242&lt;&gt;1,"",IF(I1242="SBJ","CB","?"))</f>
        <v/>
      </c>
      <c r="I1242" s="13" t="str">
        <f aca="false">IF(OR(E1242="",E1242="!!!",F1242="NEW"),"",INDEX(B$2:B1241,-1+SUMPRODUCT(MAX(ROW(E$2:E1241)*(E1242=E$2:E1241)))))</f>
        <v/>
      </c>
      <c r="J1242" s="14" t="str">
        <f aca="true">IF(OR(E1242="",E1242="!!!",F1242="NEW"),"",COUNTBLANK(OFFSET(A$1,,,SUMPRODUCT(MAX(ROW(E$2:E1242)*(E1242=E$2:E1242)))))-COUNTBLANK(OFFSET(A$1,,,SUMPRODUCT(MAX(ROW(E$1:E1241)*(E1242=E$1:E1241))))))</f>
        <v/>
      </c>
      <c r="K1242" s="14" t="str">
        <f aca="false">IF(OR(E1242="",E1242="!!!",F1242="NEW"),"",INDEX(J$1:J1241,SUMPRODUCT(MAX(ROW(E$1:E1241)*(E1242=E$1:E1241)))))</f>
        <v/>
      </c>
      <c r="L1242" s="15"/>
    </row>
    <row r="1243" customFormat="false" ht="12.75" hidden="false" customHeight="false" outlineLevel="0" collapsed="false">
      <c r="A1243" s="0" t="s">
        <v>26</v>
      </c>
      <c r="E1243" s="9" t="str">
        <f aca="false">IF(D1243="?OLD","!!!","")</f>
        <v/>
      </c>
      <c r="F1243" s="10" t="str">
        <f aca="false">IF(OR(E1243="",E1243="!!!"),"",IF(NOT(ISNA(VLOOKUP(E1243,E$1:E1242,1,FALSE()))),"OLD",IF(AND(E1243&lt;&gt;"",E1243&lt;&gt;"!!!"),"NEW","")))</f>
        <v/>
      </c>
      <c r="G1243" s="11" t="str">
        <f aca="false">IF(OR(E1243="",E1243="!!!"),"",IF(OR(J1243=0,AND(J1243=1,K1243=1),AND(J1243=1,I1243="SBJ"),AND(J1243=1,I1243=0)),"?IN_FOCUS",IF(J1243&lt;=2,"?ACTIVATED",IF(J1243&lt;&gt;"","?FAMILIAR",IF(F1243="NEW",IF(ISNA(VLOOKUP(E1243,#REF!,1,FALSE())),"?TYPE_IDENTIFIABLE","?REFERENTIAL"),"_")))))</f>
        <v/>
      </c>
      <c r="H1243" s="12" t="str">
        <f aca="false">IF(J1243&lt;&gt;1,"",IF(I1243="SBJ","CB","?"))</f>
        <v/>
      </c>
      <c r="I1243" s="13" t="str">
        <f aca="false">IF(OR(E1243="",E1243="!!!",F1243="NEW"),"",INDEX(B$2:B1242,-1+SUMPRODUCT(MAX(ROW(E$2:E1242)*(E1243=E$2:E1242)))))</f>
        <v/>
      </c>
      <c r="J1243" s="14" t="str">
        <f aca="true">IF(OR(E1243="",E1243="!!!",F1243="NEW"),"",COUNTBLANK(OFFSET(A$1,,,SUMPRODUCT(MAX(ROW(E$2:E1243)*(E1243=E$2:E1243)))))-COUNTBLANK(OFFSET(A$1,,,SUMPRODUCT(MAX(ROW(E$1:E1242)*(E1243=E$1:E1242))))))</f>
        <v/>
      </c>
      <c r="K1243" s="14" t="str">
        <f aca="false">IF(OR(E1243="",E1243="!!!",F1243="NEW"),"",INDEX(J$1:J1242,SUMPRODUCT(MAX(ROW(E$1:E1242)*(E1243=E$1:E1242)))))</f>
        <v/>
      </c>
      <c r="L1243" s="15"/>
    </row>
    <row r="1244" customFormat="false" ht="12.75" hidden="false" customHeight="false" outlineLevel="0" collapsed="false">
      <c r="A1244" s="0" t="s">
        <v>582</v>
      </c>
      <c r="B1244" s="0" t="s">
        <v>14</v>
      </c>
      <c r="C1244" s="0" t="s">
        <v>15</v>
      </c>
      <c r="D1244" s="0" t="s">
        <v>29</v>
      </c>
      <c r="E1244" s="9" t="str">
        <f aca="false">IF(D1244="?OLD","!!!","")</f>
        <v>!!!</v>
      </c>
      <c r="F1244" s="10" t="str">
        <f aca="false">IF(OR(E1244="",E1244="!!!"),"",IF(NOT(ISNA(VLOOKUP(E1244,E$1:E1243,1,FALSE()))),"OLD",IF(AND(E1244&lt;&gt;"",E1244&lt;&gt;"!!!"),"NEW","")))</f>
        <v/>
      </c>
      <c r="G1244" s="11" t="str">
        <f aca="false">IF(OR(E1244="",E1244="!!!"),"",IF(OR(J1244=0,AND(J1244=1,K1244=1),AND(J1244=1,I1244="SBJ"),AND(J1244=1,I1244=0)),"?IN_FOCUS",IF(J1244&lt;=2,"?ACTIVATED",IF(J1244&lt;&gt;"","?FAMILIAR",IF(F1244="NEW",IF(ISNA(VLOOKUP(E1244,#REF!,1,FALSE())),"?TYPE_IDENTIFIABLE","?REFERENTIAL"),"_")))))</f>
        <v/>
      </c>
      <c r="H1244" s="12" t="str">
        <f aca="false">IF(J1244&lt;&gt;1,"",IF(I1244="SBJ","CB","?"))</f>
        <v/>
      </c>
      <c r="I1244" s="13" t="str">
        <f aca="false">IF(OR(E1244="",E1244="!!!",F1244="NEW"),"",INDEX(B$2:B1243,-1+SUMPRODUCT(MAX(ROW(E$2:E1243)*(E1244=E$2:E1243)))))</f>
        <v/>
      </c>
      <c r="J1244" s="14" t="str">
        <f aca="true">IF(OR(E1244="",E1244="!!!",F1244="NEW"),"",COUNTBLANK(OFFSET(A$1,,,SUMPRODUCT(MAX(ROW(E$2:E1244)*(E1244=E$2:E1244)))))-COUNTBLANK(OFFSET(A$1,,,SUMPRODUCT(MAX(ROW(E$1:E1243)*(E1244=E$1:E1243))))))</f>
        <v/>
      </c>
      <c r="K1244" s="14" t="str">
        <f aca="false">IF(OR(E1244="",E1244="!!!",F1244="NEW"),"",INDEX(J$1:J1243,SUMPRODUCT(MAX(ROW(E$1:E1243)*(E1244=E$1:E1243)))))</f>
        <v/>
      </c>
      <c r="L1244" s="15"/>
    </row>
    <row r="1245" customFormat="false" ht="12.75" hidden="false" customHeight="false" outlineLevel="0" collapsed="false">
      <c r="A1245" s="0" t="s">
        <v>48</v>
      </c>
      <c r="E1245" s="9" t="str">
        <f aca="false">IF(D1245="?OLD","!!!","")</f>
        <v/>
      </c>
      <c r="F1245" s="10" t="str">
        <f aca="false">IF(OR(E1245="",E1245="!!!"),"",IF(NOT(ISNA(VLOOKUP(E1245,E$1:E1244,1,FALSE()))),"OLD",IF(AND(E1245&lt;&gt;"",E1245&lt;&gt;"!!!"),"NEW","")))</f>
        <v/>
      </c>
      <c r="G1245" s="11" t="str">
        <f aca="false">IF(OR(E1245="",E1245="!!!"),"",IF(OR(J1245=0,AND(J1245=1,K1245=1),AND(J1245=1,I1245="SBJ"),AND(J1245=1,I1245=0)),"?IN_FOCUS",IF(J1245&lt;=2,"?ACTIVATED",IF(J1245&lt;&gt;"","?FAMILIAR",IF(F1245="NEW",IF(ISNA(VLOOKUP(E1245,#REF!,1,FALSE())),"?TYPE_IDENTIFIABLE","?REFERENTIAL"),"_")))))</f>
        <v/>
      </c>
      <c r="H1245" s="12" t="str">
        <f aca="false">IF(J1245&lt;&gt;1,"",IF(I1245="SBJ","CB","?"))</f>
        <v/>
      </c>
      <c r="I1245" s="13" t="str">
        <f aca="false">IF(OR(E1245="",E1245="!!!",F1245="NEW"),"",INDEX(B$2:B1244,-1+SUMPRODUCT(MAX(ROW(E$2:E1244)*(E1245=E$2:E1244)))))</f>
        <v/>
      </c>
      <c r="J1245" s="14" t="str">
        <f aca="true">IF(OR(E1245="",E1245="!!!",F1245="NEW"),"",COUNTBLANK(OFFSET(A$1,,,SUMPRODUCT(MAX(ROW(E$2:E1245)*(E1245=E$2:E1245)))))-COUNTBLANK(OFFSET(A$1,,,SUMPRODUCT(MAX(ROW(E$1:E1244)*(E1245=E$1:E1244))))))</f>
        <v/>
      </c>
      <c r="K1245" s="14" t="str">
        <f aca="false">IF(OR(E1245="",E1245="!!!",F1245="NEW"),"",INDEX(J$1:J1244,SUMPRODUCT(MAX(ROW(E$1:E1244)*(E1245=E$1:E1244)))))</f>
        <v/>
      </c>
      <c r="L1245" s="15"/>
    </row>
    <row r="1246" customFormat="false" ht="12.75" hidden="false" customHeight="false" outlineLevel="0" collapsed="false">
      <c r="A1246" s="0" t="s">
        <v>517</v>
      </c>
      <c r="E1246" s="9" t="str">
        <f aca="false">IF(D1246="?OLD","!!!","")</f>
        <v/>
      </c>
      <c r="F1246" s="10" t="str">
        <f aca="false">IF(OR(E1246="",E1246="!!!"),"",IF(NOT(ISNA(VLOOKUP(E1246,E$1:E1245,1,FALSE()))),"OLD",IF(AND(E1246&lt;&gt;"",E1246&lt;&gt;"!!!"),"NEW","")))</f>
        <v/>
      </c>
      <c r="G1246" s="11" t="str">
        <f aca="false">IF(OR(E1246="",E1246="!!!"),"",IF(OR(J1246=0,AND(J1246=1,K1246=1),AND(J1246=1,I1246="SBJ"),AND(J1246=1,I1246=0)),"?IN_FOCUS",IF(J1246&lt;=2,"?ACTIVATED",IF(J1246&lt;&gt;"","?FAMILIAR",IF(F1246="NEW",IF(ISNA(VLOOKUP(E1246,#REF!,1,FALSE())),"?TYPE_IDENTIFIABLE","?REFERENTIAL"),"_")))))</f>
        <v/>
      </c>
      <c r="H1246" s="12" t="str">
        <f aca="false">IF(J1246&lt;&gt;1,"",IF(I1246="SBJ","CB","?"))</f>
        <v/>
      </c>
      <c r="I1246" s="13" t="str">
        <f aca="false">IF(OR(E1246="",E1246="!!!",F1246="NEW"),"",INDEX(B$2:B1245,-1+SUMPRODUCT(MAX(ROW(E$2:E1245)*(E1246=E$2:E1245)))))</f>
        <v/>
      </c>
      <c r="J1246" s="14" t="str">
        <f aca="true">IF(OR(E1246="",E1246="!!!",F1246="NEW"),"",COUNTBLANK(OFFSET(A$1,,,SUMPRODUCT(MAX(ROW(E$2:E1246)*(E1246=E$2:E1246)))))-COUNTBLANK(OFFSET(A$1,,,SUMPRODUCT(MAX(ROW(E$1:E1245)*(E1246=E$1:E1245))))))</f>
        <v/>
      </c>
      <c r="K1246" s="14" t="str">
        <f aca="false">IF(OR(E1246="",E1246="!!!",F1246="NEW"),"",INDEX(J$1:J1245,SUMPRODUCT(MAX(ROW(E$1:E1245)*(E1246=E$1:E1245)))))</f>
        <v/>
      </c>
      <c r="L1246" s="15"/>
    </row>
    <row r="1247" customFormat="false" ht="12.75" hidden="false" customHeight="false" outlineLevel="0" collapsed="false">
      <c r="A1247" s="0" t="s">
        <v>463</v>
      </c>
      <c r="E1247" s="9" t="str">
        <f aca="false">IF(D1247="?OLD","!!!","")</f>
        <v/>
      </c>
      <c r="F1247" s="10" t="str">
        <f aca="false">IF(OR(E1247="",E1247="!!!"),"",IF(NOT(ISNA(VLOOKUP(E1247,E$1:E1246,1,FALSE()))),"OLD",IF(AND(E1247&lt;&gt;"",E1247&lt;&gt;"!!!"),"NEW","")))</f>
        <v/>
      </c>
      <c r="G1247" s="11" t="str">
        <f aca="false">IF(OR(E1247="",E1247="!!!"),"",IF(OR(J1247=0,AND(J1247=1,K1247=1),AND(J1247=1,I1247="SBJ"),AND(J1247=1,I1247=0)),"?IN_FOCUS",IF(J1247&lt;=2,"?ACTIVATED",IF(J1247&lt;&gt;"","?FAMILIAR",IF(F1247="NEW",IF(ISNA(VLOOKUP(E1247,#REF!,1,FALSE())),"?TYPE_IDENTIFIABLE","?REFERENTIAL"),"_")))))</f>
        <v/>
      </c>
      <c r="H1247" s="12" t="str">
        <f aca="false">IF(J1247&lt;&gt;1,"",IF(I1247="SBJ","CB","?"))</f>
        <v/>
      </c>
      <c r="I1247" s="13" t="str">
        <f aca="false">IF(OR(E1247="",E1247="!!!",F1247="NEW"),"",INDEX(B$2:B1246,-1+SUMPRODUCT(MAX(ROW(E$2:E1246)*(E1247=E$2:E1246)))))</f>
        <v/>
      </c>
      <c r="J1247" s="14" t="str">
        <f aca="true">IF(OR(E1247="",E1247="!!!",F1247="NEW"),"",COUNTBLANK(OFFSET(A$1,,,SUMPRODUCT(MAX(ROW(E$2:E1247)*(E1247=E$2:E1247)))))-COUNTBLANK(OFFSET(A$1,,,SUMPRODUCT(MAX(ROW(E$1:E1246)*(E1247=E$1:E1246))))))</f>
        <v/>
      </c>
      <c r="K1247" s="14" t="str">
        <f aca="false">IF(OR(E1247="",E1247="!!!",F1247="NEW"),"",INDEX(J$1:J1246,SUMPRODUCT(MAX(ROW(E$1:E1246)*(E1247=E$1:E1246)))))</f>
        <v/>
      </c>
      <c r="L1247" s="15"/>
    </row>
    <row r="1248" customFormat="false" ht="12.75" hidden="false" customHeight="false" outlineLevel="0" collapsed="false">
      <c r="A1248" s="0" t="s">
        <v>36</v>
      </c>
      <c r="B1248" s="0" t="s">
        <v>62</v>
      </c>
      <c r="C1248" s="0" t="s">
        <v>38</v>
      </c>
      <c r="D1248" s="0" t="s">
        <v>29</v>
      </c>
      <c r="E1248" s="9" t="str">
        <f aca="false">IF(D1248="?OLD","!!!","")</f>
        <v>!!!</v>
      </c>
      <c r="F1248" s="10" t="str">
        <f aca="false">IF(OR(E1248="",E1248="!!!"),"",IF(NOT(ISNA(VLOOKUP(E1248,E$1:E1247,1,FALSE()))),"OLD",IF(AND(E1248&lt;&gt;"",E1248&lt;&gt;"!!!"),"NEW","")))</f>
        <v/>
      </c>
      <c r="G1248" s="11" t="str">
        <f aca="false">IF(OR(E1248="",E1248="!!!"),"",IF(OR(J1248=0,AND(J1248=1,K1248=1),AND(J1248=1,I1248="SBJ"),AND(J1248=1,I1248=0)),"?IN_FOCUS",IF(J1248&lt;=2,"?ACTIVATED",IF(J1248&lt;&gt;"","?FAMILIAR",IF(F1248="NEW",IF(ISNA(VLOOKUP(E1248,#REF!,1,FALSE())),"?TYPE_IDENTIFIABLE","?REFERENTIAL"),"_")))))</f>
        <v/>
      </c>
      <c r="H1248" s="12" t="str">
        <f aca="false">IF(J1248&lt;&gt;1,"",IF(I1248="SBJ","CB","?"))</f>
        <v/>
      </c>
      <c r="I1248" s="13" t="str">
        <f aca="false">IF(OR(E1248="",E1248="!!!",F1248="NEW"),"",INDEX(B$2:B1247,-1+SUMPRODUCT(MAX(ROW(E$2:E1247)*(E1248=E$2:E1247)))))</f>
        <v/>
      </c>
      <c r="J1248" s="14" t="str">
        <f aca="true">IF(OR(E1248="",E1248="!!!",F1248="NEW"),"",COUNTBLANK(OFFSET(A$1,,,SUMPRODUCT(MAX(ROW(E$2:E1248)*(E1248=E$2:E1248)))))-COUNTBLANK(OFFSET(A$1,,,SUMPRODUCT(MAX(ROW(E$1:E1247)*(E1248=E$1:E1247))))))</f>
        <v/>
      </c>
      <c r="K1248" s="14" t="str">
        <f aca="false">IF(OR(E1248="",E1248="!!!",F1248="NEW"),"",INDEX(J$1:J1247,SUMPRODUCT(MAX(ROW(E$1:E1247)*(E1248=E$1:E1247)))))</f>
        <v/>
      </c>
      <c r="L1248" s="15"/>
    </row>
    <row r="1249" customFormat="false" ht="12.75" hidden="false" customHeight="false" outlineLevel="0" collapsed="false">
      <c r="A1249" s="0" t="s">
        <v>31</v>
      </c>
      <c r="E1249" s="9" t="str">
        <f aca="false">IF(D1249="?OLD","!!!","")</f>
        <v/>
      </c>
      <c r="F1249" s="10" t="str">
        <f aca="false">IF(OR(E1249="",E1249="!!!"),"",IF(NOT(ISNA(VLOOKUP(E1249,E$1:E1248,1,FALSE()))),"OLD",IF(AND(E1249&lt;&gt;"",E1249&lt;&gt;"!!!"),"NEW","")))</f>
        <v/>
      </c>
      <c r="G1249" s="11" t="str">
        <f aca="false">IF(OR(E1249="",E1249="!!!"),"",IF(OR(J1249=0,AND(J1249=1,K1249=1),AND(J1249=1,I1249="SBJ"),AND(J1249=1,I1249=0)),"?IN_FOCUS",IF(J1249&lt;=2,"?ACTIVATED",IF(J1249&lt;&gt;"","?FAMILIAR",IF(F1249="NEW",IF(ISNA(VLOOKUP(E1249,#REF!,1,FALSE())),"?TYPE_IDENTIFIABLE","?REFERENTIAL"),"_")))))</f>
        <v/>
      </c>
      <c r="H1249" s="12" t="str">
        <f aca="false">IF(J1249&lt;&gt;1,"",IF(I1249="SBJ","CB","?"))</f>
        <v/>
      </c>
      <c r="I1249" s="13" t="str">
        <f aca="false">IF(OR(E1249="",E1249="!!!",F1249="NEW"),"",INDEX(B$2:B1248,-1+SUMPRODUCT(MAX(ROW(E$2:E1248)*(E1249=E$2:E1248)))))</f>
        <v/>
      </c>
      <c r="J1249" s="14" t="str">
        <f aca="true">IF(OR(E1249="",E1249="!!!",F1249="NEW"),"",COUNTBLANK(OFFSET(A$1,,,SUMPRODUCT(MAX(ROW(E$2:E1249)*(E1249=E$2:E1249)))))-COUNTBLANK(OFFSET(A$1,,,SUMPRODUCT(MAX(ROW(E$1:E1248)*(E1249=E$1:E1248))))))</f>
        <v/>
      </c>
      <c r="K1249" s="14" t="str">
        <f aca="false">IF(OR(E1249="",E1249="!!!",F1249="NEW"),"",INDEX(J$1:J1248,SUMPRODUCT(MAX(ROW(E$1:E1248)*(E1249=E$1:E1248)))))</f>
        <v/>
      </c>
      <c r="L1249" s="15"/>
    </row>
    <row r="1250" customFormat="false" ht="12.75" hidden="false" customHeight="false" outlineLevel="0" collapsed="false">
      <c r="A1250" s="0" t="s">
        <v>88</v>
      </c>
      <c r="E1250" s="9" t="str">
        <f aca="false">IF(D1250="?OLD","!!!","")</f>
        <v/>
      </c>
      <c r="F1250" s="10" t="str">
        <f aca="false">IF(OR(E1250="",E1250="!!!"),"",IF(NOT(ISNA(VLOOKUP(E1250,E$1:E1249,1,FALSE()))),"OLD",IF(AND(E1250&lt;&gt;"",E1250&lt;&gt;"!!!"),"NEW","")))</f>
        <v/>
      </c>
      <c r="G1250" s="11" t="str">
        <f aca="false">IF(OR(E1250="",E1250="!!!"),"",IF(OR(J1250=0,AND(J1250=1,K1250=1),AND(J1250=1,I1250="SBJ"),AND(J1250=1,I1250=0)),"?IN_FOCUS",IF(J1250&lt;=2,"?ACTIVATED",IF(J1250&lt;&gt;"","?FAMILIAR",IF(F1250="NEW",IF(ISNA(VLOOKUP(E1250,#REF!,1,FALSE())),"?TYPE_IDENTIFIABLE","?REFERENTIAL"),"_")))))</f>
        <v/>
      </c>
      <c r="H1250" s="12" t="str">
        <f aca="false">IF(J1250&lt;&gt;1,"",IF(I1250="SBJ","CB","?"))</f>
        <v/>
      </c>
      <c r="I1250" s="13" t="str">
        <f aca="false">IF(OR(E1250="",E1250="!!!",F1250="NEW"),"",INDEX(B$2:B1249,-1+SUMPRODUCT(MAX(ROW(E$2:E1249)*(E1250=E$2:E1249)))))</f>
        <v/>
      </c>
      <c r="J1250" s="14" t="str">
        <f aca="true">IF(OR(E1250="",E1250="!!!",F1250="NEW"),"",COUNTBLANK(OFFSET(A$1,,,SUMPRODUCT(MAX(ROW(E$2:E1250)*(E1250=E$2:E1250)))))-COUNTBLANK(OFFSET(A$1,,,SUMPRODUCT(MAX(ROW(E$1:E1249)*(E1250=E$1:E1249))))))</f>
        <v/>
      </c>
      <c r="K1250" s="14" t="str">
        <f aca="false">IF(OR(E1250="",E1250="!!!",F1250="NEW"),"",INDEX(J$1:J1249,SUMPRODUCT(MAX(ROW(E$1:E1249)*(E1250=E$1:E1249)))))</f>
        <v/>
      </c>
      <c r="L1250" s="15"/>
    </row>
    <row r="1251" customFormat="false" ht="12.75" hidden="false" customHeight="false" outlineLevel="0" collapsed="false">
      <c r="A1251" s="0" t="s">
        <v>46</v>
      </c>
      <c r="B1251" s="0" t="s">
        <v>42</v>
      </c>
      <c r="C1251" s="0" t="s">
        <v>38</v>
      </c>
      <c r="D1251" s="0" t="s">
        <v>29</v>
      </c>
      <c r="E1251" s="9" t="str">
        <f aca="false">IF(D1251="?OLD","!!!","")</f>
        <v>!!!</v>
      </c>
      <c r="F1251" s="10" t="str">
        <f aca="false">IF(OR(E1251="",E1251="!!!"),"",IF(NOT(ISNA(VLOOKUP(E1251,E$1:E1250,1,FALSE()))),"OLD",IF(AND(E1251&lt;&gt;"",E1251&lt;&gt;"!!!"),"NEW","")))</f>
        <v/>
      </c>
      <c r="G1251" s="11" t="str">
        <f aca="false">IF(OR(E1251="",E1251="!!!"),"",IF(OR(J1251=0,AND(J1251=1,K1251=1),AND(J1251=1,I1251="SBJ"),AND(J1251=1,I1251=0)),"?IN_FOCUS",IF(J1251&lt;=2,"?ACTIVATED",IF(J1251&lt;&gt;"","?FAMILIAR",IF(F1251="NEW",IF(ISNA(VLOOKUP(E1251,#REF!,1,FALSE())),"?TYPE_IDENTIFIABLE","?REFERENTIAL"),"_")))))</f>
        <v/>
      </c>
      <c r="H1251" s="12" t="str">
        <f aca="false">IF(J1251&lt;&gt;1,"",IF(I1251="SBJ","CB","?"))</f>
        <v/>
      </c>
      <c r="I1251" s="13" t="str">
        <f aca="false">IF(OR(E1251="",E1251="!!!",F1251="NEW"),"",INDEX(B$2:B1250,-1+SUMPRODUCT(MAX(ROW(E$2:E1250)*(E1251=E$2:E1250)))))</f>
        <v/>
      </c>
      <c r="J1251" s="14" t="str">
        <f aca="true">IF(OR(E1251="",E1251="!!!",F1251="NEW"),"",COUNTBLANK(OFFSET(A$1,,,SUMPRODUCT(MAX(ROW(E$2:E1251)*(E1251=E$2:E1251)))))-COUNTBLANK(OFFSET(A$1,,,SUMPRODUCT(MAX(ROW(E$1:E1250)*(E1251=E$1:E1250))))))</f>
        <v/>
      </c>
      <c r="K1251" s="14" t="str">
        <f aca="false">IF(OR(E1251="",E1251="!!!",F1251="NEW"),"",INDEX(J$1:J1250,SUMPRODUCT(MAX(ROW(E$1:E1250)*(E1251=E$1:E1250)))))</f>
        <v/>
      </c>
      <c r="L1251" s="15"/>
    </row>
    <row r="1252" customFormat="false" ht="12.75" hidden="false" customHeight="false" outlineLevel="0" collapsed="false">
      <c r="A1252" s="0" t="s">
        <v>583</v>
      </c>
      <c r="E1252" s="9" t="str">
        <f aca="false">IF(D1252="?OLD","!!!","")</f>
        <v/>
      </c>
      <c r="F1252" s="10" t="str">
        <f aca="false">IF(OR(E1252="",E1252="!!!"),"",IF(NOT(ISNA(VLOOKUP(E1252,E$1:E1251,1,FALSE()))),"OLD",IF(AND(E1252&lt;&gt;"",E1252&lt;&gt;"!!!"),"NEW","")))</f>
        <v/>
      </c>
      <c r="G1252" s="11" t="str">
        <f aca="false">IF(OR(E1252="",E1252="!!!"),"",IF(OR(J1252=0,AND(J1252=1,K1252=1),AND(J1252=1,I1252="SBJ"),AND(J1252=1,I1252=0)),"?IN_FOCUS",IF(J1252&lt;=2,"?ACTIVATED",IF(J1252&lt;&gt;"","?FAMILIAR",IF(F1252="NEW",IF(ISNA(VLOOKUP(E1252,#REF!,1,FALSE())),"?TYPE_IDENTIFIABLE","?REFERENTIAL"),"_")))))</f>
        <v/>
      </c>
      <c r="H1252" s="12" t="str">
        <f aca="false">IF(J1252&lt;&gt;1,"",IF(I1252="SBJ","CB","?"))</f>
        <v/>
      </c>
      <c r="I1252" s="13" t="str">
        <f aca="false">IF(OR(E1252="",E1252="!!!",F1252="NEW"),"",INDEX(B$2:B1251,-1+SUMPRODUCT(MAX(ROW(E$2:E1251)*(E1252=E$2:E1251)))))</f>
        <v/>
      </c>
      <c r="J1252" s="14" t="str">
        <f aca="true">IF(OR(E1252="",E1252="!!!",F1252="NEW"),"",COUNTBLANK(OFFSET(A$1,,,SUMPRODUCT(MAX(ROW(E$2:E1252)*(E1252=E$2:E1252)))))-COUNTBLANK(OFFSET(A$1,,,SUMPRODUCT(MAX(ROW(E$1:E1251)*(E1252=E$1:E1251))))))</f>
        <v/>
      </c>
      <c r="K1252" s="14" t="str">
        <f aca="false">IF(OR(E1252="",E1252="!!!",F1252="NEW"),"",INDEX(J$1:J1251,SUMPRODUCT(MAX(ROW(E$1:E1251)*(E1252=E$1:E1251)))))</f>
        <v/>
      </c>
      <c r="L1252" s="15"/>
    </row>
    <row r="1253" customFormat="false" ht="12.75" hidden="false" customHeight="false" outlineLevel="0" collapsed="false">
      <c r="A1253" s="0" t="s">
        <v>584</v>
      </c>
      <c r="E1253" s="9" t="str">
        <f aca="false">IF(D1253="?OLD","!!!","")</f>
        <v/>
      </c>
      <c r="F1253" s="10" t="str">
        <f aca="false">IF(OR(E1253="",E1253="!!!"),"",IF(NOT(ISNA(VLOOKUP(E1253,E$1:E1252,1,FALSE()))),"OLD",IF(AND(E1253&lt;&gt;"",E1253&lt;&gt;"!!!"),"NEW","")))</f>
        <v/>
      </c>
      <c r="G1253" s="11" t="str">
        <f aca="false">IF(OR(E1253="",E1253="!!!"),"",IF(OR(J1253=0,AND(J1253=1,K1253=1),AND(J1253=1,I1253="SBJ"),AND(J1253=1,I1253=0)),"?IN_FOCUS",IF(J1253&lt;=2,"?ACTIVATED",IF(J1253&lt;&gt;"","?FAMILIAR",IF(F1253="NEW",IF(ISNA(VLOOKUP(E1253,#REF!,1,FALSE())),"?TYPE_IDENTIFIABLE","?REFERENTIAL"),"_")))))</f>
        <v/>
      </c>
      <c r="H1253" s="12" t="str">
        <f aca="false">IF(J1253&lt;&gt;1,"",IF(I1253="SBJ","CB","?"))</f>
        <v/>
      </c>
      <c r="I1253" s="13" t="str">
        <f aca="false">IF(OR(E1253="",E1253="!!!",F1253="NEW"),"",INDEX(B$2:B1252,-1+SUMPRODUCT(MAX(ROW(E$2:E1252)*(E1253=E$2:E1252)))))</f>
        <v/>
      </c>
      <c r="J1253" s="14" t="str">
        <f aca="true">IF(OR(E1253="",E1253="!!!",F1253="NEW"),"",COUNTBLANK(OFFSET(A$1,,,SUMPRODUCT(MAX(ROW(E$2:E1253)*(E1253=E$2:E1253)))))-COUNTBLANK(OFFSET(A$1,,,SUMPRODUCT(MAX(ROW(E$1:E1252)*(E1253=E$1:E1252))))))</f>
        <v/>
      </c>
      <c r="K1253" s="14" t="str">
        <f aca="false">IF(OR(E1253="",E1253="!!!",F1253="NEW"),"",INDEX(J$1:J1252,SUMPRODUCT(MAX(ROW(E$1:E1252)*(E1253=E$1:E1252)))))</f>
        <v/>
      </c>
      <c r="L1253" s="15"/>
    </row>
    <row r="1254" customFormat="false" ht="12.75" hidden="false" customHeight="false" outlineLevel="0" collapsed="false">
      <c r="A1254" s="0" t="s">
        <v>117</v>
      </c>
      <c r="E1254" s="9" t="str">
        <f aca="false">IF(D1254="?OLD","!!!","")</f>
        <v/>
      </c>
      <c r="F1254" s="10" t="str">
        <f aca="false">IF(OR(E1254="",E1254="!!!"),"",IF(NOT(ISNA(VLOOKUP(E1254,E$1:E1253,1,FALSE()))),"OLD",IF(AND(E1254&lt;&gt;"",E1254&lt;&gt;"!!!"),"NEW","")))</f>
        <v/>
      </c>
      <c r="G1254" s="11" t="str">
        <f aca="false">IF(OR(E1254="",E1254="!!!"),"",IF(OR(J1254=0,AND(J1254=1,K1254=1),AND(J1254=1,I1254="SBJ"),AND(J1254=1,I1254=0)),"?IN_FOCUS",IF(J1254&lt;=2,"?ACTIVATED",IF(J1254&lt;&gt;"","?FAMILIAR",IF(F1254="NEW",IF(ISNA(VLOOKUP(E1254,#REF!,1,FALSE())),"?TYPE_IDENTIFIABLE","?REFERENTIAL"),"_")))))</f>
        <v/>
      </c>
      <c r="H1254" s="12" t="str">
        <f aca="false">IF(J1254&lt;&gt;1,"",IF(I1254="SBJ","CB","?"))</f>
        <v/>
      </c>
      <c r="I1254" s="13" t="str">
        <f aca="false">IF(OR(E1254="",E1254="!!!",F1254="NEW"),"",INDEX(B$2:B1253,-1+SUMPRODUCT(MAX(ROW(E$2:E1253)*(E1254=E$2:E1253)))))</f>
        <v/>
      </c>
      <c r="J1254" s="14" t="str">
        <f aca="true">IF(OR(E1254="",E1254="!!!",F1254="NEW"),"",COUNTBLANK(OFFSET(A$1,,,SUMPRODUCT(MAX(ROW(E$2:E1254)*(E1254=E$2:E1254)))))-COUNTBLANK(OFFSET(A$1,,,SUMPRODUCT(MAX(ROW(E$1:E1253)*(E1254=E$1:E1253))))))</f>
        <v/>
      </c>
      <c r="K1254" s="14" t="str">
        <f aca="false">IF(OR(E1254="",E1254="!!!",F1254="NEW"),"",INDEX(J$1:J1253,SUMPRODUCT(MAX(ROW(E$1:E1253)*(E1254=E$1:E1253)))))</f>
        <v/>
      </c>
      <c r="L1254" s="15"/>
    </row>
    <row r="1255" customFormat="false" ht="12.75" hidden="false" customHeight="false" outlineLevel="0" collapsed="false">
      <c r="A1255" s="0" t="s">
        <v>46</v>
      </c>
      <c r="B1255" s="0" t="s">
        <v>47</v>
      </c>
      <c r="C1255" s="0" t="s">
        <v>38</v>
      </c>
      <c r="D1255" s="0" t="s">
        <v>29</v>
      </c>
      <c r="E1255" s="9" t="str">
        <f aca="false">IF(D1255="?OLD","!!!","")</f>
        <v>!!!</v>
      </c>
      <c r="F1255" s="10" t="str">
        <f aca="false">IF(OR(E1255="",E1255="!!!"),"",IF(NOT(ISNA(VLOOKUP(E1255,E$1:E1254,1,FALSE()))),"OLD",IF(AND(E1255&lt;&gt;"",E1255&lt;&gt;"!!!"),"NEW","")))</f>
        <v/>
      </c>
      <c r="G1255" s="11" t="str">
        <f aca="false">IF(OR(E1255="",E1255="!!!"),"",IF(OR(J1255=0,AND(J1255=1,K1255=1),AND(J1255=1,I1255="SBJ"),AND(J1255=1,I1255=0)),"?IN_FOCUS",IF(J1255&lt;=2,"?ACTIVATED",IF(J1255&lt;&gt;"","?FAMILIAR",IF(F1255="NEW",IF(ISNA(VLOOKUP(E1255,#REF!,1,FALSE())),"?TYPE_IDENTIFIABLE","?REFERENTIAL"),"_")))))</f>
        <v/>
      </c>
      <c r="H1255" s="12" t="str">
        <f aca="false">IF(J1255&lt;&gt;1,"",IF(I1255="SBJ","CB","?"))</f>
        <v/>
      </c>
      <c r="I1255" s="13" t="str">
        <f aca="false">IF(OR(E1255="",E1255="!!!",F1255="NEW"),"",INDEX(B$2:B1254,-1+SUMPRODUCT(MAX(ROW(E$2:E1254)*(E1255=E$2:E1254)))))</f>
        <v/>
      </c>
      <c r="J1255" s="14" t="str">
        <f aca="true">IF(OR(E1255="",E1255="!!!",F1255="NEW"),"",COUNTBLANK(OFFSET(A$1,,,SUMPRODUCT(MAX(ROW(E$2:E1255)*(E1255=E$2:E1255)))))-COUNTBLANK(OFFSET(A$1,,,SUMPRODUCT(MAX(ROW(E$1:E1254)*(E1255=E$1:E1254))))))</f>
        <v/>
      </c>
      <c r="K1255" s="14" t="str">
        <f aca="false">IF(OR(E1255="",E1255="!!!",F1255="NEW"),"",INDEX(J$1:J1254,SUMPRODUCT(MAX(ROW(E$1:E1254)*(E1255=E$1:E1254)))))</f>
        <v/>
      </c>
      <c r="L1255" s="15"/>
    </row>
    <row r="1256" customFormat="false" ht="12.75" hidden="false" customHeight="false" outlineLevel="0" collapsed="false">
      <c r="A1256" s="0" t="s">
        <v>430</v>
      </c>
      <c r="E1256" s="9" t="str">
        <f aca="false">IF(D1256="?OLD","!!!","")</f>
        <v/>
      </c>
      <c r="F1256" s="10" t="str">
        <f aca="false">IF(OR(E1256="",E1256="!!!"),"",IF(NOT(ISNA(VLOOKUP(E1256,E$1:E1255,1,FALSE()))),"OLD",IF(AND(E1256&lt;&gt;"",E1256&lt;&gt;"!!!"),"NEW","")))</f>
        <v/>
      </c>
      <c r="G1256" s="11" t="str">
        <f aca="false">IF(OR(E1256="",E1256="!!!"),"",IF(OR(J1256=0,AND(J1256=1,K1256=1),AND(J1256=1,I1256="SBJ"),AND(J1256=1,I1256=0)),"?IN_FOCUS",IF(J1256&lt;=2,"?ACTIVATED",IF(J1256&lt;&gt;"","?FAMILIAR",IF(F1256="NEW",IF(ISNA(VLOOKUP(E1256,#REF!,1,FALSE())),"?TYPE_IDENTIFIABLE","?REFERENTIAL"),"_")))))</f>
        <v/>
      </c>
      <c r="H1256" s="12" t="str">
        <f aca="false">IF(J1256&lt;&gt;1,"",IF(I1256="SBJ","CB","?"))</f>
        <v/>
      </c>
      <c r="I1256" s="13" t="str">
        <f aca="false">IF(OR(E1256="",E1256="!!!",F1256="NEW"),"",INDEX(B$2:B1255,-1+SUMPRODUCT(MAX(ROW(E$2:E1255)*(E1256=E$2:E1255)))))</f>
        <v/>
      </c>
      <c r="J1256" s="14" t="str">
        <f aca="true">IF(OR(E1256="",E1256="!!!",F1256="NEW"),"",COUNTBLANK(OFFSET(A$1,,,SUMPRODUCT(MAX(ROW(E$2:E1256)*(E1256=E$2:E1256)))))-COUNTBLANK(OFFSET(A$1,,,SUMPRODUCT(MAX(ROW(E$1:E1255)*(E1256=E$1:E1255))))))</f>
        <v/>
      </c>
      <c r="K1256" s="14" t="str">
        <f aca="false">IF(OR(E1256="",E1256="!!!",F1256="NEW"),"",INDEX(J$1:J1255,SUMPRODUCT(MAX(ROW(E$1:E1255)*(E1256=E$1:E1255)))))</f>
        <v/>
      </c>
      <c r="L1256" s="15"/>
    </row>
    <row r="1257" customFormat="false" ht="12.75" hidden="false" customHeight="false" outlineLevel="0" collapsed="false">
      <c r="A1257" s="0" t="s">
        <v>579</v>
      </c>
      <c r="B1257" s="0" t="s">
        <v>64</v>
      </c>
      <c r="C1257" s="0" t="s">
        <v>55</v>
      </c>
      <c r="D1257" s="0" t="s">
        <v>29</v>
      </c>
      <c r="E1257" s="9" t="str">
        <f aca="false">IF(D1257="?OLD","!!!","")</f>
        <v>!!!</v>
      </c>
      <c r="F1257" s="10" t="str">
        <f aca="false">IF(OR(E1257="",E1257="!!!"),"",IF(NOT(ISNA(VLOOKUP(E1257,E$1:E1256,1,FALSE()))),"OLD",IF(AND(E1257&lt;&gt;"",E1257&lt;&gt;"!!!"),"NEW","")))</f>
        <v/>
      </c>
      <c r="G1257" s="11" t="str">
        <f aca="false">IF(OR(E1257="",E1257="!!!"),"",IF(OR(J1257=0,AND(J1257=1,K1257=1),AND(J1257=1,I1257="SBJ"),AND(J1257=1,I1257=0)),"?IN_FOCUS",IF(J1257&lt;=2,"?ACTIVATED",IF(J1257&lt;&gt;"","?FAMILIAR",IF(F1257="NEW",IF(ISNA(VLOOKUP(E1257,#REF!,1,FALSE())),"?TYPE_IDENTIFIABLE","?REFERENTIAL"),"_")))))</f>
        <v/>
      </c>
      <c r="H1257" s="12" t="str">
        <f aca="false">IF(J1257&lt;&gt;1,"",IF(I1257="SBJ","CB","?"))</f>
        <v/>
      </c>
      <c r="I1257" s="13" t="str">
        <f aca="false">IF(OR(E1257="",E1257="!!!",F1257="NEW"),"",INDEX(B$2:B1256,-1+SUMPRODUCT(MAX(ROW(E$2:E1256)*(E1257=E$2:E1256)))))</f>
        <v/>
      </c>
      <c r="J1257" s="14" t="str">
        <f aca="true">IF(OR(E1257="",E1257="!!!",F1257="NEW"),"",COUNTBLANK(OFFSET(A$1,,,SUMPRODUCT(MAX(ROW(E$2:E1257)*(E1257=E$2:E1257)))))-COUNTBLANK(OFFSET(A$1,,,SUMPRODUCT(MAX(ROW(E$1:E1256)*(E1257=E$1:E1256))))))</f>
        <v/>
      </c>
      <c r="K1257" s="14" t="str">
        <f aca="false">IF(OR(E1257="",E1257="!!!",F1257="NEW"),"",INDEX(J$1:J1256,SUMPRODUCT(MAX(ROW(E$1:E1256)*(E1257=E$1:E1256)))))</f>
        <v/>
      </c>
      <c r="L1257" s="15"/>
    </row>
    <row r="1258" customFormat="false" ht="12.75" hidden="false" customHeight="false" outlineLevel="0" collapsed="false">
      <c r="A1258" s="0" t="s">
        <v>585</v>
      </c>
      <c r="E1258" s="9" t="str">
        <f aca="false">IF(D1258="?OLD","!!!","")</f>
        <v/>
      </c>
      <c r="F1258" s="10" t="str">
        <f aca="false">IF(OR(E1258="",E1258="!!!"),"",IF(NOT(ISNA(VLOOKUP(E1258,E$1:E1257,1,FALSE()))),"OLD",IF(AND(E1258&lt;&gt;"",E1258&lt;&gt;"!!!"),"NEW","")))</f>
        <v/>
      </c>
      <c r="G1258" s="11" t="str">
        <f aca="false">IF(OR(E1258="",E1258="!!!"),"",IF(OR(J1258=0,AND(J1258=1,K1258=1),AND(J1258=1,I1258="SBJ"),AND(J1258=1,I1258=0)),"?IN_FOCUS",IF(J1258&lt;=2,"?ACTIVATED",IF(J1258&lt;&gt;"","?FAMILIAR",IF(F1258="NEW",IF(ISNA(VLOOKUP(E1258,#REF!,1,FALSE())),"?TYPE_IDENTIFIABLE","?REFERENTIAL"),"_")))))</f>
        <v/>
      </c>
      <c r="H1258" s="12" t="str">
        <f aca="false">IF(J1258&lt;&gt;1,"",IF(I1258="SBJ","CB","?"))</f>
        <v/>
      </c>
      <c r="I1258" s="13" t="str">
        <f aca="false">IF(OR(E1258="",E1258="!!!",F1258="NEW"),"",INDEX(B$2:B1257,-1+SUMPRODUCT(MAX(ROW(E$2:E1257)*(E1258=E$2:E1257)))))</f>
        <v/>
      </c>
      <c r="J1258" s="14" t="str">
        <f aca="true">IF(OR(E1258="",E1258="!!!",F1258="NEW"),"",COUNTBLANK(OFFSET(A$1,,,SUMPRODUCT(MAX(ROW(E$2:E1258)*(E1258=E$2:E1258)))))-COUNTBLANK(OFFSET(A$1,,,SUMPRODUCT(MAX(ROW(E$1:E1257)*(E1258=E$1:E1257))))))</f>
        <v/>
      </c>
      <c r="K1258" s="14" t="str">
        <f aca="false">IF(OR(E1258="",E1258="!!!",F1258="NEW"),"",INDEX(J$1:J1257,SUMPRODUCT(MAX(ROW(E$1:E1257)*(E1258=E$1:E1257)))))</f>
        <v/>
      </c>
      <c r="L1258" s="15"/>
    </row>
    <row r="1259" customFormat="false" ht="12.75" hidden="false" customHeight="false" outlineLevel="0" collapsed="false">
      <c r="A1259" s="0" t="s">
        <v>586</v>
      </c>
      <c r="B1259" s="0" t="s">
        <v>107</v>
      </c>
      <c r="C1259" s="0" t="s">
        <v>15</v>
      </c>
      <c r="D1259" s="0" t="s">
        <v>29</v>
      </c>
      <c r="E1259" s="9" t="str">
        <f aca="false">IF(D1259="?OLD","!!!","")</f>
        <v>!!!</v>
      </c>
      <c r="F1259" s="10" t="str">
        <f aca="false">IF(OR(E1259="",E1259="!!!"),"",IF(NOT(ISNA(VLOOKUP(E1259,E$1:E1258,1,FALSE()))),"OLD",IF(AND(E1259&lt;&gt;"",E1259&lt;&gt;"!!!"),"NEW","")))</f>
        <v/>
      </c>
      <c r="G1259" s="11" t="str">
        <f aca="false">IF(OR(E1259="",E1259="!!!"),"",IF(OR(J1259=0,AND(J1259=1,K1259=1),AND(J1259=1,I1259="SBJ"),AND(J1259=1,I1259=0)),"?IN_FOCUS",IF(J1259&lt;=2,"?ACTIVATED",IF(J1259&lt;&gt;"","?FAMILIAR",IF(F1259="NEW",IF(ISNA(VLOOKUP(E1259,#REF!,1,FALSE())),"?TYPE_IDENTIFIABLE","?REFERENTIAL"),"_")))))</f>
        <v/>
      </c>
      <c r="H1259" s="12" t="str">
        <f aca="false">IF(J1259&lt;&gt;1,"",IF(I1259="SBJ","CB","?"))</f>
        <v/>
      </c>
      <c r="I1259" s="13" t="str">
        <f aca="false">IF(OR(E1259="",E1259="!!!",F1259="NEW"),"",INDEX(B$2:B1258,-1+SUMPRODUCT(MAX(ROW(E$2:E1258)*(E1259=E$2:E1258)))))</f>
        <v/>
      </c>
      <c r="J1259" s="14" t="str">
        <f aca="true">IF(OR(E1259="",E1259="!!!",F1259="NEW"),"",COUNTBLANK(OFFSET(A$1,,,SUMPRODUCT(MAX(ROW(E$2:E1259)*(E1259=E$2:E1259)))))-COUNTBLANK(OFFSET(A$1,,,SUMPRODUCT(MAX(ROW(E$1:E1258)*(E1259=E$1:E1258))))))</f>
        <v/>
      </c>
      <c r="K1259" s="14" t="str">
        <f aca="false">IF(OR(E1259="",E1259="!!!",F1259="NEW"),"",INDEX(J$1:J1258,SUMPRODUCT(MAX(ROW(E$1:E1258)*(E1259=E$1:E1258)))))</f>
        <v/>
      </c>
      <c r="L1259" s="15"/>
    </row>
    <row r="1260" customFormat="false" ht="12.75" hidden="false" customHeight="false" outlineLevel="0" collapsed="false">
      <c r="A1260" s="0" t="s">
        <v>73</v>
      </c>
      <c r="E1260" s="9" t="str">
        <f aca="false">IF(D1260="?OLD","!!!","")</f>
        <v/>
      </c>
      <c r="F1260" s="10" t="str">
        <f aca="false">IF(OR(E1260="",E1260="!!!"),"",IF(NOT(ISNA(VLOOKUP(E1260,E$1:E1259,1,FALSE()))),"OLD",IF(AND(E1260&lt;&gt;"",E1260&lt;&gt;"!!!"),"NEW","")))</f>
        <v/>
      </c>
      <c r="G1260" s="11" t="str">
        <f aca="false">IF(OR(E1260="",E1260="!!!"),"",IF(OR(J1260=0,AND(J1260=1,K1260=1),AND(J1260=1,I1260="SBJ"),AND(J1260=1,I1260=0)),"?IN_FOCUS",IF(J1260&lt;=2,"?ACTIVATED",IF(J1260&lt;&gt;"","?FAMILIAR",IF(F1260="NEW",IF(ISNA(VLOOKUP(E1260,#REF!,1,FALSE())),"?TYPE_IDENTIFIABLE","?REFERENTIAL"),"_")))))</f>
        <v/>
      </c>
      <c r="H1260" s="12" t="str">
        <f aca="false">IF(J1260&lt;&gt;1,"",IF(I1260="SBJ","CB","?"))</f>
        <v/>
      </c>
      <c r="I1260" s="13" t="str">
        <f aca="false">IF(OR(E1260="",E1260="!!!",F1260="NEW"),"",INDEX(B$2:B1259,-1+SUMPRODUCT(MAX(ROW(E$2:E1259)*(E1260=E$2:E1259)))))</f>
        <v/>
      </c>
      <c r="J1260" s="14" t="str">
        <f aca="true">IF(OR(E1260="",E1260="!!!",F1260="NEW"),"",COUNTBLANK(OFFSET(A$1,,,SUMPRODUCT(MAX(ROW(E$2:E1260)*(E1260=E$2:E1260)))))-COUNTBLANK(OFFSET(A$1,,,SUMPRODUCT(MAX(ROW(E$1:E1259)*(E1260=E$1:E1259))))))</f>
        <v/>
      </c>
      <c r="K1260" s="14" t="str">
        <f aca="false">IF(OR(E1260="",E1260="!!!",F1260="NEW"),"",INDEX(J$1:J1259,SUMPRODUCT(MAX(ROW(E$1:E1259)*(E1260=E$1:E1259)))))</f>
        <v/>
      </c>
      <c r="L1260" s="15"/>
    </row>
    <row r="1261" customFormat="false" ht="12.75" hidden="false" customHeight="false" outlineLevel="0" collapsed="false">
      <c r="E1261" s="9" t="str">
        <f aca="false">IF(D1261="?OLD","!!!","")</f>
        <v/>
      </c>
      <c r="F1261" s="10" t="str">
        <f aca="false">IF(OR(E1261="",E1261="!!!"),"",IF(NOT(ISNA(VLOOKUP(E1261,E$1:E1260,1,FALSE()))),"OLD",IF(AND(E1261&lt;&gt;"",E1261&lt;&gt;"!!!"),"NEW","")))</f>
        <v/>
      </c>
      <c r="G1261" s="11" t="str">
        <f aca="false">IF(OR(E1261="",E1261="!!!"),"",IF(OR(J1261=0,AND(J1261=1,K1261=1),AND(J1261=1,I1261="SBJ"),AND(J1261=1,I1261=0)),"?IN_FOCUS",IF(J1261&lt;=2,"?ACTIVATED",IF(J1261&lt;&gt;"","?FAMILIAR",IF(F1261="NEW",IF(ISNA(VLOOKUP(E1261,#REF!,1,FALSE())),"?TYPE_IDENTIFIABLE","?REFERENTIAL"),"_")))))</f>
        <v/>
      </c>
      <c r="H1261" s="12" t="str">
        <f aca="false">IF(J1261&lt;&gt;1,"",IF(I1261="SBJ","CB","?"))</f>
        <v/>
      </c>
      <c r="I1261" s="13" t="str">
        <f aca="false">IF(OR(E1261="",E1261="!!!",F1261="NEW"),"",INDEX(B$2:B1260,-1+SUMPRODUCT(MAX(ROW(E$2:E1260)*(E1261=E$2:E1260)))))</f>
        <v/>
      </c>
      <c r="J1261" s="14" t="str">
        <f aca="true">IF(OR(E1261="",E1261="!!!",F1261="NEW"),"",COUNTBLANK(OFFSET(A$1,,,SUMPRODUCT(MAX(ROW(E$2:E1261)*(E1261=E$2:E1261)))))-COUNTBLANK(OFFSET(A$1,,,SUMPRODUCT(MAX(ROW(E$1:E1260)*(E1261=E$1:E1260))))))</f>
        <v/>
      </c>
      <c r="K1261" s="14" t="str">
        <f aca="false">IF(OR(E1261="",E1261="!!!",F1261="NEW"),"",INDEX(J$1:J1260,SUMPRODUCT(MAX(ROW(E$1:E1260)*(E1261=E$1:E1260)))))</f>
        <v/>
      </c>
      <c r="L1261" s="15"/>
    </row>
    <row r="1262" customFormat="false" ht="12.75" hidden="false" customHeight="false" outlineLevel="0" collapsed="false">
      <c r="A1262" s="0" t="s">
        <v>260</v>
      </c>
      <c r="E1262" s="9" t="str">
        <f aca="false">IF(D1262="?OLD","!!!","")</f>
        <v/>
      </c>
      <c r="F1262" s="10" t="str">
        <f aca="false">IF(OR(E1262="",E1262="!!!"),"",IF(NOT(ISNA(VLOOKUP(E1262,E$1:E1261,1,FALSE()))),"OLD",IF(AND(E1262&lt;&gt;"",E1262&lt;&gt;"!!!"),"NEW","")))</f>
        <v/>
      </c>
      <c r="G1262" s="11" t="str">
        <f aca="false">IF(OR(E1262="",E1262="!!!"),"",IF(OR(J1262=0,AND(J1262=1,K1262=1),AND(J1262=1,I1262="SBJ"),AND(J1262=1,I1262=0)),"?IN_FOCUS",IF(J1262&lt;=2,"?ACTIVATED",IF(J1262&lt;&gt;"","?FAMILIAR",IF(F1262="NEW",IF(ISNA(VLOOKUP(E1262,#REF!,1,FALSE())),"?TYPE_IDENTIFIABLE","?REFERENTIAL"),"_")))))</f>
        <v/>
      </c>
      <c r="H1262" s="12" t="str">
        <f aca="false">IF(J1262&lt;&gt;1,"",IF(I1262="SBJ","CB","?"))</f>
        <v/>
      </c>
      <c r="I1262" s="13" t="str">
        <f aca="false">IF(OR(E1262="",E1262="!!!",F1262="NEW"),"",INDEX(B$2:B1261,-1+SUMPRODUCT(MAX(ROW(E$2:E1261)*(E1262=E$2:E1261)))))</f>
        <v/>
      </c>
      <c r="J1262" s="14" t="str">
        <f aca="true">IF(OR(E1262="",E1262="!!!",F1262="NEW"),"",COUNTBLANK(OFFSET(A$1,,,SUMPRODUCT(MAX(ROW(E$2:E1262)*(E1262=E$2:E1262)))))-COUNTBLANK(OFFSET(A$1,,,SUMPRODUCT(MAX(ROW(E$1:E1261)*(E1262=E$1:E1261))))))</f>
        <v/>
      </c>
      <c r="K1262" s="14" t="str">
        <f aca="false">IF(OR(E1262="",E1262="!!!",F1262="NEW"),"",INDEX(J$1:J1261,SUMPRODUCT(MAX(ROW(E$1:E1261)*(E1262=E$1:E1261)))))</f>
        <v/>
      </c>
      <c r="L1262" s="15"/>
    </row>
    <row r="1263" customFormat="false" ht="12.75" hidden="false" customHeight="false" outlineLevel="0" collapsed="false">
      <c r="A1263" s="0" t="s">
        <v>587</v>
      </c>
      <c r="E1263" s="9" t="str">
        <f aca="false">IF(D1263="?OLD","!!!","")</f>
        <v/>
      </c>
      <c r="F1263" s="10" t="str">
        <f aca="false">IF(OR(E1263="",E1263="!!!"),"",IF(NOT(ISNA(VLOOKUP(E1263,E$1:E1262,1,FALSE()))),"OLD",IF(AND(E1263&lt;&gt;"",E1263&lt;&gt;"!!!"),"NEW","")))</f>
        <v/>
      </c>
      <c r="G1263" s="11" t="str">
        <f aca="false">IF(OR(E1263="",E1263="!!!"),"",IF(OR(J1263=0,AND(J1263=1,K1263=1),AND(J1263=1,I1263="SBJ"),AND(J1263=1,I1263=0)),"?IN_FOCUS",IF(J1263&lt;=2,"?ACTIVATED",IF(J1263&lt;&gt;"","?FAMILIAR",IF(F1263="NEW",IF(ISNA(VLOOKUP(E1263,#REF!,1,FALSE())),"?TYPE_IDENTIFIABLE","?REFERENTIAL"),"_")))))</f>
        <v/>
      </c>
      <c r="H1263" s="12" t="str">
        <f aca="false">IF(J1263&lt;&gt;1,"",IF(I1263="SBJ","CB","?"))</f>
        <v/>
      </c>
      <c r="I1263" s="13" t="str">
        <f aca="false">IF(OR(E1263="",E1263="!!!",F1263="NEW"),"",INDEX(B$2:B1262,-1+SUMPRODUCT(MAX(ROW(E$2:E1262)*(E1263=E$2:E1262)))))</f>
        <v/>
      </c>
      <c r="J1263" s="14" t="str">
        <f aca="true">IF(OR(E1263="",E1263="!!!",F1263="NEW"),"",COUNTBLANK(OFFSET(A$1,,,SUMPRODUCT(MAX(ROW(E$2:E1263)*(E1263=E$2:E1263)))))-COUNTBLANK(OFFSET(A$1,,,SUMPRODUCT(MAX(ROW(E$1:E1262)*(E1263=E$1:E1262))))))</f>
        <v/>
      </c>
      <c r="K1263" s="14" t="str">
        <f aca="false">IF(OR(E1263="",E1263="!!!",F1263="NEW"),"",INDEX(J$1:J1262,SUMPRODUCT(MAX(ROW(E$1:E1262)*(E1263=E$1:E1262)))))</f>
        <v/>
      </c>
      <c r="L1263" s="15"/>
    </row>
    <row r="1264" customFormat="false" ht="12.75" hidden="false" customHeight="false" outlineLevel="0" collapsed="false">
      <c r="A1264" s="0" t="s">
        <v>262</v>
      </c>
      <c r="E1264" s="9" t="str">
        <f aca="false">IF(D1264="?OLD","!!!","")</f>
        <v/>
      </c>
      <c r="F1264" s="10" t="str">
        <f aca="false">IF(OR(E1264="",E1264="!!!"),"",IF(NOT(ISNA(VLOOKUP(E1264,E$1:E1263,1,FALSE()))),"OLD",IF(AND(E1264&lt;&gt;"",E1264&lt;&gt;"!!!"),"NEW","")))</f>
        <v/>
      </c>
      <c r="G1264" s="11" t="str">
        <f aca="false">IF(OR(E1264="",E1264="!!!"),"",IF(OR(J1264=0,AND(J1264=1,K1264=1),AND(J1264=1,I1264="SBJ"),AND(J1264=1,I1264=0)),"?IN_FOCUS",IF(J1264&lt;=2,"?ACTIVATED",IF(J1264&lt;&gt;"","?FAMILIAR",IF(F1264="NEW",IF(ISNA(VLOOKUP(E1264,#REF!,1,FALSE())),"?TYPE_IDENTIFIABLE","?REFERENTIAL"),"_")))))</f>
        <v/>
      </c>
      <c r="H1264" s="12" t="str">
        <f aca="false">IF(J1264&lt;&gt;1,"",IF(I1264="SBJ","CB","?"))</f>
        <v/>
      </c>
      <c r="I1264" s="13" t="str">
        <f aca="false">IF(OR(E1264="",E1264="!!!",F1264="NEW"),"",INDEX(B$2:B1263,-1+SUMPRODUCT(MAX(ROW(E$2:E1263)*(E1264=E$2:E1263)))))</f>
        <v/>
      </c>
      <c r="J1264" s="14" t="str">
        <f aca="true">IF(OR(E1264="",E1264="!!!",F1264="NEW"),"",COUNTBLANK(OFFSET(A$1,,,SUMPRODUCT(MAX(ROW(E$2:E1264)*(E1264=E$2:E1264)))))-COUNTBLANK(OFFSET(A$1,,,SUMPRODUCT(MAX(ROW(E$1:E1263)*(E1264=E$1:E1263))))))</f>
        <v/>
      </c>
      <c r="K1264" s="14" t="str">
        <f aca="false">IF(OR(E1264="",E1264="!!!",F1264="NEW"),"",INDEX(J$1:J1263,SUMPRODUCT(MAX(ROW(E$1:E1263)*(E1264=E$1:E1263)))))</f>
        <v/>
      </c>
      <c r="L1264" s="15"/>
    </row>
    <row r="1265" customFormat="false" ht="12.75" hidden="false" customHeight="false" outlineLevel="0" collapsed="false">
      <c r="A1265" s="0" t="s">
        <v>224</v>
      </c>
      <c r="B1265" s="0" t="s">
        <v>14</v>
      </c>
      <c r="C1265" s="0" t="s">
        <v>38</v>
      </c>
      <c r="D1265" s="0" t="s">
        <v>29</v>
      </c>
      <c r="E1265" s="9" t="str">
        <f aca="false">IF(D1265="?OLD","!!!","")</f>
        <v>!!!</v>
      </c>
      <c r="F1265" s="10" t="str">
        <f aca="false">IF(OR(E1265="",E1265="!!!"),"",IF(NOT(ISNA(VLOOKUP(E1265,E$1:E1264,1,FALSE()))),"OLD",IF(AND(E1265&lt;&gt;"",E1265&lt;&gt;"!!!"),"NEW","")))</f>
        <v/>
      </c>
      <c r="G1265" s="11" t="str">
        <f aca="false">IF(OR(E1265="",E1265="!!!"),"",IF(OR(J1265=0,AND(J1265=1,K1265=1),AND(J1265=1,I1265="SBJ"),AND(J1265=1,I1265=0)),"?IN_FOCUS",IF(J1265&lt;=2,"?ACTIVATED",IF(J1265&lt;&gt;"","?FAMILIAR",IF(F1265="NEW",IF(ISNA(VLOOKUP(E1265,#REF!,1,FALSE())),"?TYPE_IDENTIFIABLE","?REFERENTIAL"),"_")))))</f>
        <v/>
      </c>
      <c r="H1265" s="12" t="str">
        <f aca="false">IF(J1265&lt;&gt;1,"",IF(I1265="SBJ","CB","?"))</f>
        <v/>
      </c>
      <c r="I1265" s="13" t="str">
        <f aca="false">IF(OR(E1265="",E1265="!!!",F1265="NEW"),"",INDEX(B$2:B1264,-1+SUMPRODUCT(MAX(ROW(E$2:E1264)*(E1265=E$2:E1264)))))</f>
        <v/>
      </c>
      <c r="J1265" s="14" t="str">
        <f aca="true">IF(OR(E1265="",E1265="!!!",F1265="NEW"),"",COUNTBLANK(OFFSET(A$1,,,SUMPRODUCT(MAX(ROW(E$2:E1265)*(E1265=E$2:E1265)))))-COUNTBLANK(OFFSET(A$1,,,SUMPRODUCT(MAX(ROW(E$1:E1264)*(E1265=E$1:E1264))))))</f>
        <v/>
      </c>
      <c r="K1265" s="14" t="str">
        <f aca="false">IF(OR(E1265="",E1265="!!!",F1265="NEW"),"",INDEX(J$1:J1264,SUMPRODUCT(MAX(ROW(E$1:E1264)*(E1265=E$1:E1264)))))</f>
        <v/>
      </c>
      <c r="L1265" s="15"/>
    </row>
    <row r="1266" customFormat="false" ht="12.75" hidden="false" customHeight="false" outlineLevel="0" collapsed="false">
      <c r="A1266" s="0" t="s">
        <v>26</v>
      </c>
      <c r="E1266" s="9" t="str">
        <f aca="false">IF(D1266="?OLD","!!!","")</f>
        <v/>
      </c>
      <c r="F1266" s="10" t="str">
        <f aca="false">IF(OR(E1266="",E1266="!!!"),"",IF(NOT(ISNA(VLOOKUP(E1266,E$1:E1265,1,FALSE()))),"OLD",IF(AND(E1266&lt;&gt;"",E1266&lt;&gt;"!!!"),"NEW","")))</f>
        <v/>
      </c>
      <c r="G1266" s="11" t="str">
        <f aca="false">IF(OR(E1266="",E1266="!!!"),"",IF(OR(J1266=0,AND(J1266=1,K1266=1),AND(J1266=1,I1266="SBJ"),AND(J1266=1,I1266=0)),"?IN_FOCUS",IF(J1266&lt;=2,"?ACTIVATED",IF(J1266&lt;&gt;"","?FAMILIAR",IF(F1266="NEW",IF(ISNA(VLOOKUP(E1266,#REF!,1,FALSE())),"?TYPE_IDENTIFIABLE","?REFERENTIAL"),"_")))))</f>
        <v/>
      </c>
      <c r="H1266" s="12" t="str">
        <f aca="false">IF(J1266&lt;&gt;1,"",IF(I1266="SBJ","CB","?"))</f>
        <v/>
      </c>
      <c r="I1266" s="13" t="str">
        <f aca="false">IF(OR(E1266="",E1266="!!!",F1266="NEW"),"",INDEX(B$2:B1265,-1+SUMPRODUCT(MAX(ROW(E$2:E1265)*(E1266=E$2:E1265)))))</f>
        <v/>
      </c>
      <c r="J1266" s="14" t="str">
        <f aca="true">IF(OR(E1266="",E1266="!!!",F1266="NEW"),"",COUNTBLANK(OFFSET(A$1,,,SUMPRODUCT(MAX(ROW(E$2:E1266)*(E1266=E$2:E1266)))))-COUNTBLANK(OFFSET(A$1,,,SUMPRODUCT(MAX(ROW(E$1:E1265)*(E1266=E$1:E1265))))))</f>
        <v/>
      </c>
      <c r="K1266" s="14" t="str">
        <f aca="false">IF(OR(E1266="",E1266="!!!",F1266="NEW"),"",INDEX(J$1:J1265,SUMPRODUCT(MAX(ROW(E$1:E1265)*(E1266=E$1:E1265)))))</f>
        <v/>
      </c>
      <c r="L1266" s="15"/>
    </row>
    <row r="1267" customFormat="false" ht="12.75" hidden="false" customHeight="false" outlineLevel="0" collapsed="false">
      <c r="A1267" s="0" t="s">
        <v>588</v>
      </c>
      <c r="E1267" s="9" t="str">
        <f aca="false">IF(D1267="?OLD","!!!","")</f>
        <v/>
      </c>
      <c r="F1267" s="10" t="str">
        <f aca="false">IF(OR(E1267="",E1267="!!!"),"",IF(NOT(ISNA(VLOOKUP(E1267,E$1:E1266,1,FALSE()))),"OLD",IF(AND(E1267&lt;&gt;"",E1267&lt;&gt;"!!!"),"NEW","")))</f>
        <v/>
      </c>
      <c r="G1267" s="11" t="str">
        <f aca="false">IF(OR(E1267="",E1267="!!!"),"",IF(OR(J1267=0,AND(J1267=1,K1267=1),AND(J1267=1,I1267="SBJ"),AND(J1267=1,I1267=0)),"?IN_FOCUS",IF(J1267&lt;=2,"?ACTIVATED",IF(J1267&lt;&gt;"","?FAMILIAR",IF(F1267="NEW",IF(ISNA(VLOOKUP(E1267,#REF!,1,FALSE())),"?TYPE_IDENTIFIABLE","?REFERENTIAL"),"_")))))</f>
        <v/>
      </c>
      <c r="H1267" s="12" t="str">
        <f aca="false">IF(J1267&lt;&gt;1,"",IF(I1267="SBJ","CB","?"))</f>
        <v/>
      </c>
      <c r="I1267" s="13" t="str">
        <f aca="false">IF(OR(E1267="",E1267="!!!",F1267="NEW"),"",INDEX(B$2:B1266,-1+SUMPRODUCT(MAX(ROW(E$2:E1266)*(E1267=E$2:E1266)))))</f>
        <v/>
      </c>
      <c r="J1267" s="14" t="str">
        <f aca="true">IF(OR(E1267="",E1267="!!!",F1267="NEW"),"",COUNTBLANK(OFFSET(A$1,,,SUMPRODUCT(MAX(ROW(E$2:E1267)*(E1267=E$2:E1267)))))-COUNTBLANK(OFFSET(A$1,,,SUMPRODUCT(MAX(ROW(E$1:E1266)*(E1267=E$1:E1266))))))</f>
        <v/>
      </c>
      <c r="K1267" s="14" t="str">
        <f aca="false">IF(OR(E1267="",E1267="!!!",F1267="NEW"),"",INDEX(J$1:J1266,SUMPRODUCT(MAX(ROW(E$1:E1266)*(E1267=E$1:E1266)))))</f>
        <v/>
      </c>
      <c r="L1267" s="15"/>
    </row>
    <row r="1268" customFormat="false" ht="12.75" hidden="false" customHeight="false" outlineLevel="0" collapsed="false">
      <c r="A1268" s="0" t="s">
        <v>463</v>
      </c>
      <c r="E1268" s="9" t="str">
        <f aca="false">IF(D1268="?OLD","!!!","")</f>
        <v/>
      </c>
      <c r="F1268" s="10" t="str">
        <f aca="false">IF(OR(E1268="",E1268="!!!"),"",IF(NOT(ISNA(VLOOKUP(E1268,E$1:E1267,1,FALSE()))),"OLD",IF(AND(E1268&lt;&gt;"",E1268&lt;&gt;"!!!"),"NEW","")))</f>
        <v/>
      </c>
      <c r="G1268" s="11" t="str">
        <f aca="false">IF(OR(E1268="",E1268="!!!"),"",IF(OR(J1268=0,AND(J1268=1,K1268=1),AND(J1268=1,I1268="SBJ"),AND(J1268=1,I1268=0)),"?IN_FOCUS",IF(J1268&lt;=2,"?ACTIVATED",IF(J1268&lt;&gt;"","?FAMILIAR",IF(F1268="NEW",IF(ISNA(VLOOKUP(E1268,#REF!,1,FALSE())),"?TYPE_IDENTIFIABLE","?REFERENTIAL"),"_")))))</f>
        <v/>
      </c>
      <c r="H1268" s="12" t="str">
        <f aca="false">IF(J1268&lt;&gt;1,"",IF(I1268="SBJ","CB","?"))</f>
        <v/>
      </c>
      <c r="I1268" s="13" t="str">
        <f aca="false">IF(OR(E1268="",E1268="!!!",F1268="NEW"),"",INDEX(B$2:B1267,-1+SUMPRODUCT(MAX(ROW(E$2:E1267)*(E1268=E$2:E1267)))))</f>
        <v/>
      </c>
      <c r="J1268" s="14" t="str">
        <f aca="true">IF(OR(E1268="",E1268="!!!",F1268="NEW"),"",COUNTBLANK(OFFSET(A$1,,,SUMPRODUCT(MAX(ROW(E$2:E1268)*(E1268=E$2:E1268)))))-COUNTBLANK(OFFSET(A$1,,,SUMPRODUCT(MAX(ROW(E$1:E1267)*(E1268=E$1:E1267))))))</f>
        <v/>
      </c>
      <c r="K1268" s="14" t="str">
        <f aca="false">IF(OR(E1268="",E1268="!!!",F1268="NEW"),"",INDEX(J$1:J1267,SUMPRODUCT(MAX(ROW(E$1:E1267)*(E1268=E$1:E1267)))))</f>
        <v/>
      </c>
      <c r="L1268" s="15"/>
    </row>
    <row r="1269" customFormat="false" ht="12.75" hidden="false" customHeight="false" outlineLevel="0" collapsed="false">
      <c r="A1269" s="0" t="s">
        <v>142</v>
      </c>
      <c r="B1269" s="0" t="s">
        <v>62</v>
      </c>
      <c r="C1269" s="0" t="s">
        <v>38</v>
      </c>
      <c r="D1269" s="0" t="s">
        <v>29</v>
      </c>
      <c r="E1269" s="9" t="str">
        <f aca="false">IF(D1269="?OLD","!!!","")</f>
        <v>!!!</v>
      </c>
      <c r="F1269" s="10" t="str">
        <f aca="false">IF(OR(E1269="",E1269="!!!"),"",IF(NOT(ISNA(VLOOKUP(E1269,E$1:E1268,1,FALSE()))),"OLD",IF(AND(E1269&lt;&gt;"",E1269&lt;&gt;"!!!"),"NEW","")))</f>
        <v/>
      </c>
      <c r="G1269" s="11" t="str">
        <f aca="false">IF(OR(E1269="",E1269="!!!"),"",IF(OR(J1269=0,AND(J1269=1,K1269=1),AND(J1269=1,I1269="SBJ"),AND(J1269=1,I1269=0)),"?IN_FOCUS",IF(J1269&lt;=2,"?ACTIVATED",IF(J1269&lt;&gt;"","?FAMILIAR",IF(F1269="NEW",IF(ISNA(VLOOKUP(E1269,#REF!,1,FALSE())),"?TYPE_IDENTIFIABLE","?REFERENTIAL"),"_")))))</f>
        <v/>
      </c>
      <c r="H1269" s="12" t="str">
        <f aca="false">IF(J1269&lt;&gt;1,"",IF(I1269="SBJ","CB","?"))</f>
        <v/>
      </c>
      <c r="I1269" s="13" t="str">
        <f aca="false">IF(OR(E1269="",E1269="!!!",F1269="NEW"),"",INDEX(B$2:B1268,-1+SUMPRODUCT(MAX(ROW(E$2:E1268)*(E1269=E$2:E1268)))))</f>
        <v/>
      </c>
      <c r="J1269" s="14" t="str">
        <f aca="true">IF(OR(E1269="",E1269="!!!",F1269="NEW"),"",COUNTBLANK(OFFSET(A$1,,,SUMPRODUCT(MAX(ROW(E$2:E1269)*(E1269=E$2:E1269)))))-COUNTBLANK(OFFSET(A$1,,,SUMPRODUCT(MAX(ROW(E$1:E1268)*(E1269=E$1:E1268))))))</f>
        <v/>
      </c>
      <c r="K1269" s="14" t="str">
        <f aca="false">IF(OR(E1269="",E1269="!!!",F1269="NEW"),"",INDEX(J$1:J1268,SUMPRODUCT(MAX(ROW(E$1:E1268)*(E1269=E$1:E1268)))))</f>
        <v/>
      </c>
      <c r="L1269" s="15"/>
    </row>
    <row r="1270" customFormat="false" ht="12.75" hidden="false" customHeight="false" outlineLevel="0" collapsed="false">
      <c r="A1270" s="0" t="s">
        <v>31</v>
      </c>
      <c r="E1270" s="9" t="str">
        <f aca="false">IF(D1270="?OLD","!!!","")</f>
        <v/>
      </c>
      <c r="F1270" s="10" t="str">
        <f aca="false">IF(OR(E1270="",E1270="!!!"),"",IF(NOT(ISNA(VLOOKUP(E1270,E$1:E1269,1,FALSE()))),"OLD",IF(AND(E1270&lt;&gt;"",E1270&lt;&gt;"!!!"),"NEW","")))</f>
        <v/>
      </c>
      <c r="G1270" s="11" t="str">
        <f aca="false">IF(OR(E1270="",E1270="!!!"),"",IF(OR(J1270=0,AND(J1270=1,K1270=1),AND(J1270=1,I1270="SBJ"),AND(J1270=1,I1270=0)),"?IN_FOCUS",IF(J1270&lt;=2,"?ACTIVATED",IF(J1270&lt;&gt;"","?FAMILIAR",IF(F1270="NEW",IF(ISNA(VLOOKUP(E1270,#REF!,1,FALSE())),"?TYPE_IDENTIFIABLE","?REFERENTIAL"),"_")))))</f>
        <v/>
      </c>
      <c r="H1270" s="12" t="str">
        <f aca="false">IF(J1270&lt;&gt;1,"",IF(I1270="SBJ","CB","?"))</f>
        <v/>
      </c>
      <c r="I1270" s="13" t="str">
        <f aca="false">IF(OR(E1270="",E1270="!!!",F1270="NEW"),"",INDEX(B$2:B1269,-1+SUMPRODUCT(MAX(ROW(E$2:E1269)*(E1270=E$2:E1269)))))</f>
        <v/>
      </c>
      <c r="J1270" s="14" t="str">
        <f aca="true">IF(OR(E1270="",E1270="!!!",F1270="NEW"),"",COUNTBLANK(OFFSET(A$1,,,SUMPRODUCT(MAX(ROW(E$2:E1270)*(E1270=E$2:E1270)))))-COUNTBLANK(OFFSET(A$1,,,SUMPRODUCT(MAX(ROW(E$1:E1269)*(E1270=E$1:E1269))))))</f>
        <v/>
      </c>
      <c r="K1270" s="14" t="str">
        <f aca="false">IF(OR(E1270="",E1270="!!!",F1270="NEW"),"",INDEX(J$1:J1269,SUMPRODUCT(MAX(ROW(E$1:E1269)*(E1270=E$1:E1269)))))</f>
        <v/>
      </c>
      <c r="L1270" s="15"/>
    </row>
    <row r="1271" customFormat="false" ht="12.75" hidden="false" customHeight="false" outlineLevel="0" collapsed="false">
      <c r="A1271" s="0" t="s">
        <v>123</v>
      </c>
      <c r="B1271" s="0" t="s">
        <v>28</v>
      </c>
      <c r="C1271" s="0" t="s">
        <v>23</v>
      </c>
      <c r="D1271" s="0" t="s">
        <v>29</v>
      </c>
      <c r="E1271" s="9" t="str">
        <f aca="false">IF(D1271="?OLD","!!!","")</f>
        <v>!!!</v>
      </c>
      <c r="F1271" s="10" t="str">
        <f aca="false">IF(OR(E1271="",E1271="!!!"),"",IF(NOT(ISNA(VLOOKUP(E1271,E$1:E1270,1,FALSE()))),"OLD",IF(AND(E1271&lt;&gt;"",E1271&lt;&gt;"!!!"),"NEW","")))</f>
        <v/>
      </c>
      <c r="G1271" s="11" t="str">
        <f aca="false">IF(OR(E1271="",E1271="!!!"),"",IF(OR(J1271=0,AND(J1271=1,K1271=1),AND(J1271=1,I1271="SBJ"),AND(J1271=1,I1271=0)),"?IN_FOCUS",IF(J1271&lt;=2,"?ACTIVATED",IF(J1271&lt;&gt;"","?FAMILIAR",IF(F1271="NEW",IF(ISNA(VLOOKUP(E1271,#REF!,1,FALSE())),"?TYPE_IDENTIFIABLE","?REFERENTIAL"),"_")))))</f>
        <v/>
      </c>
      <c r="H1271" s="12" t="str">
        <f aca="false">IF(J1271&lt;&gt;1,"",IF(I1271="SBJ","CB","?"))</f>
        <v/>
      </c>
      <c r="I1271" s="13" t="str">
        <f aca="false">IF(OR(E1271="",E1271="!!!",F1271="NEW"),"",INDEX(B$2:B1270,-1+SUMPRODUCT(MAX(ROW(E$2:E1270)*(E1271=E$2:E1270)))))</f>
        <v/>
      </c>
      <c r="J1271" s="14" t="str">
        <f aca="true">IF(OR(E1271="",E1271="!!!",F1271="NEW"),"",COUNTBLANK(OFFSET(A$1,,,SUMPRODUCT(MAX(ROW(E$2:E1271)*(E1271=E$2:E1271)))))-COUNTBLANK(OFFSET(A$1,,,SUMPRODUCT(MAX(ROW(E$1:E1270)*(E1271=E$1:E1270))))))</f>
        <v/>
      </c>
      <c r="K1271" s="14" t="str">
        <f aca="false">IF(OR(E1271="",E1271="!!!",F1271="NEW"),"",INDEX(J$1:J1270,SUMPRODUCT(MAX(ROW(E$1:E1270)*(E1271=E$1:E1270)))))</f>
        <v/>
      </c>
      <c r="L1271" s="15"/>
    </row>
    <row r="1272" customFormat="false" ht="12.75" hidden="false" customHeight="false" outlineLevel="0" collapsed="false">
      <c r="A1272" s="0" t="s">
        <v>73</v>
      </c>
      <c r="E1272" s="9" t="str">
        <f aca="false">IF(D1272="?OLD","!!!","")</f>
        <v/>
      </c>
      <c r="F1272" s="10" t="str">
        <f aca="false">IF(OR(E1272="",E1272="!!!"),"",IF(NOT(ISNA(VLOOKUP(E1272,E$1:E1271,1,FALSE()))),"OLD",IF(AND(E1272&lt;&gt;"",E1272&lt;&gt;"!!!"),"NEW","")))</f>
        <v/>
      </c>
      <c r="G1272" s="11" t="str">
        <f aca="false">IF(OR(E1272="",E1272="!!!"),"",IF(OR(J1272=0,AND(J1272=1,K1272=1),AND(J1272=1,I1272="SBJ"),AND(J1272=1,I1272=0)),"?IN_FOCUS",IF(J1272&lt;=2,"?ACTIVATED",IF(J1272&lt;&gt;"","?FAMILIAR",IF(F1272="NEW",IF(ISNA(VLOOKUP(E1272,#REF!,1,FALSE())),"?TYPE_IDENTIFIABLE","?REFERENTIAL"),"_")))))</f>
        <v/>
      </c>
      <c r="H1272" s="12" t="str">
        <f aca="false">IF(J1272&lt;&gt;1,"",IF(I1272="SBJ","CB","?"))</f>
        <v/>
      </c>
      <c r="I1272" s="13" t="str">
        <f aca="false">IF(OR(E1272="",E1272="!!!",F1272="NEW"),"",INDEX(B$2:B1271,-1+SUMPRODUCT(MAX(ROW(E$2:E1271)*(E1272=E$2:E1271)))))</f>
        <v/>
      </c>
      <c r="J1272" s="14" t="str">
        <f aca="true">IF(OR(E1272="",E1272="!!!",F1272="NEW"),"",COUNTBLANK(OFFSET(A$1,,,SUMPRODUCT(MAX(ROW(E$2:E1272)*(E1272=E$2:E1272)))))-COUNTBLANK(OFFSET(A$1,,,SUMPRODUCT(MAX(ROW(E$1:E1271)*(E1272=E$1:E1271))))))</f>
        <v/>
      </c>
      <c r="K1272" s="14" t="str">
        <f aca="false">IF(OR(E1272="",E1272="!!!",F1272="NEW"),"",INDEX(J$1:J1271,SUMPRODUCT(MAX(ROW(E$1:E1271)*(E1272=E$1:E1271)))))</f>
        <v/>
      </c>
      <c r="L1272" s="15"/>
    </row>
    <row r="1273" customFormat="false" ht="12.75" hidden="false" customHeight="false" outlineLevel="0" collapsed="false">
      <c r="A1273" s="0" t="s">
        <v>262</v>
      </c>
      <c r="E1273" s="9" t="str">
        <f aca="false">IF(D1273="?OLD","!!!","")</f>
        <v/>
      </c>
      <c r="F1273" s="10" t="str">
        <f aca="false">IF(OR(E1273="",E1273="!!!"),"",IF(NOT(ISNA(VLOOKUP(E1273,E$1:E1272,1,FALSE()))),"OLD",IF(AND(E1273&lt;&gt;"",E1273&lt;&gt;"!!!"),"NEW","")))</f>
        <v/>
      </c>
      <c r="G1273" s="11" t="str">
        <f aca="false">IF(OR(E1273="",E1273="!!!"),"",IF(OR(J1273=0,AND(J1273=1,K1273=1),AND(J1273=1,I1273="SBJ"),AND(J1273=1,I1273=0)),"?IN_FOCUS",IF(J1273&lt;=2,"?ACTIVATED",IF(J1273&lt;&gt;"","?FAMILIAR",IF(F1273="NEW",IF(ISNA(VLOOKUP(E1273,#REF!,1,FALSE())),"?TYPE_IDENTIFIABLE","?REFERENTIAL"),"_")))))</f>
        <v/>
      </c>
      <c r="H1273" s="12" t="str">
        <f aca="false">IF(J1273&lt;&gt;1,"",IF(I1273="SBJ","CB","?"))</f>
        <v/>
      </c>
      <c r="I1273" s="13" t="str">
        <f aca="false">IF(OR(E1273="",E1273="!!!",F1273="NEW"),"",INDEX(B$2:B1272,-1+SUMPRODUCT(MAX(ROW(E$2:E1272)*(E1273=E$2:E1272)))))</f>
        <v/>
      </c>
      <c r="J1273" s="14" t="str">
        <f aca="true">IF(OR(E1273="",E1273="!!!",F1273="NEW"),"",COUNTBLANK(OFFSET(A$1,,,SUMPRODUCT(MAX(ROW(E$2:E1273)*(E1273=E$2:E1273)))))-COUNTBLANK(OFFSET(A$1,,,SUMPRODUCT(MAX(ROW(E$1:E1272)*(E1273=E$1:E1272))))))</f>
        <v/>
      </c>
      <c r="K1273" s="14" t="str">
        <f aca="false">IF(OR(E1273="",E1273="!!!",F1273="NEW"),"",INDEX(J$1:J1272,SUMPRODUCT(MAX(ROW(E$1:E1272)*(E1273=E$1:E1272)))))</f>
        <v/>
      </c>
      <c r="L1273" s="15"/>
    </row>
    <row r="1274" customFormat="false" ht="12.75" hidden="false" customHeight="false" outlineLevel="0" collapsed="false">
      <c r="E1274" s="9" t="str">
        <f aca="false">IF(D1274="?OLD","!!!","")</f>
        <v/>
      </c>
      <c r="F1274" s="10" t="str">
        <f aca="false">IF(OR(E1274="",E1274="!!!"),"",IF(NOT(ISNA(VLOOKUP(E1274,E$1:E1273,1,FALSE()))),"OLD",IF(AND(E1274&lt;&gt;"",E1274&lt;&gt;"!!!"),"NEW","")))</f>
        <v/>
      </c>
      <c r="G1274" s="11" t="str">
        <f aca="false">IF(OR(E1274="",E1274="!!!"),"",IF(OR(J1274=0,AND(J1274=1,K1274=1),AND(J1274=1,I1274="SBJ"),AND(J1274=1,I1274=0)),"?IN_FOCUS",IF(J1274&lt;=2,"?ACTIVATED",IF(J1274&lt;&gt;"","?FAMILIAR",IF(F1274="NEW",IF(ISNA(VLOOKUP(E1274,#REF!,1,FALSE())),"?TYPE_IDENTIFIABLE","?REFERENTIAL"),"_")))))</f>
        <v/>
      </c>
      <c r="H1274" s="12" t="str">
        <f aca="false">IF(J1274&lt;&gt;1,"",IF(I1274="SBJ","CB","?"))</f>
        <v/>
      </c>
      <c r="I1274" s="13" t="str">
        <f aca="false">IF(OR(E1274="",E1274="!!!",F1274="NEW"),"",INDEX(B$2:B1273,-1+SUMPRODUCT(MAX(ROW(E$2:E1273)*(E1274=E$2:E1273)))))</f>
        <v/>
      </c>
      <c r="J1274" s="14" t="str">
        <f aca="true">IF(OR(E1274="",E1274="!!!",F1274="NEW"),"",COUNTBLANK(OFFSET(A$1,,,SUMPRODUCT(MAX(ROW(E$2:E1274)*(E1274=E$2:E1274)))))-COUNTBLANK(OFFSET(A$1,,,SUMPRODUCT(MAX(ROW(E$1:E1273)*(E1274=E$1:E1273))))))</f>
        <v/>
      </c>
      <c r="K1274" s="14" t="str">
        <f aca="false">IF(OR(E1274="",E1274="!!!",F1274="NEW"),"",INDEX(J$1:J1273,SUMPRODUCT(MAX(ROW(E$1:E1273)*(E1274=E$1:E1273)))))</f>
        <v/>
      </c>
      <c r="L1274" s="15"/>
    </row>
    <row r="1275" customFormat="false" ht="12.75" hidden="false" customHeight="false" outlineLevel="0" collapsed="false">
      <c r="A1275" s="0" t="s">
        <v>260</v>
      </c>
      <c r="E1275" s="9" t="str">
        <f aca="false">IF(D1275="?OLD","!!!","")</f>
        <v/>
      </c>
      <c r="F1275" s="10" t="str">
        <f aca="false">IF(OR(E1275="",E1275="!!!"),"",IF(NOT(ISNA(VLOOKUP(E1275,E$1:E1274,1,FALSE()))),"OLD",IF(AND(E1275&lt;&gt;"",E1275&lt;&gt;"!!!"),"NEW","")))</f>
        <v/>
      </c>
      <c r="G1275" s="11" t="str">
        <f aca="false">IF(OR(E1275="",E1275="!!!"),"",IF(OR(J1275=0,AND(J1275=1,K1275=1),AND(J1275=1,I1275="SBJ"),AND(J1275=1,I1275=0)),"?IN_FOCUS",IF(J1275&lt;=2,"?ACTIVATED",IF(J1275&lt;&gt;"","?FAMILIAR",IF(F1275="NEW",IF(ISNA(VLOOKUP(E1275,#REF!,1,FALSE())),"?TYPE_IDENTIFIABLE","?REFERENTIAL"),"_")))))</f>
        <v/>
      </c>
      <c r="H1275" s="12" t="str">
        <f aca="false">IF(J1275&lt;&gt;1,"",IF(I1275="SBJ","CB","?"))</f>
        <v/>
      </c>
      <c r="I1275" s="13" t="str">
        <f aca="false">IF(OR(E1275="",E1275="!!!",F1275="NEW"),"",INDEX(B$2:B1274,-1+SUMPRODUCT(MAX(ROW(E$2:E1274)*(E1275=E$2:E1274)))))</f>
        <v/>
      </c>
      <c r="J1275" s="14" t="str">
        <f aca="true">IF(OR(E1275="",E1275="!!!",F1275="NEW"),"",COUNTBLANK(OFFSET(A$1,,,SUMPRODUCT(MAX(ROW(E$2:E1275)*(E1275=E$2:E1275)))))-COUNTBLANK(OFFSET(A$1,,,SUMPRODUCT(MAX(ROW(E$1:E1274)*(E1275=E$1:E1274))))))</f>
        <v/>
      </c>
      <c r="K1275" s="14" t="str">
        <f aca="false">IF(OR(E1275="",E1275="!!!",F1275="NEW"),"",INDEX(J$1:J1274,SUMPRODUCT(MAX(ROW(E$1:E1274)*(E1275=E$1:E1274)))))</f>
        <v/>
      </c>
      <c r="L1275" s="15"/>
    </row>
    <row r="1276" customFormat="false" ht="12.75" hidden="false" customHeight="false" outlineLevel="0" collapsed="false">
      <c r="A1276" s="0" t="s">
        <v>589</v>
      </c>
      <c r="E1276" s="9" t="str">
        <f aca="false">IF(D1276="?OLD","!!!","")</f>
        <v/>
      </c>
      <c r="F1276" s="10" t="str">
        <f aca="false">IF(OR(E1276="",E1276="!!!"),"",IF(NOT(ISNA(VLOOKUP(E1276,E$1:E1275,1,FALSE()))),"OLD",IF(AND(E1276&lt;&gt;"",E1276&lt;&gt;"!!!"),"NEW","")))</f>
        <v/>
      </c>
      <c r="G1276" s="11" t="str">
        <f aca="false">IF(OR(E1276="",E1276="!!!"),"",IF(OR(J1276=0,AND(J1276=1,K1276=1),AND(J1276=1,I1276="SBJ"),AND(J1276=1,I1276=0)),"?IN_FOCUS",IF(J1276&lt;=2,"?ACTIVATED",IF(J1276&lt;&gt;"","?FAMILIAR",IF(F1276="NEW",IF(ISNA(VLOOKUP(E1276,#REF!,1,FALSE())),"?TYPE_IDENTIFIABLE","?REFERENTIAL"),"_")))))</f>
        <v/>
      </c>
      <c r="H1276" s="12" t="str">
        <f aca="false">IF(J1276&lt;&gt;1,"",IF(I1276="SBJ","CB","?"))</f>
        <v/>
      </c>
      <c r="I1276" s="13" t="str">
        <f aca="false">IF(OR(E1276="",E1276="!!!",F1276="NEW"),"",INDEX(B$2:B1275,-1+SUMPRODUCT(MAX(ROW(E$2:E1275)*(E1276=E$2:E1275)))))</f>
        <v/>
      </c>
      <c r="J1276" s="14" t="str">
        <f aca="true">IF(OR(E1276="",E1276="!!!",F1276="NEW"),"",COUNTBLANK(OFFSET(A$1,,,SUMPRODUCT(MAX(ROW(E$2:E1276)*(E1276=E$2:E1276)))))-COUNTBLANK(OFFSET(A$1,,,SUMPRODUCT(MAX(ROW(E$1:E1275)*(E1276=E$1:E1275))))))</f>
        <v/>
      </c>
      <c r="K1276" s="14" t="str">
        <f aca="false">IF(OR(E1276="",E1276="!!!",F1276="NEW"),"",INDEX(J$1:J1275,SUMPRODUCT(MAX(ROW(E$1:E1275)*(E1276=E$1:E1275)))))</f>
        <v/>
      </c>
      <c r="L1276" s="15"/>
    </row>
    <row r="1277" customFormat="false" ht="12.75" hidden="false" customHeight="false" outlineLevel="0" collapsed="false">
      <c r="A1277" s="0" t="s">
        <v>262</v>
      </c>
      <c r="E1277" s="9" t="str">
        <f aca="false">IF(D1277="?OLD","!!!","")</f>
        <v/>
      </c>
      <c r="F1277" s="10" t="str">
        <f aca="false">IF(OR(E1277="",E1277="!!!"),"",IF(NOT(ISNA(VLOOKUP(E1277,E$1:E1276,1,FALSE()))),"OLD",IF(AND(E1277&lt;&gt;"",E1277&lt;&gt;"!!!"),"NEW","")))</f>
        <v/>
      </c>
      <c r="G1277" s="11" t="str">
        <f aca="false">IF(OR(E1277="",E1277="!!!"),"",IF(OR(J1277=0,AND(J1277=1,K1277=1),AND(J1277=1,I1277="SBJ"),AND(J1277=1,I1277=0)),"?IN_FOCUS",IF(J1277&lt;=2,"?ACTIVATED",IF(J1277&lt;&gt;"","?FAMILIAR",IF(F1277="NEW",IF(ISNA(VLOOKUP(E1277,#REF!,1,FALSE())),"?TYPE_IDENTIFIABLE","?REFERENTIAL"),"_")))))</f>
        <v/>
      </c>
      <c r="H1277" s="12" t="str">
        <f aca="false">IF(J1277&lt;&gt;1,"",IF(I1277="SBJ","CB","?"))</f>
        <v/>
      </c>
      <c r="I1277" s="13" t="str">
        <f aca="false">IF(OR(E1277="",E1277="!!!",F1277="NEW"),"",INDEX(B$2:B1276,-1+SUMPRODUCT(MAX(ROW(E$2:E1276)*(E1277=E$2:E1276)))))</f>
        <v/>
      </c>
      <c r="J1277" s="14" t="str">
        <f aca="true">IF(OR(E1277="",E1277="!!!",F1277="NEW"),"",COUNTBLANK(OFFSET(A$1,,,SUMPRODUCT(MAX(ROW(E$2:E1277)*(E1277=E$2:E1277)))))-COUNTBLANK(OFFSET(A$1,,,SUMPRODUCT(MAX(ROW(E$1:E1276)*(E1277=E$1:E1276))))))</f>
        <v/>
      </c>
      <c r="K1277" s="14" t="str">
        <f aca="false">IF(OR(E1277="",E1277="!!!",F1277="NEW"),"",INDEX(J$1:J1276,SUMPRODUCT(MAX(ROW(E$1:E1276)*(E1277=E$1:E1276)))))</f>
        <v/>
      </c>
      <c r="L1277" s="15"/>
    </row>
    <row r="1278" customFormat="false" ht="12.75" hidden="false" customHeight="false" outlineLevel="0" collapsed="false">
      <c r="A1278" s="0" t="s">
        <v>590</v>
      </c>
      <c r="E1278" s="9" t="str">
        <f aca="false">IF(D1278="?OLD","!!!","")</f>
        <v/>
      </c>
      <c r="F1278" s="10" t="str">
        <f aca="false">IF(OR(E1278="",E1278="!!!"),"",IF(NOT(ISNA(VLOOKUP(E1278,E$1:E1277,1,FALSE()))),"OLD",IF(AND(E1278&lt;&gt;"",E1278&lt;&gt;"!!!"),"NEW","")))</f>
        <v/>
      </c>
      <c r="G1278" s="11" t="str">
        <f aca="false">IF(OR(E1278="",E1278="!!!"),"",IF(OR(J1278=0,AND(J1278=1,K1278=1),AND(J1278=1,I1278="SBJ"),AND(J1278=1,I1278=0)),"?IN_FOCUS",IF(J1278&lt;=2,"?ACTIVATED",IF(J1278&lt;&gt;"","?FAMILIAR",IF(F1278="NEW",IF(ISNA(VLOOKUP(E1278,#REF!,1,FALSE())),"?TYPE_IDENTIFIABLE","?REFERENTIAL"),"_")))))</f>
        <v/>
      </c>
      <c r="H1278" s="12" t="str">
        <f aca="false">IF(J1278&lt;&gt;1,"",IF(I1278="SBJ","CB","?"))</f>
        <v/>
      </c>
      <c r="I1278" s="13" t="str">
        <f aca="false">IF(OR(E1278="",E1278="!!!",F1278="NEW"),"",INDEX(B$2:B1277,-1+SUMPRODUCT(MAX(ROW(E$2:E1277)*(E1278=E$2:E1277)))))</f>
        <v/>
      </c>
      <c r="J1278" s="14" t="str">
        <f aca="true">IF(OR(E1278="",E1278="!!!",F1278="NEW"),"",COUNTBLANK(OFFSET(A$1,,,SUMPRODUCT(MAX(ROW(E$2:E1278)*(E1278=E$2:E1278)))))-COUNTBLANK(OFFSET(A$1,,,SUMPRODUCT(MAX(ROW(E$1:E1277)*(E1278=E$1:E1277))))))</f>
        <v/>
      </c>
      <c r="K1278" s="14" t="str">
        <f aca="false">IF(OR(E1278="",E1278="!!!",F1278="NEW"),"",INDEX(J$1:J1277,SUMPRODUCT(MAX(ROW(E$1:E1277)*(E1278=E$1:E1277)))))</f>
        <v/>
      </c>
      <c r="L1278" s="15"/>
    </row>
    <row r="1279" customFormat="false" ht="12.75" hidden="false" customHeight="false" outlineLevel="0" collapsed="false">
      <c r="A1279" s="0" t="s">
        <v>45</v>
      </c>
      <c r="B1279" s="0" t="s">
        <v>14</v>
      </c>
      <c r="C1279" s="0" t="s">
        <v>92</v>
      </c>
      <c r="D1279" s="0" t="s">
        <v>29</v>
      </c>
      <c r="E1279" s="9" t="str">
        <f aca="false">IF(D1279="?OLD","!!!","")</f>
        <v>!!!</v>
      </c>
      <c r="F1279" s="10" t="str">
        <f aca="false">IF(OR(E1279="",E1279="!!!"),"",IF(NOT(ISNA(VLOOKUP(E1279,E$1:E1278,1,FALSE()))),"OLD",IF(AND(E1279&lt;&gt;"",E1279&lt;&gt;"!!!"),"NEW","")))</f>
        <v/>
      </c>
      <c r="G1279" s="11" t="str">
        <f aca="false">IF(OR(E1279="",E1279="!!!"),"",IF(OR(J1279=0,AND(J1279=1,K1279=1),AND(J1279=1,I1279="SBJ"),AND(J1279=1,I1279=0)),"?IN_FOCUS",IF(J1279&lt;=2,"?ACTIVATED",IF(J1279&lt;&gt;"","?FAMILIAR",IF(F1279="NEW",IF(ISNA(VLOOKUP(E1279,#REF!,1,FALSE())),"?TYPE_IDENTIFIABLE","?REFERENTIAL"),"_")))))</f>
        <v/>
      </c>
      <c r="H1279" s="12" t="str">
        <f aca="false">IF(J1279&lt;&gt;1,"",IF(I1279="SBJ","CB","?"))</f>
        <v/>
      </c>
      <c r="I1279" s="13" t="str">
        <f aca="false">IF(OR(E1279="",E1279="!!!",F1279="NEW"),"",INDEX(B$2:B1278,-1+SUMPRODUCT(MAX(ROW(E$2:E1278)*(E1279=E$2:E1278)))))</f>
        <v/>
      </c>
      <c r="J1279" s="14" t="str">
        <f aca="true">IF(OR(E1279="",E1279="!!!",F1279="NEW"),"",COUNTBLANK(OFFSET(A$1,,,SUMPRODUCT(MAX(ROW(E$2:E1279)*(E1279=E$2:E1279)))))-COUNTBLANK(OFFSET(A$1,,,SUMPRODUCT(MAX(ROW(E$1:E1278)*(E1279=E$1:E1278))))))</f>
        <v/>
      </c>
      <c r="K1279" s="14" t="str">
        <f aca="false">IF(OR(E1279="",E1279="!!!",F1279="NEW"),"",INDEX(J$1:J1278,SUMPRODUCT(MAX(ROW(E$1:E1278)*(E1279=E$1:E1278)))))</f>
        <v/>
      </c>
      <c r="L1279" s="15"/>
    </row>
    <row r="1280" customFormat="false" ht="12.75" hidden="false" customHeight="false" outlineLevel="0" collapsed="false">
      <c r="A1280" s="0" t="s">
        <v>591</v>
      </c>
      <c r="E1280" s="9" t="str">
        <f aca="false">IF(D1280="?OLD","!!!","")</f>
        <v/>
      </c>
      <c r="F1280" s="10" t="str">
        <f aca="false">IF(OR(E1280="",E1280="!!!"),"",IF(NOT(ISNA(VLOOKUP(E1280,E$1:E1279,1,FALSE()))),"OLD",IF(AND(E1280&lt;&gt;"",E1280&lt;&gt;"!!!"),"NEW","")))</f>
        <v/>
      </c>
      <c r="G1280" s="11" t="str">
        <f aca="false">IF(OR(E1280="",E1280="!!!"),"",IF(OR(J1280=0,AND(J1280=1,K1280=1),AND(J1280=1,I1280="SBJ"),AND(J1280=1,I1280=0)),"?IN_FOCUS",IF(J1280&lt;=2,"?ACTIVATED",IF(J1280&lt;&gt;"","?FAMILIAR",IF(F1280="NEW",IF(ISNA(VLOOKUP(E1280,#REF!,1,FALSE())),"?TYPE_IDENTIFIABLE","?REFERENTIAL"),"_")))))</f>
        <v/>
      </c>
      <c r="H1280" s="12" t="str">
        <f aca="false">IF(J1280&lt;&gt;1,"",IF(I1280="SBJ","CB","?"))</f>
        <v/>
      </c>
      <c r="I1280" s="13" t="str">
        <f aca="false">IF(OR(E1280="",E1280="!!!",F1280="NEW"),"",INDEX(B$2:B1279,-1+SUMPRODUCT(MAX(ROW(E$2:E1279)*(E1280=E$2:E1279)))))</f>
        <v/>
      </c>
      <c r="J1280" s="14" t="str">
        <f aca="true">IF(OR(E1280="",E1280="!!!",F1280="NEW"),"",COUNTBLANK(OFFSET(A$1,,,SUMPRODUCT(MAX(ROW(E$2:E1280)*(E1280=E$2:E1280)))))-COUNTBLANK(OFFSET(A$1,,,SUMPRODUCT(MAX(ROW(E$1:E1279)*(E1280=E$1:E1279))))))</f>
        <v/>
      </c>
      <c r="K1280" s="14" t="str">
        <f aca="false">IF(OR(E1280="",E1280="!!!",F1280="NEW"),"",INDEX(J$1:J1279,SUMPRODUCT(MAX(ROW(E$1:E1279)*(E1280=E$1:E1279)))))</f>
        <v/>
      </c>
      <c r="L1280" s="15"/>
    </row>
    <row r="1281" customFormat="false" ht="12.75" hidden="false" customHeight="false" outlineLevel="0" collapsed="false">
      <c r="A1281" s="0" t="s">
        <v>269</v>
      </c>
      <c r="E1281" s="9" t="str">
        <f aca="false">IF(D1281="?OLD","!!!","")</f>
        <v/>
      </c>
      <c r="F1281" s="10" t="str">
        <f aca="false">IF(OR(E1281="",E1281="!!!"),"",IF(NOT(ISNA(VLOOKUP(E1281,E$1:E1280,1,FALSE()))),"OLD",IF(AND(E1281&lt;&gt;"",E1281&lt;&gt;"!!!"),"NEW","")))</f>
        <v/>
      </c>
      <c r="G1281" s="11" t="str">
        <f aca="false">IF(OR(E1281="",E1281="!!!"),"",IF(OR(J1281=0,AND(J1281=1,K1281=1),AND(J1281=1,I1281="SBJ"),AND(J1281=1,I1281=0)),"?IN_FOCUS",IF(J1281&lt;=2,"?ACTIVATED",IF(J1281&lt;&gt;"","?FAMILIAR",IF(F1281="NEW",IF(ISNA(VLOOKUP(E1281,#REF!,1,FALSE())),"?TYPE_IDENTIFIABLE","?REFERENTIAL"),"_")))))</f>
        <v/>
      </c>
      <c r="H1281" s="12" t="str">
        <f aca="false">IF(J1281&lt;&gt;1,"",IF(I1281="SBJ","CB","?"))</f>
        <v/>
      </c>
      <c r="I1281" s="13" t="str">
        <f aca="false">IF(OR(E1281="",E1281="!!!",F1281="NEW"),"",INDEX(B$2:B1280,-1+SUMPRODUCT(MAX(ROW(E$2:E1280)*(E1281=E$2:E1280)))))</f>
        <v/>
      </c>
      <c r="J1281" s="14" t="str">
        <f aca="true">IF(OR(E1281="",E1281="!!!",F1281="NEW"),"",COUNTBLANK(OFFSET(A$1,,,SUMPRODUCT(MAX(ROW(E$2:E1281)*(E1281=E$2:E1281)))))-COUNTBLANK(OFFSET(A$1,,,SUMPRODUCT(MAX(ROW(E$1:E1280)*(E1281=E$1:E1280))))))</f>
        <v/>
      </c>
      <c r="K1281" s="14" t="str">
        <f aca="false">IF(OR(E1281="",E1281="!!!",F1281="NEW"),"",INDEX(J$1:J1280,SUMPRODUCT(MAX(ROW(E$1:E1280)*(E1281=E$1:E1280)))))</f>
        <v/>
      </c>
      <c r="L1281" s="15"/>
    </row>
    <row r="1282" customFormat="false" ht="12.75" hidden="false" customHeight="false" outlineLevel="0" collapsed="false">
      <c r="A1282" s="0" t="s">
        <v>262</v>
      </c>
      <c r="E1282" s="9" t="str">
        <f aca="false">IF(D1282="?OLD","!!!","")</f>
        <v/>
      </c>
      <c r="F1282" s="10" t="str">
        <f aca="false">IF(OR(E1282="",E1282="!!!"),"",IF(NOT(ISNA(VLOOKUP(E1282,E$1:E1281,1,FALSE()))),"OLD",IF(AND(E1282&lt;&gt;"",E1282&lt;&gt;"!!!"),"NEW","")))</f>
        <v/>
      </c>
      <c r="G1282" s="11" t="str">
        <f aca="false">IF(OR(E1282="",E1282="!!!"),"",IF(OR(J1282=0,AND(J1282=1,K1282=1),AND(J1282=1,I1282="SBJ"),AND(J1282=1,I1282=0)),"?IN_FOCUS",IF(J1282&lt;=2,"?ACTIVATED",IF(J1282&lt;&gt;"","?FAMILIAR",IF(F1282="NEW",IF(ISNA(VLOOKUP(E1282,#REF!,1,FALSE())),"?TYPE_IDENTIFIABLE","?REFERENTIAL"),"_")))))</f>
        <v/>
      </c>
      <c r="H1282" s="12" t="str">
        <f aca="false">IF(J1282&lt;&gt;1,"",IF(I1282="SBJ","CB","?"))</f>
        <v/>
      </c>
      <c r="I1282" s="13" t="str">
        <f aca="false">IF(OR(E1282="",E1282="!!!",F1282="NEW"),"",INDEX(B$2:B1281,-1+SUMPRODUCT(MAX(ROW(E$2:E1281)*(E1282=E$2:E1281)))))</f>
        <v/>
      </c>
      <c r="J1282" s="14" t="str">
        <f aca="true">IF(OR(E1282="",E1282="!!!",F1282="NEW"),"",COUNTBLANK(OFFSET(A$1,,,SUMPRODUCT(MAX(ROW(E$2:E1282)*(E1282=E$2:E1282)))))-COUNTBLANK(OFFSET(A$1,,,SUMPRODUCT(MAX(ROW(E$1:E1281)*(E1282=E$1:E1281))))))</f>
        <v/>
      </c>
      <c r="K1282" s="14" t="str">
        <f aca="false">IF(OR(E1282="",E1282="!!!",F1282="NEW"),"",INDEX(J$1:J1281,SUMPRODUCT(MAX(ROW(E$1:E1281)*(E1282=E$1:E1281)))))</f>
        <v/>
      </c>
      <c r="L1282" s="15"/>
    </row>
    <row r="1283" customFormat="false" ht="12.75" hidden="false" customHeight="false" outlineLevel="0" collapsed="false">
      <c r="E1283" s="9" t="str">
        <f aca="false">IF(D1283="?OLD","!!!","")</f>
        <v/>
      </c>
      <c r="F1283" s="10" t="str">
        <f aca="false">IF(OR(E1283="",E1283="!!!"),"",IF(NOT(ISNA(VLOOKUP(E1283,E$1:E1282,1,FALSE()))),"OLD",IF(AND(E1283&lt;&gt;"",E1283&lt;&gt;"!!!"),"NEW","")))</f>
        <v/>
      </c>
      <c r="G1283" s="11" t="str">
        <f aca="false">IF(OR(E1283="",E1283="!!!"),"",IF(OR(J1283=0,AND(J1283=1,K1283=1),AND(J1283=1,I1283="SBJ"),AND(J1283=1,I1283=0)),"?IN_FOCUS",IF(J1283&lt;=2,"?ACTIVATED",IF(J1283&lt;&gt;"","?FAMILIAR",IF(F1283="NEW",IF(ISNA(VLOOKUP(E1283,#REF!,1,FALSE())),"?TYPE_IDENTIFIABLE","?REFERENTIAL"),"_")))))</f>
        <v/>
      </c>
      <c r="H1283" s="12" t="str">
        <f aca="false">IF(J1283&lt;&gt;1,"",IF(I1283="SBJ","CB","?"))</f>
        <v/>
      </c>
      <c r="I1283" s="13" t="str">
        <f aca="false">IF(OR(E1283="",E1283="!!!",F1283="NEW"),"",INDEX(B$2:B1282,-1+SUMPRODUCT(MAX(ROW(E$2:E1282)*(E1283=E$2:E1282)))))</f>
        <v/>
      </c>
      <c r="J1283" s="14" t="str">
        <f aca="true">IF(OR(E1283="",E1283="!!!",F1283="NEW"),"",COUNTBLANK(OFFSET(A$1,,,SUMPRODUCT(MAX(ROW(E$2:E1283)*(E1283=E$2:E1283)))))-COUNTBLANK(OFFSET(A$1,,,SUMPRODUCT(MAX(ROW(E$1:E1282)*(E1283=E$1:E1282))))))</f>
        <v/>
      </c>
      <c r="K1283" s="14" t="str">
        <f aca="false">IF(OR(E1283="",E1283="!!!",F1283="NEW"),"",INDEX(J$1:J1282,SUMPRODUCT(MAX(ROW(E$1:E1282)*(E1283=E$1:E1282)))))</f>
        <v/>
      </c>
      <c r="L1283" s="15"/>
    </row>
    <row r="1284" customFormat="false" ht="12.75" hidden="false" customHeight="false" outlineLevel="0" collapsed="false">
      <c r="A1284" s="0" t="s">
        <v>260</v>
      </c>
      <c r="E1284" s="9" t="str">
        <f aca="false">IF(D1284="?OLD","!!!","")</f>
        <v/>
      </c>
      <c r="F1284" s="10" t="str">
        <f aca="false">IF(OR(E1284="",E1284="!!!"),"",IF(NOT(ISNA(VLOOKUP(E1284,E$1:E1283,1,FALSE()))),"OLD",IF(AND(E1284&lt;&gt;"",E1284&lt;&gt;"!!!"),"NEW","")))</f>
        <v/>
      </c>
      <c r="G1284" s="11" t="str">
        <f aca="false">IF(OR(E1284="",E1284="!!!"),"",IF(OR(J1284=0,AND(J1284=1,K1284=1),AND(J1284=1,I1284="SBJ"),AND(J1284=1,I1284=0)),"?IN_FOCUS",IF(J1284&lt;=2,"?ACTIVATED",IF(J1284&lt;&gt;"","?FAMILIAR",IF(F1284="NEW",IF(ISNA(VLOOKUP(E1284,#REF!,1,FALSE())),"?TYPE_IDENTIFIABLE","?REFERENTIAL"),"_")))))</f>
        <v/>
      </c>
      <c r="H1284" s="12" t="str">
        <f aca="false">IF(J1284&lt;&gt;1,"",IF(I1284="SBJ","CB","?"))</f>
        <v/>
      </c>
      <c r="I1284" s="13" t="str">
        <f aca="false">IF(OR(E1284="",E1284="!!!",F1284="NEW"),"",INDEX(B$2:B1283,-1+SUMPRODUCT(MAX(ROW(E$2:E1283)*(E1284=E$2:E1283)))))</f>
        <v/>
      </c>
      <c r="J1284" s="14" t="str">
        <f aca="true">IF(OR(E1284="",E1284="!!!",F1284="NEW"),"",COUNTBLANK(OFFSET(A$1,,,SUMPRODUCT(MAX(ROW(E$2:E1284)*(E1284=E$2:E1284)))))-COUNTBLANK(OFFSET(A$1,,,SUMPRODUCT(MAX(ROW(E$1:E1283)*(E1284=E$1:E1283))))))</f>
        <v/>
      </c>
      <c r="K1284" s="14" t="str">
        <f aca="false">IF(OR(E1284="",E1284="!!!",F1284="NEW"),"",INDEX(J$1:J1283,SUMPRODUCT(MAX(ROW(E$1:E1283)*(E1284=E$1:E1283)))))</f>
        <v/>
      </c>
      <c r="L1284" s="15"/>
    </row>
    <row r="1285" customFormat="false" ht="12.75" hidden="false" customHeight="false" outlineLevel="0" collapsed="false">
      <c r="A1285" s="0" t="s">
        <v>592</v>
      </c>
      <c r="E1285" s="9" t="str">
        <f aca="false">IF(D1285="?OLD","!!!","")</f>
        <v/>
      </c>
      <c r="F1285" s="10" t="str">
        <f aca="false">IF(OR(E1285="",E1285="!!!"),"",IF(NOT(ISNA(VLOOKUP(E1285,E$1:E1284,1,FALSE()))),"OLD",IF(AND(E1285&lt;&gt;"",E1285&lt;&gt;"!!!"),"NEW","")))</f>
        <v/>
      </c>
      <c r="G1285" s="11" t="str">
        <f aca="false">IF(OR(E1285="",E1285="!!!"),"",IF(OR(J1285=0,AND(J1285=1,K1285=1),AND(J1285=1,I1285="SBJ"),AND(J1285=1,I1285=0)),"?IN_FOCUS",IF(J1285&lt;=2,"?ACTIVATED",IF(J1285&lt;&gt;"","?FAMILIAR",IF(F1285="NEW",IF(ISNA(VLOOKUP(E1285,#REF!,1,FALSE())),"?TYPE_IDENTIFIABLE","?REFERENTIAL"),"_")))))</f>
        <v/>
      </c>
      <c r="H1285" s="12" t="str">
        <f aca="false">IF(J1285&lt;&gt;1,"",IF(I1285="SBJ","CB","?"))</f>
        <v/>
      </c>
      <c r="I1285" s="13" t="str">
        <f aca="false">IF(OR(E1285="",E1285="!!!",F1285="NEW"),"",INDEX(B$2:B1284,-1+SUMPRODUCT(MAX(ROW(E$2:E1284)*(E1285=E$2:E1284)))))</f>
        <v/>
      </c>
      <c r="J1285" s="14" t="str">
        <f aca="true">IF(OR(E1285="",E1285="!!!",F1285="NEW"),"",COUNTBLANK(OFFSET(A$1,,,SUMPRODUCT(MAX(ROW(E$2:E1285)*(E1285=E$2:E1285)))))-COUNTBLANK(OFFSET(A$1,,,SUMPRODUCT(MAX(ROW(E$1:E1284)*(E1285=E$1:E1284))))))</f>
        <v/>
      </c>
      <c r="K1285" s="14" t="str">
        <f aca="false">IF(OR(E1285="",E1285="!!!",F1285="NEW"),"",INDEX(J$1:J1284,SUMPRODUCT(MAX(ROW(E$1:E1284)*(E1285=E$1:E1284)))))</f>
        <v/>
      </c>
      <c r="L1285" s="15"/>
    </row>
    <row r="1286" customFormat="false" ht="12.75" hidden="false" customHeight="false" outlineLevel="0" collapsed="false">
      <c r="A1286" s="0" t="s">
        <v>262</v>
      </c>
      <c r="E1286" s="9" t="str">
        <f aca="false">IF(D1286="?OLD","!!!","")</f>
        <v/>
      </c>
      <c r="F1286" s="10" t="str">
        <f aca="false">IF(OR(E1286="",E1286="!!!"),"",IF(NOT(ISNA(VLOOKUP(E1286,E$1:E1285,1,FALSE()))),"OLD",IF(AND(E1286&lt;&gt;"",E1286&lt;&gt;"!!!"),"NEW","")))</f>
        <v/>
      </c>
      <c r="G1286" s="11" t="str">
        <f aca="false">IF(OR(E1286="",E1286="!!!"),"",IF(OR(J1286=0,AND(J1286=1,K1286=1),AND(J1286=1,I1286="SBJ"),AND(J1286=1,I1286=0)),"?IN_FOCUS",IF(J1286&lt;=2,"?ACTIVATED",IF(J1286&lt;&gt;"","?FAMILIAR",IF(F1286="NEW",IF(ISNA(VLOOKUP(E1286,#REF!,1,FALSE())),"?TYPE_IDENTIFIABLE","?REFERENTIAL"),"_")))))</f>
        <v/>
      </c>
      <c r="H1286" s="12" t="str">
        <f aca="false">IF(J1286&lt;&gt;1,"",IF(I1286="SBJ","CB","?"))</f>
        <v/>
      </c>
      <c r="I1286" s="13" t="str">
        <f aca="false">IF(OR(E1286="",E1286="!!!",F1286="NEW"),"",INDEX(B$2:B1285,-1+SUMPRODUCT(MAX(ROW(E$2:E1285)*(E1286=E$2:E1285)))))</f>
        <v/>
      </c>
      <c r="J1286" s="14" t="str">
        <f aca="true">IF(OR(E1286="",E1286="!!!",F1286="NEW"),"",COUNTBLANK(OFFSET(A$1,,,SUMPRODUCT(MAX(ROW(E$2:E1286)*(E1286=E$2:E1286)))))-COUNTBLANK(OFFSET(A$1,,,SUMPRODUCT(MAX(ROW(E$1:E1285)*(E1286=E$1:E1285))))))</f>
        <v/>
      </c>
      <c r="K1286" s="14" t="str">
        <f aca="false">IF(OR(E1286="",E1286="!!!",F1286="NEW"),"",INDEX(J$1:J1285,SUMPRODUCT(MAX(ROW(E$1:E1285)*(E1286=E$1:E1285)))))</f>
        <v/>
      </c>
      <c r="L1286" s="15"/>
    </row>
    <row r="1287" customFormat="false" ht="12.75" hidden="false" customHeight="false" outlineLevel="0" collapsed="false">
      <c r="A1287" s="0" t="s">
        <v>593</v>
      </c>
      <c r="E1287" s="9" t="str">
        <f aca="false">IF(D1287="?OLD","!!!","")</f>
        <v/>
      </c>
      <c r="F1287" s="10" t="str">
        <f aca="false">IF(OR(E1287="",E1287="!!!"),"",IF(NOT(ISNA(VLOOKUP(E1287,E$1:E1286,1,FALSE()))),"OLD",IF(AND(E1287&lt;&gt;"",E1287&lt;&gt;"!!!"),"NEW","")))</f>
        <v/>
      </c>
      <c r="G1287" s="11" t="str">
        <f aca="false">IF(OR(E1287="",E1287="!!!"),"",IF(OR(J1287=0,AND(J1287=1,K1287=1),AND(J1287=1,I1287="SBJ"),AND(J1287=1,I1287=0)),"?IN_FOCUS",IF(J1287&lt;=2,"?ACTIVATED",IF(J1287&lt;&gt;"","?FAMILIAR",IF(F1287="NEW",IF(ISNA(VLOOKUP(E1287,#REF!,1,FALSE())),"?TYPE_IDENTIFIABLE","?REFERENTIAL"),"_")))))</f>
        <v/>
      </c>
      <c r="H1287" s="12" t="str">
        <f aca="false">IF(J1287&lt;&gt;1,"",IF(I1287="SBJ","CB","?"))</f>
        <v/>
      </c>
      <c r="I1287" s="13" t="str">
        <f aca="false">IF(OR(E1287="",E1287="!!!",F1287="NEW"),"",INDEX(B$2:B1286,-1+SUMPRODUCT(MAX(ROW(E$2:E1286)*(E1287=E$2:E1286)))))</f>
        <v/>
      </c>
      <c r="J1287" s="14" t="str">
        <f aca="true">IF(OR(E1287="",E1287="!!!",F1287="NEW"),"",COUNTBLANK(OFFSET(A$1,,,SUMPRODUCT(MAX(ROW(E$2:E1287)*(E1287=E$2:E1287)))))-COUNTBLANK(OFFSET(A$1,,,SUMPRODUCT(MAX(ROW(E$1:E1286)*(E1287=E$1:E1286))))))</f>
        <v/>
      </c>
      <c r="K1287" s="14" t="str">
        <f aca="false">IF(OR(E1287="",E1287="!!!",F1287="NEW"),"",INDEX(J$1:J1286,SUMPRODUCT(MAX(ROW(E$1:E1286)*(E1287=E$1:E1286)))))</f>
        <v/>
      </c>
      <c r="L1287" s="15"/>
    </row>
    <row r="1288" customFormat="false" ht="12.75" hidden="false" customHeight="false" outlineLevel="0" collapsed="false">
      <c r="A1288" s="0" t="s">
        <v>591</v>
      </c>
      <c r="E1288" s="9" t="str">
        <f aca="false">IF(D1288="?OLD","!!!","")</f>
        <v/>
      </c>
      <c r="F1288" s="10" t="str">
        <f aca="false">IF(OR(E1288="",E1288="!!!"),"",IF(NOT(ISNA(VLOOKUP(E1288,E$1:E1287,1,FALSE()))),"OLD",IF(AND(E1288&lt;&gt;"",E1288&lt;&gt;"!!!"),"NEW","")))</f>
        <v/>
      </c>
      <c r="G1288" s="11" t="str">
        <f aca="false">IF(OR(E1288="",E1288="!!!"),"",IF(OR(J1288=0,AND(J1288=1,K1288=1),AND(J1288=1,I1288="SBJ"),AND(J1288=1,I1288=0)),"?IN_FOCUS",IF(J1288&lt;=2,"?ACTIVATED",IF(J1288&lt;&gt;"","?FAMILIAR",IF(F1288="NEW",IF(ISNA(VLOOKUP(E1288,#REF!,1,FALSE())),"?TYPE_IDENTIFIABLE","?REFERENTIAL"),"_")))))</f>
        <v/>
      </c>
      <c r="H1288" s="12" t="str">
        <f aca="false">IF(J1288&lt;&gt;1,"",IF(I1288="SBJ","CB","?"))</f>
        <v/>
      </c>
      <c r="I1288" s="13" t="str">
        <f aca="false">IF(OR(E1288="",E1288="!!!",F1288="NEW"),"",INDEX(B$2:B1287,-1+SUMPRODUCT(MAX(ROW(E$2:E1287)*(E1288=E$2:E1287)))))</f>
        <v/>
      </c>
      <c r="J1288" s="14" t="str">
        <f aca="true">IF(OR(E1288="",E1288="!!!",F1288="NEW"),"",COUNTBLANK(OFFSET(A$1,,,SUMPRODUCT(MAX(ROW(E$2:E1288)*(E1288=E$2:E1288)))))-COUNTBLANK(OFFSET(A$1,,,SUMPRODUCT(MAX(ROW(E$1:E1287)*(E1288=E$1:E1287))))))</f>
        <v/>
      </c>
      <c r="K1288" s="14" t="str">
        <f aca="false">IF(OR(E1288="",E1288="!!!",F1288="NEW"),"",INDEX(J$1:J1287,SUMPRODUCT(MAX(ROW(E$1:E1287)*(E1288=E$1:E1287)))))</f>
        <v/>
      </c>
      <c r="L1288" s="15"/>
    </row>
    <row r="1289" customFormat="false" ht="12.75" hidden="false" customHeight="false" outlineLevel="0" collapsed="false">
      <c r="A1289" s="0" t="s">
        <v>31</v>
      </c>
      <c r="E1289" s="9" t="str">
        <f aca="false">IF(D1289="?OLD","!!!","")</f>
        <v/>
      </c>
      <c r="F1289" s="10" t="str">
        <f aca="false">IF(OR(E1289="",E1289="!!!"),"",IF(NOT(ISNA(VLOOKUP(E1289,E$1:E1288,1,FALSE()))),"OLD",IF(AND(E1289&lt;&gt;"",E1289&lt;&gt;"!!!"),"NEW","")))</f>
        <v/>
      </c>
      <c r="G1289" s="11" t="str">
        <f aca="false">IF(OR(E1289="",E1289="!!!"),"",IF(OR(J1289=0,AND(J1289=1,K1289=1),AND(J1289=1,I1289="SBJ"),AND(J1289=1,I1289=0)),"?IN_FOCUS",IF(J1289&lt;=2,"?ACTIVATED",IF(J1289&lt;&gt;"","?FAMILIAR",IF(F1289="NEW",IF(ISNA(VLOOKUP(E1289,#REF!,1,FALSE())),"?TYPE_IDENTIFIABLE","?REFERENTIAL"),"_")))))</f>
        <v/>
      </c>
      <c r="H1289" s="12" t="str">
        <f aca="false">IF(J1289&lt;&gt;1,"",IF(I1289="SBJ","CB","?"))</f>
        <v/>
      </c>
      <c r="I1289" s="13" t="str">
        <f aca="false">IF(OR(E1289="",E1289="!!!",F1289="NEW"),"",INDEX(B$2:B1288,-1+SUMPRODUCT(MAX(ROW(E$2:E1288)*(E1289=E$2:E1288)))))</f>
        <v/>
      </c>
      <c r="J1289" s="14" t="str">
        <f aca="true">IF(OR(E1289="",E1289="!!!",F1289="NEW"),"",COUNTBLANK(OFFSET(A$1,,,SUMPRODUCT(MAX(ROW(E$2:E1289)*(E1289=E$2:E1289)))))-COUNTBLANK(OFFSET(A$1,,,SUMPRODUCT(MAX(ROW(E$1:E1288)*(E1289=E$1:E1288))))))</f>
        <v/>
      </c>
      <c r="K1289" s="14" t="str">
        <f aca="false">IF(OR(E1289="",E1289="!!!",F1289="NEW"),"",INDEX(J$1:J1288,SUMPRODUCT(MAX(ROW(E$1:E1288)*(E1289=E$1:E1288)))))</f>
        <v/>
      </c>
      <c r="L1289" s="15"/>
    </row>
    <row r="1290" customFormat="false" ht="12.75" hidden="false" customHeight="false" outlineLevel="0" collapsed="false">
      <c r="A1290" s="0" t="s">
        <v>32</v>
      </c>
      <c r="E1290" s="9" t="str">
        <f aca="false">IF(D1290="?OLD","!!!","")</f>
        <v/>
      </c>
      <c r="F1290" s="10" t="str">
        <f aca="false">IF(OR(E1290="",E1290="!!!"),"",IF(NOT(ISNA(VLOOKUP(E1290,E$1:E1289,1,FALSE()))),"OLD",IF(AND(E1290&lt;&gt;"",E1290&lt;&gt;"!!!"),"NEW","")))</f>
        <v/>
      </c>
      <c r="G1290" s="11" t="str">
        <f aca="false">IF(OR(E1290="",E1290="!!!"),"",IF(OR(J1290=0,AND(J1290=1,K1290=1),AND(J1290=1,I1290="SBJ"),AND(J1290=1,I1290=0)),"?IN_FOCUS",IF(J1290&lt;=2,"?ACTIVATED",IF(J1290&lt;&gt;"","?FAMILIAR",IF(F1290="NEW",IF(ISNA(VLOOKUP(E1290,#REF!,1,FALSE())),"?TYPE_IDENTIFIABLE","?REFERENTIAL"),"_")))))</f>
        <v/>
      </c>
      <c r="H1290" s="12" t="str">
        <f aca="false">IF(J1290&lt;&gt;1,"",IF(I1290="SBJ","CB","?"))</f>
        <v/>
      </c>
      <c r="I1290" s="13" t="str">
        <f aca="false">IF(OR(E1290="",E1290="!!!",F1290="NEW"),"",INDEX(B$2:B1289,-1+SUMPRODUCT(MAX(ROW(E$2:E1289)*(E1290=E$2:E1289)))))</f>
        <v/>
      </c>
      <c r="J1290" s="14" t="str">
        <f aca="true">IF(OR(E1290="",E1290="!!!",F1290="NEW"),"",COUNTBLANK(OFFSET(A$1,,,SUMPRODUCT(MAX(ROW(E$2:E1290)*(E1290=E$2:E1290)))))-COUNTBLANK(OFFSET(A$1,,,SUMPRODUCT(MAX(ROW(E$1:E1289)*(E1290=E$1:E1289))))))</f>
        <v/>
      </c>
      <c r="K1290" s="14" t="str">
        <f aca="false">IF(OR(E1290="",E1290="!!!",F1290="NEW"),"",INDEX(J$1:J1289,SUMPRODUCT(MAX(ROW(E$1:E1289)*(E1290=E$1:E1289)))))</f>
        <v/>
      </c>
      <c r="L1290" s="15"/>
    </row>
    <row r="1291" customFormat="false" ht="12.75" hidden="false" customHeight="false" outlineLevel="0" collapsed="false">
      <c r="A1291" s="0" t="s">
        <v>594</v>
      </c>
      <c r="E1291" s="9" t="str">
        <f aca="false">IF(D1291="?OLD","!!!","")</f>
        <v/>
      </c>
      <c r="F1291" s="10" t="str">
        <f aca="false">IF(OR(E1291="",E1291="!!!"),"",IF(NOT(ISNA(VLOOKUP(E1291,E$1:E1290,1,FALSE()))),"OLD",IF(AND(E1291&lt;&gt;"",E1291&lt;&gt;"!!!"),"NEW","")))</f>
        <v/>
      </c>
      <c r="G1291" s="11" t="str">
        <f aca="false">IF(OR(E1291="",E1291="!!!"),"",IF(OR(J1291=0,AND(J1291=1,K1291=1),AND(J1291=1,I1291="SBJ"),AND(J1291=1,I1291=0)),"?IN_FOCUS",IF(J1291&lt;=2,"?ACTIVATED",IF(J1291&lt;&gt;"","?FAMILIAR",IF(F1291="NEW",IF(ISNA(VLOOKUP(E1291,#REF!,1,FALSE())),"?TYPE_IDENTIFIABLE","?REFERENTIAL"),"_")))))</f>
        <v/>
      </c>
      <c r="H1291" s="12" t="str">
        <f aca="false">IF(J1291&lt;&gt;1,"",IF(I1291="SBJ","CB","?"))</f>
        <v/>
      </c>
      <c r="I1291" s="13" t="str">
        <f aca="false">IF(OR(E1291="",E1291="!!!",F1291="NEW"),"",INDEX(B$2:B1290,-1+SUMPRODUCT(MAX(ROW(E$2:E1290)*(E1291=E$2:E1290)))))</f>
        <v/>
      </c>
      <c r="J1291" s="14" t="str">
        <f aca="true">IF(OR(E1291="",E1291="!!!",F1291="NEW"),"",COUNTBLANK(OFFSET(A$1,,,SUMPRODUCT(MAX(ROW(E$2:E1291)*(E1291=E$2:E1291)))))-COUNTBLANK(OFFSET(A$1,,,SUMPRODUCT(MAX(ROW(E$1:E1290)*(E1291=E$1:E1290))))))</f>
        <v/>
      </c>
      <c r="K1291" s="14" t="str">
        <f aca="false">IF(OR(E1291="",E1291="!!!",F1291="NEW"),"",INDEX(J$1:J1290,SUMPRODUCT(MAX(ROW(E$1:E1290)*(E1291=E$1:E1290)))))</f>
        <v/>
      </c>
      <c r="L1291" s="15"/>
    </row>
    <row r="1292" customFormat="false" ht="12.75" hidden="false" customHeight="false" outlineLevel="0" collapsed="false">
      <c r="A1292" s="0" t="s">
        <v>33</v>
      </c>
      <c r="E1292" s="9" t="str">
        <f aca="false">IF(D1292="?OLD","!!!","")</f>
        <v/>
      </c>
      <c r="F1292" s="10" t="str">
        <f aca="false">IF(OR(E1292="",E1292="!!!"),"",IF(NOT(ISNA(VLOOKUP(E1292,E$1:E1291,1,FALSE()))),"OLD",IF(AND(E1292&lt;&gt;"",E1292&lt;&gt;"!!!"),"NEW","")))</f>
        <v/>
      </c>
      <c r="G1292" s="11" t="str">
        <f aca="false">IF(OR(E1292="",E1292="!!!"),"",IF(OR(J1292=0,AND(J1292=1,K1292=1),AND(J1292=1,I1292="SBJ"),AND(J1292=1,I1292=0)),"?IN_FOCUS",IF(J1292&lt;=2,"?ACTIVATED",IF(J1292&lt;&gt;"","?FAMILIAR",IF(F1292="NEW",IF(ISNA(VLOOKUP(E1292,#REF!,1,FALSE())),"?TYPE_IDENTIFIABLE","?REFERENTIAL"),"_")))))</f>
        <v/>
      </c>
      <c r="H1292" s="12" t="str">
        <f aca="false">IF(J1292&lt;&gt;1,"",IF(I1292="SBJ","CB","?"))</f>
        <v/>
      </c>
      <c r="I1292" s="13" t="str">
        <f aca="false">IF(OR(E1292="",E1292="!!!",F1292="NEW"),"",INDEX(B$2:B1291,-1+SUMPRODUCT(MAX(ROW(E$2:E1291)*(E1292=E$2:E1291)))))</f>
        <v/>
      </c>
      <c r="J1292" s="14" t="str">
        <f aca="true">IF(OR(E1292="",E1292="!!!",F1292="NEW"),"",COUNTBLANK(OFFSET(A$1,,,SUMPRODUCT(MAX(ROW(E$2:E1292)*(E1292=E$2:E1292)))))-COUNTBLANK(OFFSET(A$1,,,SUMPRODUCT(MAX(ROW(E$1:E1291)*(E1292=E$1:E1291))))))</f>
        <v/>
      </c>
      <c r="K1292" s="14" t="str">
        <f aca="false">IF(OR(E1292="",E1292="!!!",F1292="NEW"),"",INDEX(J$1:J1291,SUMPRODUCT(MAX(ROW(E$1:E1291)*(E1292=E$1:E1291)))))</f>
        <v/>
      </c>
      <c r="L1292" s="15"/>
    </row>
    <row r="1293" customFormat="false" ht="12.75" hidden="false" customHeight="false" outlineLevel="0" collapsed="false">
      <c r="A1293" s="0" t="s">
        <v>595</v>
      </c>
      <c r="B1293" s="0" t="s">
        <v>62</v>
      </c>
      <c r="C1293" s="0" t="s">
        <v>596</v>
      </c>
      <c r="D1293" s="0" t="s">
        <v>29</v>
      </c>
      <c r="E1293" s="9" t="str">
        <f aca="false">IF(D1293="?OLD","!!!","")</f>
        <v>!!!</v>
      </c>
      <c r="F1293" s="10" t="str">
        <f aca="false">IF(OR(E1293="",E1293="!!!"),"",IF(NOT(ISNA(VLOOKUP(E1293,E$1:E1292,1,FALSE()))),"OLD",IF(AND(E1293&lt;&gt;"",E1293&lt;&gt;"!!!"),"NEW","")))</f>
        <v/>
      </c>
      <c r="G1293" s="11" t="str">
        <f aca="false">IF(OR(E1293="",E1293="!!!"),"",IF(OR(J1293=0,AND(J1293=1,K1293=1),AND(J1293=1,I1293="SBJ"),AND(J1293=1,I1293=0)),"?IN_FOCUS",IF(J1293&lt;=2,"?ACTIVATED",IF(J1293&lt;&gt;"","?FAMILIAR",IF(F1293="NEW",IF(ISNA(VLOOKUP(E1293,#REF!,1,FALSE())),"?TYPE_IDENTIFIABLE","?REFERENTIAL"),"_")))))</f>
        <v/>
      </c>
      <c r="H1293" s="12" t="str">
        <f aca="false">IF(J1293&lt;&gt;1,"",IF(I1293="SBJ","CB","?"))</f>
        <v/>
      </c>
      <c r="I1293" s="13" t="str">
        <f aca="false">IF(OR(E1293="",E1293="!!!",F1293="NEW"),"",INDEX(B$2:B1292,-1+SUMPRODUCT(MAX(ROW(E$2:E1292)*(E1293=E$2:E1292)))))</f>
        <v/>
      </c>
      <c r="J1293" s="14" t="str">
        <f aca="true">IF(OR(E1293="",E1293="!!!",F1293="NEW"),"",COUNTBLANK(OFFSET(A$1,,,SUMPRODUCT(MAX(ROW(E$2:E1293)*(E1293=E$2:E1293)))))-COUNTBLANK(OFFSET(A$1,,,SUMPRODUCT(MAX(ROW(E$1:E1292)*(E1293=E$1:E1292))))))</f>
        <v/>
      </c>
      <c r="K1293" s="14" t="str">
        <f aca="false">IF(OR(E1293="",E1293="!!!",F1293="NEW"),"",INDEX(J$1:J1292,SUMPRODUCT(MAX(ROW(E$1:E1292)*(E1293=E$1:E1292)))))</f>
        <v/>
      </c>
      <c r="L1293" s="15"/>
    </row>
    <row r="1294" customFormat="false" ht="12.75" hidden="false" customHeight="false" outlineLevel="0" collapsed="false">
      <c r="A1294" s="0" t="s">
        <v>178</v>
      </c>
      <c r="E1294" s="9" t="str">
        <f aca="false">IF(D1294="?OLD","!!!","")</f>
        <v/>
      </c>
      <c r="F1294" s="10" t="str">
        <f aca="false">IF(OR(E1294="",E1294="!!!"),"",IF(NOT(ISNA(VLOOKUP(E1294,E$1:E1293,1,FALSE()))),"OLD",IF(AND(E1294&lt;&gt;"",E1294&lt;&gt;"!!!"),"NEW","")))</f>
        <v/>
      </c>
      <c r="G1294" s="11" t="str">
        <f aca="false">IF(OR(E1294="",E1294="!!!"),"",IF(OR(J1294=0,AND(J1294=1,K1294=1),AND(J1294=1,I1294="SBJ"),AND(J1294=1,I1294=0)),"?IN_FOCUS",IF(J1294&lt;=2,"?ACTIVATED",IF(J1294&lt;&gt;"","?FAMILIAR",IF(F1294="NEW",IF(ISNA(VLOOKUP(E1294,#REF!,1,FALSE())),"?TYPE_IDENTIFIABLE","?REFERENTIAL"),"_")))))</f>
        <v/>
      </c>
      <c r="H1294" s="12" t="str">
        <f aca="false">IF(J1294&lt;&gt;1,"",IF(I1294="SBJ","CB","?"))</f>
        <v/>
      </c>
      <c r="I1294" s="13" t="str">
        <f aca="false">IF(OR(E1294="",E1294="!!!",F1294="NEW"),"",INDEX(B$2:B1293,-1+SUMPRODUCT(MAX(ROW(E$2:E1293)*(E1294=E$2:E1293)))))</f>
        <v/>
      </c>
      <c r="J1294" s="14" t="str">
        <f aca="true">IF(OR(E1294="",E1294="!!!",F1294="NEW"),"",COUNTBLANK(OFFSET(A$1,,,SUMPRODUCT(MAX(ROW(E$2:E1294)*(E1294=E$2:E1294)))))-COUNTBLANK(OFFSET(A$1,,,SUMPRODUCT(MAX(ROW(E$1:E1293)*(E1294=E$1:E1293))))))</f>
        <v/>
      </c>
      <c r="K1294" s="14" t="str">
        <f aca="false">IF(OR(E1294="",E1294="!!!",F1294="NEW"),"",INDEX(J$1:J1293,SUMPRODUCT(MAX(ROW(E$1:E1293)*(E1294=E$1:E1293)))))</f>
        <v/>
      </c>
      <c r="L1294" s="15"/>
    </row>
    <row r="1295" customFormat="false" ht="12.75" hidden="false" customHeight="false" outlineLevel="0" collapsed="false">
      <c r="A1295" s="0" t="s">
        <v>597</v>
      </c>
      <c r="B1295" s="0" t="s">
        <v>62</v>
      </c>
      <c r="C1295" s="0" t="s">
        <v>120</v>
      </c>
      <c r="E1295" s="9" t="str">
        <f aca="false">IF(D1295="?OLD","!!!","")</f>
        <v/>
      </c>
      <c r="F1295" s="10" t="str">
        <f aca="false">IF(OR(E1295="",E1295="!!!"),"",IF(NOT(ISNA(VLOOKUP(E1295,E$1:E1294,1,FALSE()))),"OLD",IF(AND(E1295&lt;&gt;"",E1295&lt;&gt;"!!!"),"NEW","")))</f>
        <v/>
      </c>
      <c r="G1295" s="11" t="str">
        <f aca="false">IF(OR(E1295="",E1295="!!!"),"",IF(OR(J1295=0,AND(J1295=1,K1295=1),AND(J1295=1,I1295="SBJ"),AND(J1295=1,I1295=0)),"?IN_FOCUS",IF(J1295&lt;=2,"?ACTIVATED",IF(J1295&lt;&gt;"","?FAMILIAR",IF(F1295="NEW",IF(ISNA(VLOOKUP(E1295,#REF!,1,FALSE())),"?TYPE_IDENTIFIABLE","?REFERENTIAL"),"_")))))</f>
        <v/>
      </c>
      <c r="H1295" s="12" t="str">
        <f aca="false">IF(J1295&lt;&gt;1,"",IF(I1295="SBJ","CB","?"))</f>
        <v/>
      </c>
      <c r="I1295" s="13" t="str">
        <f aca="false">IF(OR(E1295="",E1295="!!!",F1295="NEW"),"",INDEX(B$2:B1294,-1+SUMPRODUCT(MAX(ROW(E$2:E1294)*(E1295=E$2:E1294)))))</f>
        <v/>
      </c>
      <c r="J1295" s="14" t="str">
        <f aca="true">IF(OR(E1295="",E1295="!!!",F1295="NEW"),"",COUNTBLANK(OFFSET(A$1,,,SUMPRODUCT(MAX(ROW(E$2:E1295)*(E1295=E$2:E1295)))))-COUNTBLANK(OFFSET(A$1,,,SUMPRODUCT(MAX(ROW(E$1:E1294)*(E1295=E$1:E1294))))))</f>
        <v/>
      </c>
      <c r="K1295" s="14" t="str">
        <f aca="false">IF(OR(E1295="",E1295="!!!",F1295="NEW"),"",INDEX(J$1:J1294,SUMPRODUCT(MAX(ROW(E$1:E1294)*(E1295=E$1:E1294)))))</f>
        <v/>
      </c>
      <c r="L1295" s="15"/>
    </row>
    <row r="1296" customFormat="false" ht="12.75" hidden="false" customHeight="false" outlineLevel="0" collapsed="false">
      <c r="A1296" s="0" t="s">
        <v>85</v>
      </c>
      <c r="B1296" s="0" t="s">
        <v>42</v>
      </c>
      <c r="E1296" s="9" t="str">
        <f aca="false">IF(D1296="?OLD","!!!","")</f>
        <v/>
      </c>
      <c r="F1296" s="10" t="str">
        <f aca="false">IF(OR(E1296="",E1296="!!!"),"",IF(NOT(ISNA(VLOOKUP(E1296,E$1:E1295,1,FALSE()))),"OLD",IF(AND(E1296&lt;&gt;"",E1296&lt;&gt;"!!!"),"NEW","")))</f>
        <v/>
      </c>
      <c r="G1296" s="11" t="str">
        <f aca="false">IF(OR(E1296="",E1296="!!!"),"",IF(OR(J1296=0,AND(J1296=1,K1296=1),AND(J1296=1,I1296="SBJ"),AND(J1296=1,I1296=0)),"?IN_FOCUS",IF(J1296&lt;=2,"?ACTIVATED",IF(J1296&lt;&gt;"","?FAMILIAR",IF(F1296="NEW",IF(ISNA(VLOOKUP(E1296,#REF!,1,FALSE())),"?TYPE_IDENTIFIABLE","?REFERENTIAL"),"_")))))</f>
        <v/>
      </c>
      <c r="H1296" s="12" t="str">
        <f aca="false">IF(J1296&lt;&gt;1,"",IF(I1296="SBJ","CB","?"))</f>
        <v/>
      </c>
      <c r="I1296" s="13" t="str">
        <f aca="false">IF(OR(E1296="",E1296="!!!",F1296="NEW"),"",INDEX(B$2:B1295,-1+SUMPRODUCT(MAX(ROW(E$2:E1295)*(E1296=E$2:E1295)))))</f>
        <v/>
      </c>
      <c r="J1296" s="14" t="str">
        <f aca="true">IF(OR(E1296="",E1296="!!!",F1296="NEW"),"",COUNTBLANK(OFFSET(A$1,,,SUMPRODUCT(MAX(ROW(E$2:E1296)*(E1296=E$2:E1296)))))-COUNTBLANK(OFFSET(A$1,,,SUMPRODUCT(MAX(ROW(E$1:E1295)*(E1296=E$1:E1295))))))</f>
        <v/>
      </c>
      <c r="K1296" s="14" t="str">
        <f aca="false">IF(OR(E1296="",E1296="!!!",F1296="NEW"),"",INDEX(J$1:J1295,SUMPRODUCT(MAX(ROW(E$1:E1295)*(E1296=E$1:E1295)))))</f>
        <v/>
      </c>
      <c r="L1296" s="15"/>
    </row>
    <row r="1297" customFormat="false" ht="12.75" hidden="false" customHeight="false" outlineLevel="0" collapsed="false">
      <c r="A1297" s="0" t="s">
        <v>158</v>
      </c>
      <c r="E1297" s="9" t="str">
        <f aca="false">IF(D1297="?OLD","!!!","")</f>
        <v/>
      </c>
      <c r="F1297" s="10" t="str">
        <f aca="false">IF(OR(E1297="",E1297="!!!"),"",IF(NOT(ISNA(VLOOKUP(E1297,E$1:E1296,1,FALSE()))),"OLD",IF(AND(E1297&lt;&gt;"",E1297&lt;&gt;"!!!"),"NEW","")))</f>
        <v/>
      </c>
      <c r="G1297" s="11" t="str">
        <f aca="false">IF(OR(E1297="",E1297="!!!"),"",IF(OR(J1297=0,AND(J1297=1,K1297=1),AND(J1297=1,I1297="SBJ"),AND(J1297=1,I1297=0)),"?IN_FOCUS",IF(J1297&lt;=2,"?ACTIVATED",IF(J1297&lt;&gt;"","?FAMILIAR",IF(F1297="NEW",IF(ISNA(VLOOKUP(E1297,#REF!,1,FALSE())),"?TYPE_IDENTIFIABLE","?REFERENTIAL"),"_")))))</f>
        <v/>
      </c>
      <c r="H1297" s="12" t="str">
        <f aca="false">IF(J1297&lt;&gt;1,"",IF(I1297="SBJ","CB","?"))</f>
        <v/>
      </c>
      <c r="I1297" s="13" t="str">
        <f aca="false">IF(OR(E1297="",E1297="!!!",F1297="NEW"),"",INDEX(B$2:B1296,-1+SUMPRODUCT(MAX(ROW(E$2:E1296)*(E1297=E$2:E1296)))))</f>
        <v/>
      </c>
      <c r="J1297" s="14" t="str">
        <f aca="true">IF(OR(E1297="",E1297="!!!",F1297="NEW"),"",COUNTBLANK(OFFSET(A$1,,,SUMPRODUCT(MAX(ROW(E$2:E1297)*(E1297=E$2:E1297)))))-COUNTBLANK(OFFSET(A$1,,,SUMPRODUCT(MAX(ROW(E$1:E1296)*(E1297=E$1:E1296))))))</f>
        <v/>
      </c>
      <c r="K1297" s="14" t="str">
        <f aca="false">IF(OR(E1297="",E1297="!!!",F1297="NEW"),"",INDEX(J$1:J1296,SUMPRODUCT(MAX(ROW(E$1:E1296)*(E1297=E$1:E1296)))))</f>
        <v/>
      </c>
      <c r="L1297" s="15"/>
    </row>
    <row r="1298" customFormat="false" ht="12.75" hidden="false" customHeight="false" outlineLevel="0" collapsed="false">
      <c r="A1298" s="0" t="s">
        <v>276</v>
      </c>
      <c r="E1298" s="9" t="str">
        <f aca="false">IF(D1298="?OLD","!!!","")</f>
        <v/>
      </c>
      <c r="F1298" s="10" t="str">
        <f aca="false">IF(OR(E1298="",E1298="!!!"),"",IF(NOT(ISNA(VLOOKUP(E1298,E$1:E1297,1,FALSE()))),"OLD",IF(AND(E1298&lt;&gt;"",E1298&lt;&gt;"!!!"),"NEW","")))</f>
        <v/>
      </c>
      <c r="G1298" s="11" t="str">
        <f aca="false">IF(OR(E1298="",E1298="!!!"),"",IF(OR(J1298=0,AND(J1298=1,K1298=1),AND(J1298=1,I1298="SBJ"),AND(J1298=1,I1298=0)),"?IN_FOCUS",IF(J1298&lt;=2,"?ACTIVATED",IF(J1298&lt;&gt;"","?FAMILIAR",IF(F1298="NEW",IF(ISNA(VLOOKUP(E1298,#REF!,1,FALSE())),"?TYPE_IDENTIFIABLE","?REFERENTIAL"),"_")))))</f>
        <v/>
      </c>
      <c r="H1298" s="12" t="str">
        <f aca="false">IF(J1298&lt;&gt;1,"",IF(I1298="SBJ","CB","?"))</f>
        <v/>
      </c>
      <c r="I1298" s="13" t="str">
        <f aca="false">IF(OR(E1298="",E1298="!!!",F1298="NEW"),"",INDEX(B$2:B1297,-1+SUMPRODUCT(MAX(ROW(E$2:E1297)*(E1298=E$2:E1297)))))</f>
        <v/>
      </c>
      <c r="J1298" s="14" t="str">
        <f aca="true">IF(OR(E1298="",E1298="!!!",F1298="NEW"),"",COUNTBLANK(OFFSET(A$1,,,SUMPRODUCT(MAX(ROW(E$2:E1298)*(E1298=E$2:E1298)))))-COUNTBLANK(OFFSET(A$1,,,SUMPRODUCT(MAX(ROW(E$1:E1297)*(E1298=E$1:E1297))))))</f>
        <v/>
      </c>
      <c r="K1298" s="14" t="str">
        <f aca="false">IF(OR(E1298="",E1298="!!!",F1298="NEW"),"",INDEX(J$1:J1297,SUMPRODUCT(MAX(ROW(E$1:E1297)*(E1298=E$1:E1297)))))</f>
        <v/>
      </c>
      <c r="L1298" s="15"/>
    </row>
    <row r="1299" customFormat="false" ht="12.75" hidden="false" customHeight="false" outlineLevel="0" collapsed="false">
      <c r="A1299" s="0" t="s">
        <v>598</v>
      </c>
      <c r="E1299" s="9" t="str">
        <f aca="false">IF(D1299="?OLD","!!!","")</f>
        <v/>
      </c>
      <c r="F1299" s="10" t="str">
        <f aca="false">IF(OR(E1299="",E1299="!!!"),"",IF(NOT(ISNA(VLOOKUP(E1299,E$1:E1298,1,FALSE()))),"OLD",IF(AND(E1299&lt;&gt;"",E1299&lt;&gt;"!!!"),"NEW","")))</f>
        <v/>
      </c>
      <c r="G1299" s="11" t="str">
        <f aca="false">IF(OR(E1299="",E1299="!!!"),"",IF(OR(J1299=0,AND(J1299=1,K1299=1),AND(J1299=1,I1299="SBJ"),AND(J1299=1,I1299=0)),"?IN_FOCUS",IF(J1299&lt;=2,"?ACTIVATED",IF(J1299&lt;&gt;"","?FAMILIAR",IF(F1299="NEW",IF(ISNA(VLOOKUP(E1299,#REF!,1,FALSE())),"?TYPE_IDENTIFIABLE","?REFERENTIAL"),"_")))))</f>
        <v/>
      </c>
      <c r="H1299" s="12" t="str">
        <f aca="false">IF(J1299&lt;&gt;1,"",IF(I1299="SBJ","CB","?"))</f>
        <v/>
      </c>
      <c r="I1299" s="13" t="str">
        <f aca="false">IF(OR(E1299="",E1299="!!!",F1299="NEW"),"",INDEX(B$2:B1298,-1+SUMPRODUCT(MAX(ROW(E$2:E1298)*(E1299=E$2:E1298)))))</f>
        <v/>
      </c>
      <c r="J1299" s="14" t="str">
        <f aca="true">IF(OR(E1299="",E1299="!!!",F1299="NEW"),"",COUNTBLANK(OFFSET(A$1,,,SUMPRODUCT(MAX(ROW(E$2:E1299)*(E1299=E$2:E1299)))))-COUNTBLANK(OFFSET(A$1,,,SUMPRODUCT(MAX(ROW(E$1:E1298)*(E1299=E$1:E1298))))))</f>
        <v/>
      </c>
      <c r="K1299" s="14" t="str">
        <f aca="false">IF(OR(E1299="",E1299="!!!",F1299="NEW"),"",INDEX(J$1:J1298,SUMPRODUCT(MAX(ROW(E$1:E1298)*(E1299=E$1:E1298)))))</f>
        <v/>
      </c>
      <c r="L1299" s="15"/>
    </row>
    <row r="1300" customFormat="false" ht="12.75" hidden="false" customHeight="false" outlineLevel="0" collapsed="false">
      <c r="A1300" s="0" t="s">
        <v>277</v>
      </c>
      <c r="B1300" s="0" t="s">
        <v>22</v>
      </c>
      <c r="C1300" s="0" t="s">
        <v>55</v>
      </c>
      <c r="D1300" s="0" t="s">
        <v>29</v>
      </c>
      <c r="E1300" s="9" t="str">
        <f aca="false">IF(D1300="?OLD","!!!","")</f>
        <v>!!!</v>
      </c>
      <c r="F1300" s="10" t="str">
        <f aca="false">IF(OR(E1300="",E1300="!!!"),"",IF(NOT(ISNA(VLOOKUP(E1300,E$1:E1299,1,FALSE()))),"OLD",IF(AND(E1300&lt;&gt;"",E1300&lt;&gt;"!!!"),"NEW","")))</f>
        <v/>
      </c>
      <c r="G1300" s="11" t="str">
        <f aca="false">IF(OR(E1300="",E1300="!!!"),"",IF(OR(J1300=0,AND(J1300=1,K1300=1),AND(J1300=1,I1300="SBJ"),AND(J1300=1,I1300=0)),"?IN_FOCUS",IF(J1300&lt;=2,"?ACTIVATED",IF(J1300&lt;&gt;"","?FAMILIAR",IF(F1300="NEW",IF(ISNA(VLOOKUP(E1300,#REF!,1,FALSE())),"?TYPE_IDENTIFIABLE","?REFERENTIAL"),"_")))))</f>
        <v/>
      </c>
      <c r="H1300" s="12" t="str">
        <f aca="false">IF(J1300&lt;&gt;1,"",IF(I1300="SBJ","CB","?"))</f>
        <v/>
      </c>
      <c r="I1300" s="13" t="str">
        <f aca="false">IF(OR(E1300="",E1300="!!!",F1300="NEW"),"",INDEX(B$2:B1299,-1+SUMPRODUCT(MAX(ROW(E$2:E1299)*(E1300=E$2:E1299)))))</f>
        <v/>
      </c>
      <c r="J1300" s="14" t="str">
        <f aca="true">IF(OR(E1300="",E1300="!!!",F1300="NEW"),"",COUNTBLANK(OFFSET(A$1,,,SUMPRODUCT(MAX(ROW(E$2:E1300)*(E1300=E$2:E1300)))))-COUNTBLANK(OFFSET(A$1,,,SUMPRODUCT(MAX(ROW(E$1:E1299)*(E1300=E$1:E1299))))))</f>
        <v/>
      </c>
      <c r="K1300" s="14" t="str">
        <f aca="false">IF(OR(E1300="",E1300="!!!",F1300="NEW"),"",INDEX(J$1:J1299,SUMPRODUCT(MAX(ROW(E$1:E1299)*(E1300=E$1:E1299)))))</f>
        <v/>
      </c>
      <c r="L1300" s="15"/>
    </row>
    <row r="1301" customFormat="false" ht="12.75" hidden="false" customHeight="false" outlineLevel="0" collapsed="false">
      <c r="A1301" s="0" t="s">
        <v>58</v>
      </c>
      <c r="B1301" s="0" t="s">
        <v>103</v>
      </c>
      <c r="C1301" s="0" t="s">
        <v>15</v>
      </c>
      <c r="D1301" s="0" t="s">
        <v>29</v>
      </c>
      <c r="E1301" s="9" t="str">
        <f aca="false">IF(D1301="?OLD","!!!","")</f>
        <v>!!!</v>
      </c>
      <c r="F1301" s="10" t="str">
        <f aca="false">IF(OR(E1301="",E1301="!!!"),"",IF(NOT(ISNA(VLOOKUP(E1301,E$1:E1300,1,FALSE()))),"OLD",IF(AND(E1301&lt;&gt;"",E1301&lt;&gt;"!!!"),"NEW","")))</f>
        <v/>
      </c>
      <c r="G1301" s="11" t="str">
        <f aca="false">IF(OR(E1301="",E1301="!!!"),"",IF(OR(J1301=0,AND(J1301=1,K1301=1),AND(J1301=1,I1301="SBJ"),AND(J1301=1,I1301=0)),"?IN_FOCUS",IF(J1301&lt;=2,"?ACTIVATED",IF(J1301&lt;&gt;"","?FAMILIAR",IF(F1301="NEW",IF(ISNA(VLOOKUP(E1301,#REF!,1,FALSE())),"?TYPE_IDENTIFIABLE","?REFERENTIAL"),"_")))))</f>
        <v/>
      </c>
      <c r="H1301" s="12" t="str">
        <f aca="false">IF(J1301&lt;&gt;1,"",IF(I1301="SBJ","CB","?"))</f>
        <v/>
      </c>
      <c r="I1301" s="13" t="str">
        <f aca="false">IF(OR(E1301="",E1301="!!!",F1301="NEW"),"",INDEX(B$2:B1300,-1+SUMPRODUCT(MAX(ROW(E$2:E1300)*(E1301=E$2:E1300)))))</f>
        <v/>
      </c>
      <c r="J1301" s="14" t="str">
        <f aca="true">IF(OR(E1301="",E1301="!!!",F1301="NEW"),"",COUNTBLANK(OFFSET(A$1,,,SUMPRODUCT(MAX(ROW(E$2:E1301)*(E1301=E$2:E1301)))))-COUNTBLANK(OFFSET(A$1,,,SUMPRODUCT(MAX(ROW(E$1:E1300)*(E1301=E$1:E1300))))))</f>
        <v/>
      </c>
      <c r="K1301" s="14" t="str">
        <f aca="false">IF(OR(E1301="",E1301="!!!",F1301="NEW"),"",INDEX(J$1:J1300,SUMPRODUCT(MAX(ROW(E$1:E1300)*(E1301=E$1:E1300)))))</f>
        <v/>
      </c>
      <c r="L1301" s="15"/>
    </row>
    <row r="1302" customFormat="false" ht="12.75" hidden="false" customHeight="false" outlineLevel="0" collapsed="false">
      <c r="A1302" s="0" t="s">
        <v>73</v>
      </c>
      <c r="E1302" s="9" t="str">
        <f aca="false">IF(D1302="?OLD","!!!","")</f>
        <v/>
      </c>
      <c r="F1302" s="10" t="str">
        <f aca="false">IF(OR(E1302="",E1302="!!!"),"",IF(NOT(ISNA(VLOOKUP(E1302,E$1:E1301,1,FALSE()))),"OLD",IF(AND(E1302&lt;&gt;"",E1302&lt;&gt;"!!!"),"NEW","")))</f>
        <v/>
      </c>
      <c r="G1302" s="11" t="str">
        <f aca="false">IF(OR(E1302="",E1302="!!!"),"",IF(OR(J1302=0,AND(J1302=1,K1302=1),AND(J1302=1,I1302="SBJ"),AND(J1302=1,I1302=0)),"?IN_FOCUS",IF(J1302&lt;=2,"?ACTIVATED",IF(J1302&lt;&gt;"","?FAMILIAR",IF(F1302="NEW",IF(ISNA(VLOOKUP(E1302,#REF!,1,FALSE())),"?TYPE_IDENTIFIABLE","?REFERENTIAL"),"_")))))</f>
        <v/>
      </c>
      <c r="H1302" s="12" t="str">
        <f aca="false">IF(J1302&lt;&gt;1,"",IF(I1302="SBJ","CB","?"))</f>
        <v/>
      </c>
      <c r="I1302" s="13" t="str">
        <f aca="false">IF(OR(E1302="",E1302="!!!",F1302="NEW"),"",INDEX(B$2:B1301,-1+SUMPRODUCT(MAX(ROW(E$2:E1301)*(E1302=E$2:E1301)))))</f>
        <v/>
      </c>
      <c r="J1302" s="14" t="str">
        <f aca="true">IF(OR(E1302="",E1302="!!!",F1302="NEW"),"",COUNTBLANK(OFFSET(A$1,,,SUMPRODUCT(MAX(ROW(E$2:E1302)*(E1302=E$2:E1302)))))-COUNTBLANK(OFFSET(A$1,,,SUMPRODUCT(MAX(ROW(E$1:E1301)*(E1302=E$1:E1301))))))</f>
        <v/>
      </c>
      <c r="K1302" s="14" t="str">
        <f aca="false">IF(OR(E1302="",E1302="!!!",F1302="NEW"),"",INDEX(J$1:J1301,SUMPRODUCT(MAX(ROW(E$1:E1301)*(E1302=E$1:E1301)))))</f>
        <v/>
      </c>
      <c r="L1302" s="15"/>
    </row>
    <row r="1303" customFormat="false" ht="12.75" hidden="false" customHeight="false" outlineLevel="0" collapsed="false">
      <c r="E1303" s="9" t="str">
        <f aca="false">IF(D1303="?OLD","!!!","")</f>
        <v/>
      </c>
      <c r="F1303" s="10" t="str">
        <f aca="false">IF(OR(E1303="",E1303="!!!"),"",IF(NOT(ISNA(VLOOKUP(E1303,E$1:E1302,1,FALSE()))),"OLD",IF(AND(E1303&lt;&gt;"",E1303&lt;&gt;"!!!"),"NEW","")))</f>
        <v/>
      </c>
      <c r="G1303" s="11" t="str">
        <f aca="false">IF(OR(E1303="",E1303="!!!"),"",IF(OR(J1303=0,AND(J1303=1,K1303=1),AND(J1303=1,I1303="SBJ"),AND(J1303=1,I1303=0)),"?IN_FOCUS",IF(J1303&lt;=2,"?ACTIVATED",IF(J1303&lt;&gt;"","?FAMILIAR",IF(F1303="NEW",IF(ISNA(VLOOKUP(E1303,#REF!,1,FALSE())),"?TYPE_IDENTIFIABLE","?REFERENTIAL"),"_")))))</f>
        <v/>
      </c>
      <c r="H1303" s="12" t="str">
        <f aca="false">IF(J1303&lt;&gt;1,"",IF(I1303="SBJ","CB","?"))</f>
        <v/>
      </c>
      <c r="I1303" s="13" t="str">
        <f aca="false">IF(OR(E1303="",E1303="!!!",F1303="NEW"),"",INDEX(B$2:B1302,-1+SUMPRODUCT(MAX(ROW(E$2:E1302)*(E1303=E$2:E1302)))))</f>
        <v/>
      </c>
      <c r="J1303" s="14" t="str">
        <f aca="true">IF(OR(E1303="",E1303="!!!",F1303="NEW"),"",COUNTBLANK(OFFSET(A$1,,,SUMPRODUCT(MAX(ROW(E$2:E1303)*(E1303=E$2:E1303)))))-COUNTBLANK(OFFSET(A$1,,,SUMPRODUCT(MAX(ROW(E$1:E1302)*(E1303=E$1:E1302))))))</f>
        <v/>
      </c>
      <c r="K1303" s="14" t="str">
        <f aca="false">IF(OR(E1303="",E1303="!!!",F1303="NEW"),"",INDEX(J$1:J1302,SUMPRODUCT(MAX(ROW(E$1:E1302)*(E1303=E$1:E1302)))))</f>
        <v/>
      </c>
      <c r="L1303" s="15"/>
    </row>
    <row r="1304" customFormat="false" ht="12.75" hidden="false" customHeight="false" outlineLevel="0" collapsed="false">
      <c r="A1304" s="0" t="s">
        <v>599</v>
      </c>
      <c r="E1304" s="9" t="str">
        <f aca="false">IF(D1304="?OLD","!!!","")</f>
        <v/>
      </c>
      <c r="F1304" s="10" t="str">
        <f aca="false">IF(OR(E1304="",E1304="!!!"),"",IF(NOT(ISNA(VLOOKUP(E1304,E$1:E1303,1,FALSE()))),"OLD",IF(AND(E1304&lt;&gt;"",E1304&lt;&gt;"!!!"),"NEW","")))</f>
        <v/>
      </c>
      <c r="G1304" s="11" t="str">
        <f aca="false">IF(OR(E1304="",E1304="!!!"),"",IF(OR(J1304=0,AND(J1304=1,K1304=1),AND(J1304=1,I1304="SBJ"),AND(J1304=1,I1304=0)),"?IN_FOCUS",IF(J1304&lt;=2,"?ACTIVATED",IF(J1304&lt;&gt;"","?FAMILIAR",IF(F1304="NEW",IF(ISNA(VLOOKUP(E1304,#REF!,1,FALSE())),"?TYPE_IDENTIFIABLE","?REFERENTIAL"),"_")))))</f>
        <v/>
      </c>
      <c r="H1304" s="12" t="str">
        <f aca="false">IF(J1304&lt;&gt;1,"",IF(I1304="SBJ","CB","?"))</f>
        <v/>
      </c>
      <c r="I1304" s="13" t="str">
        <f aca="false">IF(OR(E1304="",E1304="!!!",F1304="NEW"),"",INDEX(B$2:B1303,-1+SUMPRODUCT(MAX(ROW(E$2:E1303)*(E1304=E$2:E1303)))))</f>
        <v/>
      </c>
      <c r="J1304" s="14" t="str">
        <f aca="true">IF(OR(E1304="",E1304="!!!",F1304="NEW"),"",COUNTBLANK(OFFSET(A$1,,,SUMPRODUCT(MAX(ROW(E$2:E1304)*(E1304=E$2:E1304)))))-COUNTBLANK(OFFSET(A$1,,,SUMPRODUCT(MAX(ROW(E$1:E1303)*(E1304=E$1:E1303))))))</f>
        <v/>
      </c>
      <c r="K1304" s="14" t="str">
        <f aca="false">IF(OR(E1304="",E1304="!!!",F1304="NEW"),"",INDEX(J$1:J1303,SUMPRODUCT(MAX(ROW(E$1:E1303)*(E1304=E$1:E1303)))))</f>
        <v/>
      </c>
      <c r="L1304" s="15"/>
    </row>
    <row r="1305" customFormat="false" ht="12.75" hidden="false" customHeight="false" outlineLevel="0" collapsed="false">
      <c r="A1305" s="0" t="s">
        <v>525</v>
      </c>
      <c r="B1305" s="0" t="s">
        <v>14</v>
      </c>
      <c r="C1305" s="0" t="s">
        <v>38</v>
      </c>
      <c r="D1305" s="0" t="s">
        <v>29</v>
      </c>
      <c r="E1305" s="9" t="str">
        <f aca="false">IF(D1305="?OLD","!!!","")</f>
        <v>!!!</v>
      </c>
      <c r="F1305" s="10" t="str">
        <f aca="false">IF(OR(E1305="",E1305="!!!"),"",IF(NOT(ISNA(VLOOKUP(E1305,E$1:E1304,1,FALSE()))),"OLD",IF(AND(E1305&lt;&gt;"",E1305&lt;&gt;"!!!"),"NEW","")))</f>
        <v/>
      </c>
      <c r="G1305" s="11" t="str">
        <f aca="false">IF(OR(E1305="",E1305="!!!"),"",IF(OR(J1305=0,AND(J1305=1,K1305=1),AND(J1305=1,I1305="SBJ"),AND(J1305=1,I1305=0)),"?IN_FOCUS",IF(J1305&lt;=2,"?ACTIVATED",IF(J1305&lt;&gt;"","?FAMILIAR",IF(F1305="NEW",IF(ISNA(VLOOKUP(E1305,#REF!,1,FALSE())),"?TYPE_IDENTIFIABLE","?REFERENTIAL"),"_")))))</f>
        <v/>
      </c>
      <c r="H1305" s="12" t="str">
        <f aca="false">IF(J1305&lt;&gt;1,"",IF(I1305="SBJ","CB","?"))</f>
        <v/>
      </c>
      <c r="I1305" s="13" t="str">
        <f aca="false">IF(OR(E1305="",E1305="!!!",F1305="NEW"),"",INDEX(B$2:B1304,-1+SUMPRODUCT(MAX(ROW(E$2:E1304)*(E1305=E$2:E1304)))))</f>
        <v/>
      </c>
      <c r="J1305" s="14" t="str">
        <f aca="true">IF(OR(E1305="",E1305="!!!",F1305="NEW"),"",COUNTBLANK(OFFSET(A$1,,,SUMPRODUCT(MAX(ROW(E$2:E1305)*(E1305=E$2:E1305)))))-COUNTBLANK(OFFSET(A$1,,,SUMPRODUCT(MAX(ROW(E$1:E1304)*(E1305=E$1:E1304))))))</f>
        <v/>
      </c>
      <c r="K1305" s="14" t="str">
        <f aca="false">IF(OR(E1305="",E1305="!!!",F1305="NEW"),"",INDEX(J$1:J1304,SUMPRODUCT(MAX(ROW(E$1:E1304)*(E1305=E$1:E1304)))))</f>
        <v/>
      </c>
      <c r="L1305" s="15"/>
    </row>
    <row r="1306" customFormat="false" ht="12.75" hidden="false" customHeight="false" outlineLevel="0" collapsed="false">
      <c r="A1306" s="0" t="s">
        <v>600</v>
      </c>
      <c r="E1306" s="9" t="str">
        <f aca="false">IF(D1306="?OLD","!!!","")</f>
        <v/>
      </c>
      <c r="F1306" s="10" t="str">
        <f aca="false">IF(OR(E1306="",E1306="!!!"),"",IF(NOT(ISNA(VLOOKUP(E1306,E$1:E1305,1,FALSE()))),"OLD",IF(AND(E1306&lt;&gt;"",E1306&lt;&gt;"!!!"),"NEW","")))</f>
        <v/>
      </c>
      <c r="G1306" s="11" t="str">
        <f aca="false">IF(OR(E1306="",E1306="!!!"),"",IF(OR(J1306=0,AND(J1306=1,K1306=1),AND(J1306=1,I1306="SBJ"),AND(J1306=1,I1306=0)),"?IN_FOCUS",IF(J1306&lt;=2,"?ACTIVATED",IF(J1306&lt;&gt;"","?FAMILIAR",IF(F1306="NEW",IF(ISNA(VLOOKUP(E1306,#REF!,1,FALSE())),"?TYPE_IDENTIFIABLE","?REFERENTIAL"),"_")))))</f>
        <v/>
      </c>
      <c r="H1306" s="12" t="str">
        <f aca="false">IF(J1306&lt;&gt;1,"",IF(I1306="SBJ","CB","?"))</f>
        <v/>
      </c>
      <c r="I1306" s="13" t="str">
        <f aca="false">IF(OR(E1306="",E1306="!!!",F1306="NEW"),"",INDEX(B$2:B1305,-1+SUMPRODUCT(MAX(ROW(E$2:E1305)*(E1306=E$2:E1305)))))</f>
        <v/>
      </c>
      <c r="J1306" s="14" t="str">
        <f aca="true">IF(OR(E1306="",E1306="!!!",F1306="NEW"),"",COUNTBLANK(OFFSET(A$1,,,SUMPRODUCT(MAX(ROW(E$2:E1306)*(E1306=E$2:E1306)))))-COUNTBLANK(OFFSET(A$1,,,SUMPRODUCT(MAX(ROW(E$1:E1305)*(E1306=E$1:E1305))))))</f>
        <v/>
      </c>
      <c r="K1306" s="14" t="str">
        <f aca="false">IF(OR(E1306="",E1306="!!!",F1306="NEW"),"",INDEX(J$1:J1305,SUMPRODUCT(MAX(ROW(E$1:E1305)*(E1306=E$1:E1305)))))</f>
        <v/>
      </c>
      <c r="L1306" s="15"/>
    </row>
    <row r="1307" customFormat="false" ht="12.75" hidden="false" customHeight="false" outlineLevel="0" collapsed="false">
      <c r="A1307" s="0" t="s">
        <v>427</v>
      </c>
      <c r="E1307" s="9" t="str">
        <f aca="false">IF(D1307="?OLD","!!!","")</f>
        <v/>
      </c>
      <c r="F1307" s="10" t="str">
        <f aca="false">IF(OR(E1307="",E1307="!!!"),"",IF(NOT(ISNA(VLOOKUP(E1307,E$1:E1306,1,FALSE()))),"OLD",IF(AND(E1307&lt;&gt;"",E1307&lt;&gt;"!!!"),"NEW","")))</f>
        <v/>
      </c>
      <c r="G1307" s="11" t="str">
        <f aca="false">IF(OR(E1307="",E1307="!!!"),"",IF(OR(J1307=0,AND(J1307=1,K1307=1),AND(J1307=1,I1307="SBJ"),AND(J1307=1,I1307=0)),"?IN_FOCUS",IF(J1307&lt;=2,"?ACTIVATED",IF(J1307&lt;&gt;"","?FAMILIAR",IF(F1307="NEW",IF(ISNA(VLOOKUP(E1307,#REF!,1,FALSE())),"?TYPE_IDENTIFIABLE","?REFERENTIAL"),"_")))))</f>
        <v/>
      </c>
      <c r="H1307" s="12" t="str">
        <f aca="false">IF(J1307&lt;&gt;1,"",IF(I1307="SBJ","CB","?"))</f>
        <v/>
      </c>
      <c r="I1307" s="13" t="str">
        <f aca="false">IF(OR(E1307="",E1307="!!!",F1307="NEW"),"",INDEX(B$2:B1306,-1+SUMPRODUCT(MAX(ROW(E$2:E1306)*(E1307=E$2:E1306)))))</f>
        <v/>
      </c>
      <c r="J1307" s="14" t="str">
        <f aca="true">IF(OR(E1307="",E1307="!!!",F1307="NEW"),"",COUNTBLANK(OFFSET(A$1,,,SUMPRODUCT(MAX(ROW(E$2:E1307)*(E1307=E$2:E1307)))))-COUNTBLANK(OFFSET(A$1,,,SUMPRODUCT(MAX(ROW(E$1:E1306)*(E1307=E$1:E1306))))))</f>
        <v/>
      </c>
      <c r="K1307" s="14" t="str">
        <f aca="false">IF(OR(E1307="",E1307="!!!",F1307="NEW"),"",INDEX(J$1:J1306,SUMPRODUCT(MAX(ROW(E$1:E1306)*(E1307=E$1:E1306)))))</f>
        <v/>
      </c>
      <c r="L1307" s="15"/>
    </row>
    <row r="1308" customFormat="false" ht="12.75" hidden="false" customHeight="false" outlineLevel="0" collapsed="false">
      <c r="A1308" s="0" t="s">
        <v>168</v>
      </c>
      <c r="E1308" s="9" t="str">
        <f aca="false">IF(D1308="?OLD","!!!","")</f>
        <v/>
      </c>
      <c r="F1308" s="10" t="str">
        <f aca="false">IF(OR(E1308="",E1308="!!!"),"",IF(NOT(ISNA(VLOOKUP(E1308,E$1:E1307,1,FALSE()))),"OLD",IF(AND(E1308&lt;&gt;"",E1308&lt;&gt;"!!!"),"NEW","")))</f>
        <v/>
      </c>
      <c r="G1308" s="11" t="str">
        <f aca="false">IF(OR(E1308="",E1308="!!!"),"",IF(OR(J1308=0,AND(J1308=1,K1308=1),AND(J1308=1,I1308="SBJ"),AND(J1308=1,I1308=0)),"?IN_FOCUS",IF(J1308&lt;=2,"?ACTIVATED",IF(J1308&lt;&gt;"","?FAMILIAR",IF(F1308="NEW",IF(ISNA(VLOOKUP(E1308,#REF!,1,FALSE())),"?TYPE_IDENTIFIABLE","?REFERENTIAL"),"_")))))</f>
        <v/>
      </c>
      <c r="H1308" s="12" t="str">
        <f aca="false">IF(J1308&lt;&gt;1,"",IF(I1308="SBJ","CB","?"))</f>
        <v/>
      </c>
      <c r="I1308" s="13" t="str">
        <f aca="false">IF(OR(E1308="",E1308="!!!",F1308="NEW"),"",INDEX(B$2:B1307,-1+SUMPRODUCT(MAX(ROW(E$2:E1307)*(E1308=E$2:E1307)))))</f>
        <v/>
      </c>
      <c r="J1308" s="14" t="str">
        <f aca="true">IF(OR(E1308="",E1308="!!!",F1308="NEW"),"",COUNTBLANK(OFFSET(A$1,,,SUMPRODUCT(MAX(ROW(E$2:E1308)*(E1308=E$2:E1308)))))-COUNTBLANK(OFFSET(A$1,,,SUMPRODUCT(MAX(ROW(E$1:E1307)*(E1308=E$1:E1307))))))</f>
        <v/>
      </c>
      <c r="K1308" s="14" t="str">
        <f aca="false">IF(OR(E1308="",E1308="!!!",F1308="NEW"),"",INDEX(J$1:J1307,SUMPRODUCT(MAX(ROW(E$1:E1307)*(E1308=E$1:E1307)))))</f>
        <v/>
      </c>
      <c r="L1308" s="15"/>
    </row>
    <row r="1309" customFormat="false" ht="12.75" hidden="false" customHeight="false" outlineLevel="0" collapsed="false">
      <c r="A1309" s="0" t="s">
        <v>113</v>
      </c>
      <c r="E1309" s="9" t="str">
        <f aca="false">IF(D1309="?OLD","!!!","")</f>
        <v/>
      </c>
      <c r="F1309" s="10" t="str">
        <f aca="false">IF(OR(E1309="",E1309="!!!"),"",IF(NOT(ISNA(VLOOKUP(E1309,E$1:E1308,1,FALSE()))),"OLD",IF(AND(E1309&lt;&gt;"",E1309&lt;&gt;"!!!"),"NEW","")))</f>
        <v/>
      </c>
      <c r="G1309" s="11" t="str">
        <f aca="false">IF(OR(E1309="",E1309="!!!"),"",IF(OR(J1309=0,AND(J1309=1,K1309=1),AND(J1309=1,I1309="SBJ"),AND(J1309=1,I1309=0)),"?IN_FOCUS",IF(J1309&lt;=2,"?ACTIVATED",IF(J1309&lt;&gt;"","?FAMILIAR",IF(F1309="NEW",IF(ISNA(VLOOKUP(E1309,#REF!,1,FALSE())),"?TYPE_IDENTIFIABLE","?REFERENTIAL"),"_")))))</f>
        <v/>
      </c>
      <c r="H1309" s="12" t="str">
        <f aca="false">IF(J1309&lt;&gt;1,"",IF(I1309="SBJ","CB","?"))</f>
        <v/>
      </c>
      <c r="I1309" s="13" t="str">
        <f aca="false">IF(OR(E1309="",E1309="!!!",F1309="NEW"),"",INDEX(B$2:B1308,-1+SUMPRODUCT(MAX(ROW(E$2:E1308)*(E1309=E$2:E1308)))))</f>
        <v/>
      </c>
      <c r="J1309" s="14" t="str">
        <f aca="true">IF(OR(E1309="",E1309="!!!",F1309="NEW"),"",COUNTBLANK(OFFSET(A$1,,,SUMPRODUCT(MAX(ROW(E$2:E1309)*(E1309=E$2:E1309)))))-COUNTBLANK(OFFSET(A$1,,,SUMPRODUCT(MAX(ROW(E$1:E1308)*(E1309=E$1:E1308))))))</f>
        <v/>
      </c>
      <c r="K1309" s="14" t="str">
        <f aca="false">IF(OR(E1309="",E1309="!!!",F1309="NEW"),"",INDEX(J$1:J1308,SUMPRODUCT(MAX(ROW(E$1:E1308)*(E1309=E$1:E1308)))))</f>
        <v/>
      </c>
      <c r="L1309" s="15"/>
    </row>
    <row r="1310" customFormat="false" ht="12.75" hidden="false" customHeight="false" outlineLevel="0" collapsed="false">
      <c r="A1310" s="0" t="s">
        <v>133</v>
      </c>
      <c r="E1310" s="9" t="str">
        <f aca="false">IF(D1310="?OLD","!!!","")</f>
        <v/>
      </c>
      <c r="F1310" s="10" t="str">
        <f aca="false">IF(OR(E1310="",E1310="!!!"),"",IF(NOT(ISNA(VLOOKUP(E1310,E$1:E1309,1,FALSE()))),"OLD",IF(AND(E1310&lt;&gt;"",E1310&lt;&gt;"!!!"),"NEW","")))</f>
        <v/>
      </c>
      <c r="G1310" s="11" t="str">
        <f aca="false">IF(OR(E1310="",E1310="!!!"),"",IF(OR(J1310=0,AND(J1310=1,K1310=1),AND(J1310=1,I1310="SBJ"),AND(J1310=1,I1310=0)),"?IN_FOCUS",IF(J1310&lt;=2,"?ACTIVATED",IF(J1310&lt;&gt;"","?FAMILIAR",IF(F1310="NEW",IF(ISNA(VLOOKUP(E1310,#REF!,1,FALSE())),"?TYPE_IDENTIFIABLE","?REFERENTIAL"),"_")))))</f>
        <v/>
      </c>
      <c r="H1310" s="12" t="str">
        <f aca="false">IF(J1310&lt;&gt;1,"",IF(I1310="SBJ","CB","?"))</f>
        <v/>
      </c>
      <c r="I1310" s="13" t="str">
        <f aca="false">IF(OR(E1310="",E1310="!!!",F1310="NEW"),"",INDEX(B$2:B1309,-1+SUMPRODUCT(MAX(ROW(E$2:E1309)*(E1310=E$2:E1309)))))</f>
        <v/>
      </c>
      <c r="J1310" s="14" t="str">
        <f aca="true">IF(OR(E1310="",E1310="!!!",F1310="NEW"),"",COUNTBLANK(OFFSET(A$1,,,SUMPRODUCT(MAX(ROW(E$2:E1310)*(E1310=E$2:E1310)))))-COUNTBLANK(OFFSET(A$1,,,SUMPRODUCT(MAX(ROW(E$1:E1309)*(E1310=E$1:E1309))))))</f>
        <v/>
      </c>
      <c r="K1310" s="14" t="str">
        <f aca="false">IF(OR(E1310="",E1310="!!!",F1310="NEW"),"",INDEX(J$1:J1309,SUMPRODUCT(MAX(ROW(E$1:E1309)*(E1310=E$1:E1309)))))</f>
        <v/>
      </c>
      <c r="L1310" s="15"/>
    </row>
    <row r="1311" customFormat="false" ht="12.75" hidden="false" customHeight="false" outlineLevel="0" collapsed="false">
      <c r="A1311" s="0" t="s">
        <v>31</v>
      </c>
      <c r="E1311" s="9" t="str">
        <f aca="false">IF(D1311="?OLD","!!!","")</f>
        <v/>
      </c>
      <c r="F1311" s="10" t="str">
        <f aca="false">IF(OR(E1311="",E1311="!!!"),"",IF(NOT(ISNA(VLOOKUP(E1311,E$1:E1310,1,FALSE()))),"OLD",IF(AND(E1311&lt;&gt;"",E1311&lt;&gt;"!!!"),"NEW","")))</f>
        <v/>
      </c>
      <c r="G1311" s="11" t="str">
        <f aca="false">IF(OR(E1311="",E1311="!!!"),"",IF(OR(J1311=0,AND(J1311=1,K1311=1),AND(J1311=1,I1311="SBJ"),AND(J1311=1,I1311=0)),"?IN_FOCUS",IF(J1311&lt;=2,"?ACTIVATED",IF(J1311&lt;&gt;"","?FAMILIAR",IF(F1311="NEW",IF(ISNA(VLOOKUP(E1311,#REF!,1,FALSE())),"?TYPE_IDENTIFIABLE","?REFERENTIAL"),"_")))))</f>
        <v/>
      </c>
      <c r="H1311" s="12" t="str">
        <f aca="false">IF(J1311&lt;&gt;1,"",IF(I1311="SBJ","CB","?"))</f>
        <v/>
      </c>
      <c r="I1311" s="13" t="str">
        <f aca="false">IF(OR(E1311="",E1311="!!!",F1311="NEW"),"",INDEX(B$2:B1310,-1+SUMPRODUCT(MAX(ROW(E$2:E1310)*(E1311=E$2:E1310)))))</f>
        <v/>
      </c>
      <c r="J1311" s="14" t="str">
        <f aca="true">IF(OR(E1311="",E1311="!!!",F1311="NEW"),"",COUNTBLANK(OFFSET(A$1,,,SUMPRODUCT(MAX(ROW(E$2:E1311)*(E1311=E$2:E1311)))))-COUNTBLANK(OFFSET(A$1,,,SUMPRODUCT(MAX(ROW(E$1:E1310)*(E1311=E$1:E1310))))))</f>
        <v/>
      </c>
      <c r="K1311" s="14" t="str">
        <f aca="false">IF(OR(E1311="",E1311="!!!",F1311="NEW"),"",INDEX(J$1:J1310,SUMPRODUCT(MAX(ROW(E$1:E1310)*(E1311=E$1:E1310)))))</f>
        <v/>
      </c>
      <c r="L1311" s="15"/>
    </row>
    <row r="1312" customFormat="false" ht="12.75" hidden="false" customHeight="false" outlineLevel="0" collapsed="false">
      <c r="A1312" s="0" t="s">
        <v>309</v>
      </c>
      <c r="E1312" s="9" t="str">
        <f aca="false">IF(D1312="?OLD","!!!","")</f>
        <v/>
      </c>
      <c r="F1312" s="10" t="str">
        <f aca="false">IF(OR(E1312="",E1312="!!!"),"",IF(NOT(ISNA(VLOOKUP(E1312,E$1:E1311,1,FALSE()))),"OLD",IF(AND(E1312&lt;&gt;"",E1312&lt;&gt;"!!!"),"NEW","")))</f>
        <v/>
      </c>
      <c r="G1312" s="11" t="str">
        <f aca="false">IF(OR(E1312="",E1312="!!!"),"",IF(OR(J1312=0,AND(J1312=1,K1312=1),AND(J1312=1,I1312="SBJ"),AND(J1312=1,I1312=0)),"?IN_FOCUS",IF(J1312&lt;=2,"?ACTIVATED",IF(J1312&lt;&gt;"","?FAMILIAR",IF(F1312="NEW",IF(ISNA(VLOOKUP(E1312,#REF!,1,FALSE())),"?TYPE_IDENTIFIABLE","?REFERENTIAL"),"_")))))</f>
        <v/>
      </c>
      <c r="H1312" s="12" t="str">
        <f aca="false">IF(J1312&lt;&gt;1,"",IF(I1312="SBJ","CB","?"))</f>
        <v/>
      </c>
      <c r="I1312" s="13" t="str">
        <f aca="false">IF(OR(E1312="",E1312="!!!",F1312="NEW"),"",INDEX(B$2:B1311,-1+SUMPRODUCT(MAX(ROW(E$2:E1311)*(E1312=E$2:E1311)))))</f>
        <v/>
      </c>
      <c r="J1312" s="14" t="str">
        <f aca="true">IF(OR(E1312="",E1312="!!!",F1312="NEW"),"",COUNTBLANK(OFFSET(A$1,,,SUMPRODUCT(MAX(ROW(E$2:E1312)*(E1312=E$2:E1312)))))-COUNTBLANK(OFFSET(A$1,,,SUMPRODUCT(MAX(ROW(E$1:E1311)*(E1312=E$1:E1311))))))</f>
        <v/>
      </c>
      <c r="K1312" s="14" t="str">
        <f aca="false">IF(OR(E1312="",E1312="!!!",F1312="NEW"),"",INDEX(J$1:J1311,SUMPRODUCT(MAX(ROW(E$1:E1311)*(E1312=E$1:E1311)))))</f>
        <v/>
      </c>
      <c r="L1312" s="15"/>
    </row>
    <row r="1313" customFormat="false" ht="12.75" hidden="false" customHeight="false" outlineLevel="0" collapsed="false">
      <c r="A1313" s="0" t="s">
        <v>73</v>
      </c>
      <c r="E1313" s="9" t="str">
        <f aca="false">IF(D1313="?OLD","!!!","")</f>
        <v/>
      </c>
      <c r="F1313" s="10" t="str">
        <f aca="false">IF(OR(E1313="",E1313="!!!"),"",IF(NOT(ISNA(VLOOKUP(E1313,E$1:E1312,1,FALSE()))),"OLD",IF(AND(E1313&lt;&gt;"",E1313&lt;&gt;"!!!"),"NEW","")))</f>
        <v/>
      </c>
      <c r="G1313" s="11" t="str">
        <f aca="false">IF(OR(E1313="",E1313="!!!"),"",IF(OR(J1313=0,AND(J1313=1,K1313=1),AND(J1313=1,I1313="SBJ"),AND(J1313=1,I1313=0)),"?IN_FOCUS",IF(J1313&lt;=2,"?ACTIVATED",IF(J1313&lt;&gt;"","?FAMILIAR",IF(F1313="NEW",IF(ISNA(VLOOKUP(E1313,#REF!,1,FALSE())),"?TYPE_IDENTIFIABLE","?REFERENTIAL"),"_")))))</f>
        <v/>
      </c>
      <c r="H1313" s="12" t="str">
        <f aca="false">IF(J1313&lt;&gt;1,"",IF(I1313="SBJ","CB","?"))</f>
        <v/>
      </c>
      <c r="I1313" s="13" t="str">
        <f aca="false">IF(OR(E1313="",E1313="!!!",F1313="NEW"),"",INDEX(B$2:B1312,-1+SUMPRODUCT(MAX(ROW(E$2:E1312)*(E1313=E$2:E1312)))))</f>
        <v/>
      </c>
      <c r="J1313" s="14" t="str">
        <f aca="true">IF(OR(E1313="",E1313="!!!",F1313="NEW"),"",COUNTBLANK(OFFSET(A$1,,,SUMPRODUCT(MAX(ROW(E$2:E1313)*(E1313=E$2:E1313)))))-COUNTBLANK(OFFSET(A$1,,,SUMPRODUCT(MAX(ROW(E$1:E1312)*(E1313=E$1:E1312))))))</f>
        <v/>
      </c>
      <c r="K1313" s="14" t="str">
        <f aca="false">IF(OR(E1313="",E1313="!!!",F1313="NEW"),"",INDEX(J$1:J1312,SUMPRODUCT(MAX(ROW(E$1:E1312)*(E1313=E$1:E1312)))))</f>
        <v/>
      </c>
      <c r="L1313" s="15"/>
    </row>
    <row r="1314" customFormat="false" ht="12.75" hidden="false" customHeight="false" outlineLevel="0" collapsed="false">
      <c r="E1314" s="9" t="str">
        <f aca="false">IF(D1314="?OLD","!!!","")</f>
        <v/>
      </c>
      <c r="F1314" s="10" t="str">
        <f aca="false">IF(OR(E1314="",E1314="!!!"),"",IF(NOT(ISNA(VLOOKUP(E1314,E$1:E1313,1,FALSE()))),"OLD",IF(AND(E1314&lt;&gt;"",E1314&lt;&gt;"!!!"),"NEW","")))</f>
        <v/>
      </c>
      <c r="G1314" s="11" t="str">
        <f aca="false">IF(OR(E1314="",E1314="!!!"),"",IF(OR(J1314=0,AND(J1314=1,K1314=1),AND(J1314=1,I1314="SBJ"),AND(J1314=1,I1314=0)),"?IN_FOCUS",IF(J1314&lt;=2,"?ACTIVATED",IF(J1314&lt;&gt;"","?FAMILIAR",IF(F1314="NEW",IF(ISNA(VLOOKUP(E1314,#REF!,1,FALSE())),"?TYPE_IDENTIFIABLE","?REFERENTIAL"),"_")))))</f>
        <v/>
      </c>
      <c r="H1314" s="12" t="str">
        <f aca="false">IF(J1314&lt;&gt;1,"",IF(I1314="SBJ","CB","?"))</f>
        <v/>
      </c>
      <c r="I1314" s="13" t="str">
        <f aca="false">IF(OR(E1314="",E1314="!!!",F1314="NEW"),"",INDEX(B$2:B1313,-1+SUMPRODUCT(MAX(ROW(E$2:E1313)*(E1314=E$2:E1313)))))</f>
        <v/>
      </c>
      <c r="J1314" s="14" t="str">
        <f aca="true">IF(OR(E1314="",E1314="!!!",F1314="NEW"),"",COUNTBLANK(OFFSET(A$1,,,SUMPRODUCT(MAX(ROW(E$2:E1314)*(E1314=E$2:E1314)))))-COUNTBLANK(OFFSET(A$1,,,SUMPRODUCT(MAX(ROW(E$1:E1313)*(E1314=E$1:E1313))))))</f>
        <v/>
      </c>
      <c r="K1314" s="14" t="str">
        <f aca="false">IF(OR(E1314="",E1314="!!!",F1314="NEW"),"",INDEX(J$1:J1313,SUMPRODUCT(MAX(ROW(E$1:E1313)*(E1314=E$1:E1313)))))</f>
        <v/>
      </c>
      <c r="L1314" s="15"/>
    </row>
    <row r="1315" customFormat="false" ht="12.75" hidden="false" customHeight="false" outlineLevel="0" collapsed="false">
      <c r="A1315" s="0" t="s">
        <v>601</v>
      </c>
      <c r="E1315" s="9" t="str">
        <f aca="false">IF(D1315="?OLD","!!!","")</f>
        <v/>
      </c>
      <c r="F1315" s="10" t="str">
        <f aca="false">IF(OR(E1315="",E1315="!!!"),"",IF(NOT(ISNA(VLOOKUP(E1315,E$1:E1314,1,FALSE()))),"OLD",IF(AND(E1315&lt;&gt;"",E1315&lt;&gt;"!!!"),"NEW","")))</f>
        <v/>
      </c>
      <c r="G1315" s="11" t="str">
        <f aca="false">IF(OR(E1315="",E1315="!!!"),"",IF(OR(J1315=0,AND(J1315=1,K1315=1),AND(J1315=1,I1315="SBJ"),AND(J1315=1,I1315=0)),"?IN_FOCUS",IF(J1315&lt;=2,"?ACTIVATED",IF(J1315&lt;&gt;"","?FAMILIAR",IF(F1315="NEW",IF(ISNA(VLOOKUP(E1315,#REF!,1,FALSE())),"?TYPE_IDENTIFIABLE","?REFERENTIAL"),"_")))))</f>
        <v/>
      </c>
      <c r="H1315" s="12" t="str">
        <f aca="false">IF(J1315&lt;&gt;1,"",IF(I1315="SBJ","CB","?"))</f>
        <v/>
      </c>
      <c r="I1315" s="13" t="str">
        <f aca="false">IF(OR(E1315="",E1315="!!!",F1315="NEW"),"",INDEX(B$2:B1314,-1+SUMPRODUCT(MAX(ROW(E$2:E1314)*(E1315=E$2:E1314)))))</f>
        <v/>
      </c>
      <c r="J1315" s="14" t="str">
        <f aca="true">IF(OR(E1315="",E1315="!!!",F1315="NEW"),"",COUNTBLANK(OFFSET(A$1,,,SUMPRODUCT(MAX(ROW(E$2:E1315)*(E1315=E$2:E1315)))))-COUNTBLANK(OFFSET(A$1,,,SUMPRODUCT(MAX(ROW(E$1:E1314)*(E1315=E$1:E1314))))))</f>
        <v/>
      </c>
      <c r="K1315" s="14" t="str">
        <f aca="false">IF(OR(E1315="",E1315="!!!",F1315="NEW"),"",INDEX(J$1:J1314,SUMPRODUCT(MAX(ROW(E$1:E1314)*(E1315=E$1:E1314)))))</f>
        <v/>
      </c>
      <c r="L1315" s="15"/>
    </row>
    <row r="1316" customFormat="false" ht="12.75" hidden="false" customHeight="false" outlineLevel="0" collapsed="false">
      <c r="A1316" s="0" t="s">
        <v>224</v>
      </c>
      <c r="B1316" s="0" t="s">
        <v>14</v>
      </c>
      <c r="C1316" s="0" t="s">
        <v>38</v>
      </c>
      <c r="D1316" s="0" t="s">
        <v>29</v>
      </c>
      <c r="E1316" s="9" t="str">
        <f aca="false">IF(D1316="?OLD","!!!","")</f>
        <v>!!!</v>
      </c>
      <c r="F1316" s="10" t="str">
        <f aca="false">IF(OR(E1316="",E1316="!!!"),"",IF(NOT(ISNA(VLOOKUP(E1316,E$1:E1315,1,FALSE()))),"OLD",IF(AND(E1316&lt;&gt;"",E1316&lt;&gt;"!!!"),"NEW","")))</f>
        <v/>
      </c>
      <c r="G1316" s="11" t="str">
        <f aca="false">IF(OR(E1316="",E1316="!!!"),"",IF(OR(J1316=0,AND(J1316=1,K1316=1),AND(J1316=1,I1316="SBJ"),AND(J1316=1,I1316=0)),"?IN_FOCUS",IF(J1316&lt;=2,"?ACTIVATED",IF(J1316&lt;&gt;"","?FAMILIAR",IF(F1316="NEW",IF(ISNA(VLOOKUP(E1316,#REF!,1,FALSE())),"?TYPE_IDENTIFIABLE","?REFERENTIAL"),"_")))))</f>
        <v/>
      </c>
      <c r="H1316" s="12" t="str">
        <f aca="false">IF(J1316&lt;&gt;1,"",IF(I1316="SBJ","CB","?"))</f>
        <v/>
      </c>
      <c r="I1316" s="13" t="str">
        <f aca="false">IF(OR(E1316="",E1316="!!!",F1316="NEW"),"",INDEX(B$2:B1315,-1+SUMPRODUCT(MAX(ROW(E$2:E1315)*(E1316=E$2:E1315)))))</f>
        <v/>
      </c>
      <c r="J1316" s="14" t="str">
        <f aca="true">IF(OR(E1316="",E1316="!!!",F1316="NEW"),"",COUNTBLANK(OFFSET(A$1,,,SUMPRODUCT(MAX(ROW(E$2:E1316)*(E1316=E$2:E1316)))))-COUNTBLANK(OFFSET(A$1,,,SUMPRODUCT(MAX(ROW(E$1:E1315)*(E1316=E$1:E1315))))))</f>
        <v/>
      </c>
      <c r="K1316" s="14" t="str">
        <f aca="false">IF(OR(E1316="",E1316="!!!",F1316="NEW"),"",INDEX(J$1:J1315,SUMPRODUCT(MAX(ROW(E$1:E1315)*(E1316=E$1:E1315)))))</f>
        <v/>
      </c>
      <c r="L1316" s="15"/>
    </row>
    <row r="1317" customFormat="false" ht="12.75" hidden="false" customHeight="false" outlineLevel="0" collapsed="false">
      <c r="A1317" s="0" t="s">
        <v>343</v>
      </c>
      <c r="E1317" s="9" t="str">
        <f aca="false">IF(D1317="?OLD","!!!","")</f>
        <v/>
      </c>
      <c r="F1317" s="10" t="str">
        <f aca="false">IF(OR(E1317="",E1317="!!!"),"",IF(NOT(ISNA(VLOOKUP(E1317,E$1:E1316,1,FALSE()))),"OLD",IF(AND(E1317&lt;&gt;"",E1317&lt;&gt;"!!!"),"NEW","")))</f>
        <v/>
      </c>
      <c r="G1317" s="11" t="str">
        <f aca="false">IF(OR(E1317="",E1317="!!!"),"",IF(OR(J1317=0,AND(J1317=1,K1317=1),AND(J1317=1,I1317="SBJ"),AND(J1317=1,I1317=0)),"?IN_FOCUS",IF(J1317&lt;=2,"?ACTIVATED",IF(J1317&lt;&gt;"","?FAMILIAR",IF(F1317="NEW",IF(ISNA(VLOOKUP(E1317,#REF!,1,FALSE())),"?TYPE_IDENTIFIABLE","?REFERENTIAL"),"_")))))</f>
        <v/>
      </c>
      <c r="H1317" s="12" t="str">
        <f aca="false">IF(J1317&lt;&gt;1,"",IF(I1317="SBJ","CB","?"))</f>
        <v/>
      </c>
      <c r="I1317" s="13" t="str">
        <f aca="false">IF(OR(E1317="",E1317="!!!",F1317="NEW"),"",INDEX(B$2:B1316,-1+SUMPRODUCT(MAX(ROW(E$2:E1316)*(E1317=E$2:E1316)))))</f>
        <v/>
      </c>
      <c r="J1317" s="14" t="str">
        <f aca="true">IF(OR(E1317="",E1317="!!!",F1317="NEW"),"",COUNTBLANK(OFFSET(A$1,,,SUMPRODUCT(MAX(ROW(E$2:E1317)*(E1317=E$2:E1317)))))-COUNTBLANK(OFFSET(A$1,,,SUMPRODUCT(MAX(ROW(E$1:E1316)*(E1317=E$1:E1316))))))</f>
        <v/>
      </c>
      <c r="K1317" s="14" t="str">
        <f aca="false">IF(OR(E1317="",E1317="!!!",F1317="NEW"),"",INDEX(J$1:J1316,SUMPRODUCT(MAX(ROW(E$1:E1316)*(E1317=E$1:E1316)))))</f>
        <v/>
      </c>
      <c r="L1317" s="15"/>
    </row>
    <row r="1318" customFormat="false" ht="12.75" hidden="false" customHeight="false" outlineLevel="0" collapsed="false">
      <c r="A1318" s="0" t="s">
        <v>602</v>
      </c>
      <c r="E1318" s="9" t="str">
        <f aca="false">IF(D1318="?OLD","!!!","")</f>
        <v/>
      </c>
      <c r="F1318" s="10" t="str">
        <f aca="false">IF(OR(E1318="",E1318="!!!"),"",IF(NOT(ISNA(VLOOKUP(E1318,E$1:E1317,1,FALSE()))),"OLD",IF(AND(E1318&lt;&gt;"",E1318&lt;&gt;"!!!"),"NEW","")))</f>
        <v/>
      </c>
      <c r="G1318" s="11" t="str">
        <f aca="false">IF(OR(E1318="",E1318="!!!"),"",IF(OR(J1318=0,AND(J1318=1,K1318=1),AND(J1318=1,I1318="SBJ"),AND(J1318=1,I1318=0)),"?IN_FOCUS",IF(J1318&lt;=2,"?ACTIVATED",IF(J1318&lt;&gt;"","?FAMILIAR",IF(F1318="NEW",IF(ISNA(VLOOKUP(E1318,#REF!,1,FALSE())),"?TYPE_IDENTIFIABLE","?REFERENTIAL"),"_")))))</f>
        <v/>
      </c>
      <c r="H1318" s="12" t="str">
        <f aca="false">IF(J1318&lt;&gt;1,"",IF(I1318="SBJ","CB","?"))</f>
        <v/>
      </c>
      <c r="I1318" s="13" t="str">
        <f aca="false">IF(OR(E1318="",E1318="!!!",F1318="NEW"),"",INDEX(B$2:B1317,-1+SUMPRODUCT(MAX(ROW(E$2:E1317)*(E1318=E$2:E1317)))))</f>
        <v/>
      </c>
      <c r="J1318" s="14" t="str">
        <f aca="true">IF(OR(E1318="",E1318="!!!",F1318="NEW"),"",COUNTBLANK(OFFSET(A$1,,,SUMPRODUCT(MAX(ROW(E$2:E1318)*(E1318=E$2:E1318)))))-COUNTBLANK(OFFSET(A$1,,,SUMPRODUCT(MAX(ROW(E$1:E1317)*(E1318=E$1:E1317))))))</f>
        <v/>
      </c>
      <c r="K1318" s="14" t="str">
        <f aca="false">IF(OR(E1318="",E1318="!!!",F1318="NEW"),"",INDEX(J$1:J1317,SUMPRODUCT(MAX(ROW(E$1:E1317)*(E1318=E$1:E1317)))))</f>
        <v/>
      </c>
      <c r="L1318" s="15"/>
    </row>
    <row r="1319" customFormat="false" ht="12.75" hidden="false" customHeight="false" outlineLevel="0" collapsed="false">
      <c r="A1319" s="0" t="s">
        <v>603</v>
      </c>
      <c r="E1319" s="9" t="str">
        <f aca="false">IF(D1319="?OLD","!!!","")</f>
        <v/>
      </c>
      <c r="F1319" s="10" t="str">
        <f aca="false">IF(OR(E1319="",E1319="!!!"),"",IF(NOT(ISNA(VLOOKUP(E1319,E$1:E1318,1,FALSE()))),"OLD",IF(AND(E1319&lt;&gt;"",E1319&lt;&gt;"!!!"),"NEW","")))</f>
        <v/>
      </c>
      <c r="G1319" s="11" t="str">
        <f aca="false">IF(OR(E1319="",E1319="!!!"),"",IF(OR(J1319=0,AND(J1319=1,K1319=1),AND(J1319=1,I1319="SBJ"),AND(J1319=1,I1319=0)),"?IN_FOCUS",IF(J1319&lt;=2,"?ACTIVATED",IF(J1319&lt;&gt;"","?FAMILIAR",IF(F1319="NEW",IF(ISNA(VLOOKUP(E1319,#REF!,1,FALSE())),"?TYPE_IDENTIFIABLE","?REFERENTIAL"),"_")))))</f>
        <v/>
      </c>
      <c r="H1319" s="12" t="str">
        <f aca="false">IF(J1319&lt;&gt;1,"",IF(I1319="SBJ","CB","?"))</f>
        <v/>
      </c>
      <c r="I1319" s="13" t="str">
        <f aca="false">IF(OR(E1319="",E1319="!!!",F1319="NEW"),"",INDEX(B$2:B1318,-1+SUMPRODUCT(MAX(ROW(E$2:E1318)*(E1319=E$2:E1318)))))</f>
        <v/>
      </c>
      <c r="J1319" s="14" t="str">
        <f aca="true">IF(OR(E1319="",E1319="!!!",F1319="NEW"),"",COUNTBLANK(OFFSET(A$1,,,SUMPRODUCT(MAX(ROW(E$2:E1319)*(E1319=E$2:E1319)))))-COUNTBLANK(OFFSET(A$1,,,SUMPRODUCT(MAX(ROW(E$1:E1318)*(E1319=E$1:E1318))))))</f>
        <v/>
      </c>
      <c r="K1319" s="14" t="str">
        <f aca="false">IF(OR(E1319="",E1319="!!!",F1319="NEW"),"",INDEX(J$1:J1318,SUMPRODUCT(MAX(ROW(E$1:E1318)*(E1319=E$1:E1318)))))</f>
        <v/>
      </c>
      <c r="L1319" s="15"/>
    </row>
    <row r="1320" customFormat="false" ht="12.75" hidden="false" customHeight="false" outlineLevel="0" collapsed="false">
      <c r="A1320" s="0" t="s">
        <v>604</v>
      </c>
      <c r="B1320" s="0" t="s">
        <v>62</v>
      </c>
      <c r="C1320" s="0" t="s">
        <v>364</v>
      </c>
      <c r="E1320" s="9" t="str">
        <f aca="false">IF(D1320="?OLD","!!!","")</f>
        <v/>
      </c>
      <c r="F1320" s="10" t="str">
        <f aca="false">IF(OR(E1320="",E1320="!!!"),"",IF(NOT(ISNA(VLOOKUP(E1320,E$1:E1319,1,FALSE()))),"OLD",IF(AND(E1320&lt;&gt;"",E1320&lt;&gt;"!!!"),"NEW","")))</f>
        <v/>
      </c>
      <c r="G1320" s="11" t="str">
        <f aca="false">IF(OR(E1320="",E1320="!!!"),"",IF(OR(J1320=0,AND(J1320=1,K1320=1),AND(J1320=1,I1320="SBJ"),AND(J1320=1,I1320=0)),"?IN_FOCUS",IF(J1320&lt;=2,"?ACTIVATED",IF(J1320&lt;&gt;"","?FAMILIAR",IF(F1320="NEW",IF(ISNA(VLOOKUP(E1320,#REF!,1,FALSE())),"?TYPE_IDENTIFIABLE","?REFERENTIAL"),"_")))))</f>
        <v/>
      </c>
      <c r="H1320" s="12" t="str">
        <f aca="false">IF(J1320&lt;&gt;1,"",IF(I1320="SBJ","CB","?"))</f>
        <v/>
      </c>
      <c r="I1320" s="13" t="str">
        <f aca="false">IF(OR(E1320="",E1320="!!!",F1320="NEW"),"",INDEX(B$2:B1319,-1+SUMPRODUCT(MAX(ROW(E$2:E1319)*(E1320=E$2:E1319)))))</f>
        <v/>
      </c>
      <c r="J1320" s="14" t="str">
        <f aca="true">IF(OR(E1320="",E1320="!!!",F1320="NEW"),"",COUNTBLANK(OFFSET(A$1,,,SUMPRODUCT(MAX(ROW(E$2:E1320)*(E1320=E$2:E1320)))))-COUNTBLANK(OFFSET(A$1,,,SUMPRODUCT(MAX(ROW(E$1:E1319)*(E1320=E$1:E1319))))))</f>
        <v/>
      </c>
      <c r="K1320" s="14" t="str">
        <f aca="false">IF(OR(E1320="",E1320="!!!",F1320="NEW"),"",INDEX(J$1:J1319,SUMPRODUCT(MAX(ROW(E$1:E1319)*(E1320=E$1:E1319)))))</f>
        <v/>
      </c>
      <c r="L1320" s="15"/>
    </row>
    <row r="1321" customFormat="false" ht="12.75" hidden="false" customHeight="false" outlineLevel="0" collapsed="false">
      <c r="A1321" s="0" t="s">
        <v>73</v>
      </c>
      <c r="E1321" s="9" t="str">
        <f aca="false">IF(D1321="?OLD","!!!","")</f>
        <v/>
      </c>
      <c r="F1321" s="10" t="str">
        <f aca="false">IF(OR(E1321="",E1321="!!!"),"",IF(NOT(ISNA(VLOOKUP(E1321,E$1:E1320,1,FALSE()))),"OLD",IF(AND(E1321&lt;&gt;"",E1321&lt;&gt;"!!!"),"NEW","")))</f>
        <v/>
      </c>
      <c r="G1321" s="11" t="str">
        <f aca="false">IF(OR(E1321="",E1321="!!!"),"",IF(OR(J1321=0,AND(J1321=1,K1321=1),AND(J1321=1,I1321="SBJ"),AND(J1321=1,I1321=0)),"?IN_FOCUS",IF(J1321&lt;=2,"?ACTIVATED",IF(J1321&lt;&gt;"","?FAMILIAR",IF(F1321="NEW",IF(ISNA(VLOOKUP(E1321,#REF!,1,FALSE())),"?TYPE_IDENTIFIABLE","?REFERENTIAL"),"_")))))</f>
        <v/>
      </c>
      <c r="H1321" s="12" t="str">
        <f aca="false">IF(J1321&lt;&gt;1,"",IF(I1321="SBJ","CB","?"))</f>
        <v/>
      </c>
      <c r="I1321" s="13" t="str">
        <f aca="false">IF(OR(E1321="",E1321="!!!",F1321="NEW"),"",INDEX(B$2:B1320,-1+SUMPRODUCT(MAX(ROW(E$2:E1320)*(E1321=E$2:E1320)))))</f>
        <v/>
      </c>
      <c r="J1321" s="14" t="str">
        <f aca="true">IF(OR(E1321="",E1321="!!!",F1321="NEW"),"",COUNTBLANK(OFFSET(A$1,,,SUMPRODUCT(MAX(ROW(E$2:E1321)*(E1321=E$2:E1321)))))-COUNTBLANK(OFFSET(A$1,,,SUMPRODUCT(MAX(ROW(E$1:E1320)*(E1321=E$1:E1320))))))</f>
        <v/>
      </c>
      <c r="K1321" s="14" t="str">
        <f aca="false">IF(OR(E1321="",E1321="!!!",F1321="NEW"),"",INDEX(J$1:J1320,SUMPRODUCT(MAX(ROW(E$1:E1320)*(E1321=E$1:E1320)))))</f>
        <v/>
      </c>
      <c r="L1321" s="15"/>
    </row>
    <row r="1322" customFormat="false" ht="12.75" hidden="false" customHeight="false" outlineLevel="0" collapsed="false">
      <c r="E1322" s="9" t="str">
        <f aca="false">IF(D1322="?OLD","!!!","")</f>
        <v/>
      </c>
      <c r="F1322" s="10" t="str">
        <f aca="false">IF(OR(E1322="",E1322="!!!"),"",IF(NOT(ISNA(VLOOKUP(E1322,E$1:E1321,1,FALSE()))),"OLD",IF(AND(E1322&lt;&gt;"",E1322&lt;&gt;"!!!"),"NEW","")))</f>
        <v/>
      </c>
      <c r="G1322" s="11" t="str">
        <f aca="false">IF(OR(E1322="",E1322="!!!"),"",IF(OR(J1322=0,AND(J1322=1,K1322=1),AND(J1322=1,I1322="SBJ"),AND(J1322=1,I1322=0)),"?IN_FOCUS",IF(J1322&lt;=2,"?ACTIVATED",IF(J1322&lt;&gt;"","?FAMILIAR",IF(F1322="NEW",IF(ISNA(VLOOKUP(E1322,#REF!,1,FALSE())),"?TYPE_IDENTIFIABLE","?REFERENTIAL"),"_")))))</f>
        <v/>
      </c>
      <c r="H1322" s="12" t="str">
        <f aca="false">IF(J1322&lt;&gt;1,"",IF(I1322="SBJ","CB","?"))</f>
        <v/>
      </c>
      <c r="I1322" s="13" t="str">
        <f aca="false">IF(OR(E1322="",E1322="!!!",F1322="NEW"),"",INDEX(B$2:B1321,-1+SUMPRODUCT(MAX(ROW(E$2:E1321)*(E1322=E$2:E1321)))))</f>
        <v/>
      </c>
      <c r="J1322" s="14" t="str">
        <f aca="true">IF(OR(E1322="",E1322="!!!",F1322="NEW"),"",COUNTBLANK(OFFSET(A$1,,,SUMPRODUCT(MAX(ROW(E$2:E1322)*(E1322=E$2:E1322)))))-COUNTBLANK(OFFSET(A$1,,,SUMPRODUCT(MAX(ROW(E$1:E1321)*(E1322=E$1:E1321))))))</f>
        <v/>
      </c>
      <c r="K1322" s="14" t="str">
        <f aca="false">IF(OR(E1322="",E1322="!!!",F1322="NEW"),"",INDEX(J$1:J1321,SUMPRODUCT(MAX(ROW(E$1:E1321)*(E1322=E$1:E1321)))))</f>
        <v/>
      </c>
      <c r="L1322" s="15"/>
    </row>
    <row r="1323" customFormat="false" ht="12.75" hidden="false" customHeight="false" outlineLevel="0" collapsed="false">
      <c r="A1323" s="0" t="s">
        <v>260</v>
      </c>
      <c r="E1323" s="9" t="str">
        <f aca="false">IF(D1323="?OLD","!!!","")</f>
        <v/>
      </c>
      <c r="F1323" s="10" t="str">
        <f aca="false">IF(OR(E1323="",E1323="!!!"),"",IF(NOT(ISNA(VLOOKUP(E1323,E$1:E1322,1,FALSE()))),"OLD",IF(AND(E1323&lt;&gt;"",E1323&lt;&gt;"!!!"),"NEW","")))</f>
        <v/>
      </c>
      <c r="G1323" s="11" t="str">
        <f aca="false">IF(OR(E1323="",E1323="!!!"),"",IF(OR(J1323=0,AND(J1323=1,K1323=1),AND(J1323=1,I1323="SBJ"),AND(J1323=1,I1323=0)),"?IN_FOCUS",IF(J1323&lt;=2,"?ACTIVATED",IF(J1323&lt;&gt;"","?FAMILIAR",IF(F1323="NEW",IF(ISNA(VLOOKUP(E1323,#REF!,1,FALSE())),"?TYPE_IDENTIFIABLE","?REFERENTIAL"),"_")))))</f>
        <v/>
      </c>
      <c r="H1323" s="12" t="str">
        <f aca="false">IF(J1323&lt;&gt;1,"",IF(I1323="SBJ","CB","?"))</f>
        <v/>
      </c>
      <c r="I1323" s="13" t="str">
        <f aca="false">IF(OR(E1323="",E1323="!!!",F1323="NEW"),"",INDEX(B$2:B1322,-1+SUMPRODUCT(MAX(ROW(E$2:E1322)*(E1323=E$2:E1322)))))</f>
        <v/>
      </c>
      <c r="J1323" s="14" t="str">
        <f aca="true">IF(OR(E1323="",E1323="!!!",F1323="NEW"),"",COUNTBLANK(OFFSET(A$1,,,SUMPRODUCT(MAX(ROW(E$2:E1323)*(E1323=E$2:E1323)))))-COUNTBLANK(OFFSET(A$1,,,SUMPRODUCT(MAX(ROW(E$1:E1322)*(E1323=E$1:E1322))))))</f>
        <v/>
      </c>
      <c r="K1323" s="14" t="str">
        <f aca="false">IF(OR(E1323="",E1323="!!!",F1323="NEW"),"",INDEX(J$1:J1322,SUMPRODUCT(MAX(ROW(E$1:E1322)*(E1323=E$1:E1322)))))</f>
        <v/>
      </c>
      <c r="L1323" s="15"/>
    </row>
    <row r="1324" customFormat="false" ht="12.75" hidden="false" customHeight="false" outlineLevel="0" collapsed="false">
      <c r="A1324" s="0" t="s">
        <v>605</v>
      </c>
      <c r="E1324" s="9" t="str">
        <f aca="false">IF(D1324="?OLD","!!!","")</f>
        <v/>
      </c>
      <c r="F1324" s="10" t="str">
        <f aca="false">IF(OR(E1324="",E1324="!!!"),"",IF(NOT(ISNA(VLOOKUP(E1324,E$1:E1323,1,FALSE()))),"OLD",IF(AND(E1324&lt;&gt;"",E1324&lt;&gt;"!!!"),"NEW","")))</f>
        <v/>
      </c>
      <c r="G1324" s="11" t="str">
        <f aca="false">IF(OR(E1324="",E1324="!!!"),"",IF(OR(J1324=0,AND(J1324=1,K1324=1),AND(J1324=1,I1324="SBJ"),AND(J1324=1,I1324=0)),"?IN_FOCUS",IF(J1324&lt;=2,"?ACTIVATED",IF(J1324&lt;&gt;"","?FAMILIAR",IF(F1324="NEW",IF(ISNA(VLOOKUP(E1324,#REF!,1,FALSE())),"?TYPE_IDENTIFIABLE","?REFERENTIAL"),"_")))))</f>
        <v/>
      </c>
      <c r="H1324" s="12" t="str">
        <f aca="false">IF(J1324&lt;&gt;1,"",IF(I1324="SBJ","CB","?"))</f>
        <v/>
      </c>
      <c r="I1324" s="13" t="str">
        <f aca="false">IF(OR(E1324="",E1324="!!!",F1324="NEW"),"",INDEX(B$2:B1323,-1+SUMPRODUCT(MAX(ROW(E$2:E1323)*(E1324=E$2:E1323)))))</f>
        <v/>
      </c>
      <c r="J1324" s="14" t="str">
        <f aca="true">IF(OR(E1324="",E1324="!!!",F1324="NEW"),"",COUNTBLANK(OFFSET(A$1,,,SUMPRODUCT(MAX(ROW(E$2:E1324)*(E1324=E$2:E1324)))))-COUNTBLANK(OFFSET(A$1,,,SUMPRODUCT(MAX(ROW(E$1:E1323)*(E1324=E$1:E1323))))))</f>
        <v/>
      </c>
      <c r="K1324" s="14" t="str">
        <f aca="false">IF(OR(E1324="",E1324="!!!",F1324="NEW"),"",INDEX(J$1:J1323,SUMPRODUCT(MAX(ROW(E$1:E1323)*(E1324=E$1:E1323)))))</f>
        <v/>
      </c>
      <c r="L1324" s="15"/>
    </row>
    <row r="1325" customFormat="false" ht="12.75" hidden="false" customHeight="false" outlineLevel="0" collapsed="false">
      <c r="A1325" s="0" t="s">
        <v>208</v>
      </c>
      <c r="B1325" s="0" t="s">
        <v>28</v>
      </c>
      <c r="C1325" s="0" t="s">
        <v>55</v>
      </c>
      <c r="D1325" s="0" t="s">
        <v>29</v>
      </c>
      <c r="E1325" s="9" t="str">
        <f aca="false">IF(D1325="?OLD","!!!","")</f>
        <v>!!!</v>
      </c>
      <c r="F1325" s="10" t="str">
        <f aca="false">IF(OR(E1325="",E1325="!!!"),"",IF(NOT(ISNA(VLOOKUP(E1325,E$1:E1324,1,FALSE()))),"OLD",IF(AND(E1325&lt;&gt;"",E1325&lt;&gt;"!!!"),"NEW","")))</f>
        <v/>
      </c>
      <c r="G1325" s="11" t="str">
        <f aca="false">IF(OR(E1325="",E1325="!!!"),"",IF(OR(J1325=0,AND(J1325=1,K1325=1),AND(J1325=1,I1325="SBJ"),AND(J1325=1,I1325=0)),"?IN_FOCUS",IF(J1325&lt;=2,"?ACTIVATED",IF(J1325&lt;&gt;"","?FAMILIAR",IF(F1325="NEW",IF(ISNA(VLOOKUP(E1325,#REF!,1,FALSE())),"?TYPE_IDENTIFIABLE","?REFERENTIAL"),"_")))))</f>
        <v/>
      </c>
      <c r="H1325" s="12" t="str">
        <f aca="false">IF(J1325&lt;&gt;1,"",IF(I1325="SBJ","CB","?"))</f>
        <v/>
      </c>
      <c r="I1325" s="13" t="str">
        <f aca="false">IF(OR(E1325="",E1325="!!!",F1325="NEW"),"",INDEX(B$2:B1324,-1+SUMPRODUCT(MAX(ROW(E$2:E1324)*(E1325=E$2:E1324)))))</f>
        <v/>
      </c>
      <c r="J1325" s="14" t="str">
        <f aca="true">IF(OR(E1325="",E1325="!!!",F1325="NEW"),"",COUNTBLANK(OFFSET(A$1,,,SUMPRODUCT(MAX(ROW(E$2:E1325)*(E1325=E$2:E1325)))))-COUNTBLANK(OFFSET(A$1,,,SUMPRODUCT(MAX(ROW(E$1:E1324)*(E1325=E$1:E1324))))))</f>
        <v/>
      </c>
      <c r="K1325" s="14" t="str">
        <f aca="false">IF(OR(E1325="",E1325="!!!",F1325="NEW"),"",INDEX(J$1:J1324,SUMPRODUCT(MAX(ROW(E$1:E1324)*(E1325=E$1:E1324)))))</f>
        <v/>
      </c>
      <c r="L1325" s="15"/>
    </row>
    <row r="1326" customFormat="false" ht="12.75" hidden="false" customHeight="false" outlineLevel="0" collapsed="false">
      <c r="A1326" s="0" t="s">
        <v>606</v>
      </c>
      <c r="B1326" s="0" t="s">
        <v>14</v>
      </c>
      <c r="C1326" s="0" t="s">
        <v>15</v>
      </c>
      <c r="D1326" s="0" t="s">
        <v>29</v>
      </c>
      <c r="E1326" s="9" t="str">
        <f aca="false">IF(D1326="?OLD","!!!","")</f>
        <v>!!!</v>
      </c>
      <c r="F1326" s="10" t="str">
        <f aca="false">IF(OR(E1326="",E1326="!!!"),"",IF(NOT(ISNA(VLOOKUP(E1326,E$1:E1325,1,FALSE()))),"OLD",IF(AND(E1326&lt;&gt;"",E1326&lt;&gt;"!!!"),"NEW","")))</f>
        <v/>
      </c>
      <c r="G1326" s="11" t="str">
        <f aca="false">IF(OR(E1326="",E1326="!!!"),"",IF(OR(J1326=0,AND(J1326=1,K1326=1),AND(J1326=1,I1326="SBJ"),AND(J1326=1,I1326=0)),"?IN_FOCUS",IF(J1326&lt;=2,"?ACTIVATED",IF(J1326&lt;&gt;"","?FAMILIAR",IF(F1326="NEW",IF(ISNA(VLOOKUP(E1326,#REF!,1,FALSE())),"?TYPE_IDENTIFIABLE","?REFERENTIAL"),"_")))))</f>
        <v/>
      </c>
      <c r="H1326" s="12" t="str">
        <f aca="false">IF(J1326&lt;&gt;1,"",IF(I1326="SBJ","CB","?"))</f>
        <v/>
      </c>
      <c r="I1326" s="13" t="str">
        <f aca="false">IF(OR(E1326="",E1326="!!!",F1326="NEW"),"",INDEX(B$2:B1325,-1+SUMPRODUCT(MAX(ROW(E$2:E1325)*(E1326=E$2:E1325)))))</f>
        <v/>
      </c>
      <c r="J1326" s="14" t="str">
        <f aca="true">IF(OR(E1326="",E1326="!!!",F1326="NEW"),"",COUNTBLANK(OFFSET(A$1,,,SUMPRODUCT(MAX(ROW(E$2:E1326)*(E1326=E$2:E1326)))))-COUNTBLANK(OFFSET(A$1,,,SUMPRODUCT(MAX(ROW(E$1:E1325)*(E1326=E$1:E1325))))))</f>
        <v/>
      </c>
      <c r="K1326" s="14" t="str">
        <f aca="false">IF(OR(E1326="",E1326="!!!",F1326="NEW"),"",INDEX(J$1:J1325,SUMPRODUCT(MAX(ROW(E$1:E1325)*(E1326=E$1:E1325)))))</f>
        <v/>
      </c>
      <c r="L1326" s="15"/>
    </row>
    <row r="1327" customFormat="false" ht="12.75" hidden="false" customHeight="false" outlineLevel="0" collapsed="false">
      <c r="A1327" s="0" t="s">
        <v>88</v>
      </c>
      <c r="E1327" s="9" t="str">
        <f aca="false">IF(D1327="?OLD","!!!","")</f>
        <v/>
      </c>
      <c r="F1327" s="10" t="str">
        <f aca="false">IF(OR(E1327="",E1327="!!!"),"",IF(NOT(ISNA(VLOOKUP(E1327,E$1:E1326,1,FALSE()))),"OLD",IF(AND(E1327&lt;&gt;"",E1327&lt;&gt;"!!!"),"NEW","")))</f>
        <v/>
      </c>
      <c r="G1327" s="11" t="str">
        <f aca="false">IF(OR(E1327="",E1327="!!!"),"",IF(OR(J1327=0,AND(J1327=1,K1327=1),AND(J1327=1,I1327="SBJ"),AND(J1327=1,I1327=0)),"?IN_FOCUS",IF(J1327&lt;=2,"?ACTIVATED",IF(J1327&lt;&gt;"","?FAMILIAR",IF(F1327="NEW",IF(ISNA(VLOOKUP(E1327,#REF!,1,FALSE())),"?TYPE_IDENTIFIABLE","?REFERENTIAL"),"_")))))</f>
        <v/>
      </c>
      <c r="H1327" s="12" t="str">
        <f aca="false">IF(J1327&lt;&gt;1,"",IF(I1327="SBJ","CB","?"))</f>
        <v/>
      </c>
      <c r="I1327" s="13" t="str">
        <f aca="false">IF(OR(E1327="",E1327="!!!",F1327="NEW"),"",INDEX(B$2:B1326,-1+SUMPRODUCT(MAX(ROW(E$2:E1326)*(E1327=E$2:E1326)))))</f>
        <v/>
      </c>
      <c r="J1327" s="14" t="str">
        <f aca="true">IF(OR(E1327="",E1327="!!!",F1327="NEW"),"",COUNTBLANK(OFFSET(A$1,,,SUMPRODUCT(MAX(ROW(E$2:E1327)*(E1327=E$2:E1327)))))-COUNTBLANK(OFFSET(A$1,,,SUMPRODUCT(MAX(ROW(E$1:E1326)*(E1327=E$1:E1326))))))</f>
        <v/>
      </c>
      <c r="K1327" s="14" t="str">
        <f aca="false">IF(OR(E1327="",E1327="!!!",F1327="NEW"),"",INDEX(J$1:J1326,SUMPRODUCT(MAX(ROW(E$1:E1326)*(E1327=E$1:E1326)))))</f>
        <v/>
      </c>
      <c r="L1327" s="15"/>
    </row>
    <row r="1328" customFormat="false" ht="12.75" hidden="false" customHeight="false" outlineLevel="0" collapsed="false">
      <c r="A1328" s="0" t="s">
        <v>607</v>
      </c>
      <c r="E1328" s="9" t="str">
        <f aca="false">IF(D1328="?OLD","!!!","")</f>
        <v/>
      </c>
      <c r="F1328" s="10" t="str">
        <f aca="false">IF(OR(E1328="",E1328="!!!"),"",IF(NOT(ISNA(VLOOKUP(E1328,E$1:E1327,1,FALSE()))),"OLD",IF(AND(E1328&lt;&gt;"",E1328&lt;&gt;"!!!"),"NEW","")))</f>
        <v/>
      </c>
      <c r="G1328" s="11" t="str">
        <f aca="false">IF(OR(E1328="",E1328="!!!"),"",IF(OR(J1328=0,AND(J1328=1,K1328=1),AND(J1328=1,I1328="SBJ"),AND(J1328=1,I1328=0)),"?IN_FOCUS",IF(J1328&lt;=2,"?ACTIVATED",IF(J1328&lt;&gt;"","?FAMILIAR",IF(F1328="NEW",IF(ISNA(VLOOKUP(E1328,#REF!,1,FALSE())),"?TYPE_IDENTIFIABLE","?REFERENTIAL"),"_")))))</f>
        <v/>
      </c>
      <c r="H1328" s="12" t="str">
        <f aca="false">IF(J1328&lt;&gt;1,"",IF(I1328="SBJ","CB","?"))</f>
        <v/>
      </c>
      <c r="I1328" s="13" t="str">
        <f aca="false">IF(OR(E1328="",E1328="!!!",F1328="NEW"),"",INDEX(B$2:B1327,-1+SUMPRODUCT(MAX(ROW(E$2:E1327)*(E1328=E$2:E1327)))))</f>
        <v/>
      </c>
      <c r="J1328" s="14" t="str">
        <f aca="true">IF(OR(E1328="",E1328="!!!",F1328="NEW"),"",COUNTBLANK(OFFSET(A$1,,,SUMPRODUCT(MAX(ROW(E$2:E1328)*(E1328=E$2:E1328)))))-COUNTBLANK(OFFSET(A$1,,,SUMPRODUCT(MAX(ROW(E$1:E1327)*(E1328=E$1:E1327))))))</f>
        <v/>
      </c>
      <c r="K1328" s="14" t="str">
        <f aca="false">IF(OR(E1328="",E1328="!!!",F1328="NEW"),"",INDEX(J$1:J1327,SUMPRODUCT(MAX(ROW(E$1:E1327)*(E1328=E$1:E1327)))))</f>
        <v/>
      </c>
      <c r="L1328" s="15"/>
    </row>
    <row r="1329" customFormat="false" ht="12.75" hidden="false" customHeight="false" outlineLevel="0" collapsed="false">
      <c r="A1329" s="0" t="s">
        <v>53</v>
      </c>
      <c r="B1329" s="0" t="s">
        <v>64</v>
      </c>
      <c r="C1329" s="0" t="s">
        <v>55</v>
      </c>
      <c r="D1329" s="0" t="s">
        <v>29</v>
      </c>
      <c r="E1329" s="9" t="str">
        <f aca="false">IF(D1329="?OLD","!!!","")</f>
        <v>!!!</v>
      </c>
      <c r="F1329" s="10" t="str">
        <f aca="false">IF(OR(E1329="",E1329="!!!"),"",IF(NOT(ISNA(VLOOKUP(E1329,E$1:E1328,1,FALSE()))),"OLD",IF(AND(E1329&lt;&gt;"",E1329&lt;&gt;"!!!"),"NEW","")))</f>
        <v/>
      </c>
      <c r="G1329" s="11" t="str">
        <f aca="false">IF(OR(E1329="",E1329="!!!"),"",IF(OR(J1329=0,AND(J1329=1,K1329=1),AND(J1329=1,I1329="SBJ"),AND(J1329=1,I1329=0)),"?IN_FOCUS",IF(J1329&lt;=2,"?ACTIVATED",IF(J1329&lt;&gt;"","?FAMILIAR",IF(F1329="NEW",IF(ISNA(VLOOKUP(E1329,#REF!,1,FALSE())),"?TYPE_IDENTIFIABLE","?REFERENTIAL"),"_")))))</f>
        <v/>
      </c>
      <c r="H1329" s="12" t="str">
        <f aca="false">IF(J1329&lt;&gt;1,"",IF(I1329="SBJ","CB","?"))</f>
        <v/>
      </c>
      <c r="I1329" s="13" t="str">
        <f aca="false">IF(OR(E1329="",E1329="!!!",F1329="NEW"),"",INDEX(B$2:B1328,-1+SUMPRODUCT(MAX(ROW(E$2:E1328)*(E1329=E$2:E1328)))))</f>
        <v/>
      </c>
      <c r="J1329" s="14" t="str">
        <f aca="true">IF(OR(E1329="",E1329="!!!",F1329="NEW"),"",COUNTBLANK(OFFSET(A$1,,,SUMPRODUCT(MAX(ROW(E$2:E1329)*(E1329=E$2:E1329)))))-COUNTBLANK(OFFSET(A$1,,,SUMPRODUCT(MAX(ROW(E$1:E1328)*(E1329=E$1:E1328))))))</f>
        <v/>
      </c>
      <c r="K1329" s="14" t="str">
        <f aca="false">IF(OR(E1329="",E1329="!!!",F1329="NEW"),"",INDEX(J$1:J1328,SUMPRODUCT(MAX(ROW(E$1:E1328)*(E1329=E$1:E1328)))))</f>
        <v/>
      </c>
      <c r="L1329" s="15"/>
    </row>
    <row r="1330" customFormat="false" ht="12.75" hidden="false" customHeight="false" outlineLevel="0" collapsed="false">
      <c r="A1330" s="0" t="s">
        <v>608</v>
      </c>
      <c r="B1330" s="0" t="s">
        <v>47</v>
      </c>
      <c r="C1330" s="0" t="s">
        <v>15</v>
      </c>
      <c r="D1330" s="0" t="s">
        <v>29</v>
      </c>
      <c r="E1330" s="9" t="str">
        <f aca="false">IF(D1330="?OLD","!!!","")</f>
        <v>!!!</v>
      </c>
      <c r="F1330" s="10" t="str">
        <f aca="false">IF(OR(E1330="",E1330="!!!"),"",IF(NOT(ISNA(VLOOKUP(E1330,E$1:E1329,1,FALSE()))),"OLD",IF(AND(E1330&lt;&gt;"",E1330&lt;&gt;"!!!"),"NEW","")))</f>
        <v/>
      </c>
      <c r="G1330" s="11" t="str">
        <f aca="false">IF(OR(E1330="",E1330="!!!"),"",IF(OR(J1330=0,AND(J1330=1,K1330=1),AND(J1330=1,I1330="SBJ"),AND(J1330=1,I1330=0)),"?IN_FOCUS",IF(J1330&lt;=2,"?ACTIVATED",IF(J1330&lt;&gt;"","?FAMILIAR",IF(F1330="NEW",IF(ISNA(VLOOKUP(E1330,#REF!,1,FALSE())),"?TYPE_IDENTIFIABLE","?REFERENTIAL"),"_")))))</f>
        <v/>
      </c>
      <c r="H1330" s="12" t="str">
        <f aca="false">IF(J1330&lt;&gt;1,"",IF(I1330="SBJ","CB","?"))</f>
        <v/>
      </c>
      <c r="I1330" s="13" t="str">
        <f aca="false">IF(OR(E1330="",E1330="!!!",F1330="NEW"),"",INDEX(B$2:B1329,-1+SUMPRODUCT(MAX(ROW(E$2:E1329)*(E1330=E$2:E1329)))))</f>
        <v/>
      </c>
      <c r="J1330" s="14" t="str">
        <f aca="true">IF(OR(E1330="",E1330="!!!",F1330="NEW"),"",COUNTBLANK(OFFSET(A$1,,,SUMPRODUCT(MAX(ROW(E$2:E1330)*(E1330=E$2:E1330)))))-COUNTBLANK(OFFSET(A$1,,,SUMPRODUCT(MAX(ROW(E$1:E1329)*(E1330=E$1:E1329))))))</f>
        <v/>
      </c>
      <c r="K1330" s="14" t="str">
        <f aca="false">IF(OR(E1330="",E1330="!!!",F1330="NEW"),"",INDEX(J$1:J1329,SUMPRODUCT(MAX(ROW(E$1:E1329)*(E1330=E$1:E1329)))))</f>
        <v/>
      </c>
      <c r="L1330" s="15"/>
    </row>
    <row r="1331" customFormat="false" ht="12.75" hidden="false" customHeight="false" outlineLevel="0" collapsed="false">
      <c r="A1331" s="0" t="s">
        <v>34</v>
      </c>
      <c r="E1331" s="9" t="str">
        <f aca="false">IF(D1331="?OLD","!!!","")</f>
        <v/>
      </c>
      <c r="F1331" s="10" t="str">
        <f aca="false">IF(OR(E1331="",E1331="!!!"),"",IF(NOT(ISNA(VLOOKUP(E1331,E$1:E1330,1,FALSE()))),"OLD",IF(AND(E1331&lt;&gt;"",E1331&lt;&gt;"!!!"),"NEW","")))</f>
        <v/>
      </c>
      <c r="G1331" s="11" t="str">
        <f aca="false">IF(OR(E1331="",E1331="!!!"),"",IF(OR(J1331=0,AND(J1331=1,K1331=1),AND(J1331=1,I1331="SBJ"),AND(J1331=1,I1331=0)),"?IN_FOCUS",IF(J1331&lt;=2,"?ACTIVATED",IF(J1331&lt;&gt;"","?FAMILIAR",IF(F1331="NEW",IF(ISNA(VLOOKUP(E1331,#REF!,1,FALSE())),"?TYPE_IDENTIFIABLE","?REFERENTIAL"),"_")))))</f>
        <v/>
      </c>
      <c r="H1331" s="12" t="str">
        <f aca="false">IF(J1331&lt;&gt;1,"",IF(I1331="SBJ","CB","?"))</f>
        <v/>
      </c>
      <c r="I1331" s="13" t="str">
        <f aca="false">IF(OR(E1331="",E1331="!!!",F1331="NEW"),"",INDEX(B$2:B1330,-1+SUMPRODUCT(MAX(ROW(E$2:E1330)*(E1331=E$2:E1330)))))</f>
        <v/>
      </c>
      <c r="J1331" s="14" t="str">
        <f aca="true">IF(OR(E1331="",E1331="!!!",F1331="NEW"),"",COUNTBLANK(OFFSET(A$1,,,SUMPRODUCT(MAX(ROW(E$2:E1331)*(E1331=E$2:E1331)))))-COUNTBLANK(OFFSET(A$1,,,SUMPRODUCT(MAX(ROW(E$1:E1330)*(E1331=E$1:E1330))))))</f>
        <v/>
      </c>
      <c r="K1331" s="14" t="str">
        <f aca="false">IF(OR(E1331="",E1331="!!!",F1331="NEW"),"",INDEX(J$1:J1330,SUMPRODUCT(MAX(ROW(E$1:E1330)*(E1331=E$1:E1330)))))</f>
        <v/>
      </c>
      <c r="L1331" s="15"/>
    </row>
    <row r="1332" customFormat="false" ht="12.75" hidden="false" customHeight="false" outlineLevel="0" collapsed="false">
      <c r="A1332" s="0" t="s">
        <v>609</v>
      </c>
      <c r="E1332" s="9" t="str">
        <f aca="false">IF(D1332="?OLD","!!!","")</f>
        <v/>
      </c>
      <c r="F1332" s="10" t="str">
        <f aca="false">IF(OR(E1332="",E1332="!!!"),"",IF(NOT(ISNA(VLOOKUP(E1332,E$1:E1331,1,FALSE()))),"OLD",IF(AND(E1332&lt;&gt;"",E1332&lt;&gt;"!!!"),"NEW","")))</f>
        <v/>
      </c>
      <c r="G1332" s="11" t="str">
        <f aca="false">IF(OR(E1332="",E1332="!!!"),"",IF(OR(J1332=0,AND(J1332=1,K1332=1),AND(J1332=1,I1332="SBJ"),AND(J1332=1,I1332=0)),"?IN_FOCUS",IF(J1332&lt;=2,"?ACTIVATED",IF(J1332&lt;&gt;"","?FAMILIAR",IF(F1332="NEW",IF(ISNA(VLOOKUP(E1332,#REF!,1,FALSE())),"?TYPE_IDENTIFIABLE","?REFERENTIAL"),"_")))))</f>
        <v/>
      </c>
      <c r="H1332" s="12" t="str">
        <f aca="false">IF(J1332&lt;&gt;1,"",IF(I1332="SBJ","CB","?"))</f>
        <v/>
      </c>
      <c r="I1332" s="13" t="str">
        <f aca="false">IF(OR(E1332="",E1332="!!!",F1332="NEW"),"",INDEX(B$2:B1331,-1+SUMPRODUCT(MAX(ROW(E$2:E1331)*(E1332=E$2:E1331)))))</f>
        <v/>
      </c>
      <c r="J1332" s="14" t="str">
        <f aca="true">IF(OR(E1332="",E1332="!!!",F1332="NEW"),"",COUNTBLANK(OFFSET(A$1,,,SUMPRODUCT(MAX(ROW(E$2:E1332)*(E1332=E$2:E1332)))))-COUNTBLANK(OFFSET(A$1,,,SUMPRODUCT(MAX(ROW(E$1:E1331)*(E1332=E$1:E1331))))))</f>
        <v/>
      </c>
      <c r="K1332" s="14" t="str">
        <f aca="false">IF(OR(E1332="",E1332="!!!",F1332="NEW"),"",INDEX(J$1:J1331,SUMPRODUCT(MAX(ROW(E$1:E1331)*(E1332=E$1:E1331)))))</f>
        <v/>
      </c>
      <c r="L1332" s="15"/>
    </row>
    <row r="1333" customFormat="false" ht="12.75" hidden="false" customHeight="false" outlineLevel="0" collapsed="false">
      <c r="A1333" s="0" t="s">
        <v>178</v>
      </c>
      <c r="E1333" s="9" t="str">
        <f aca="false">IF(D1333="?OLD","!!!","")</f>
        <v/>
      </c>
      <c r="F1333" s="10" t="str">
        <f aca="false">IF(OR(E1333="",E1333="!!!"),"",IF(NOT(ISNA(VLOOKUP(E1333,E$1:E1332,1,FALSE()))),"OLD",IF(AND(E1333&lt;&gt;"",E1333&lt;&gt;"!!!"),"NEW","")))</f>
        <v/>
      </c>
      <c r="G1333" s="11" t="str">
        <f aca="false">IF(OR(E1333="",E1333="!!!"),"",IF(OR(J1333=0,AND(J1333=1,K1333=1),AND(J1333=1,I1333="SBJ"),AND(J1333=1,I1333=0)),"?IN_FOCUS",IF(J1333&lt;=2,"?ACTIVATED",IF(J1333&lt;&gt;"","?FAMILIAR",IF(F1333="NEW",IF(ISNA(VLOOKUP(E1333,#REF!,1,FALSE())),"?TYPE_IDENTIFIABLE","?REFERENTIAL"),"_")))))</f>
        <v/>
      </c>
      <c r="H1333" s="12" t="str">
        <f aca="false">IF(J1333&lt;&gt;1,"",IF(I1333="SBJ","CB","?"))</f>
        <v/>
      </c>
      <c r="I1333" s="13" t="str">
        <f aca="false">IF(OR(E1333="",E1333="!!!",F1333="NEW"),"",INDEX(B$2:B1332,-1+SUMPRODUCT(MAX(ROW(E$2:E1332)*(E1333=E$2:E1332)))))</f>
        <v/>
      </c>
      <c r="J1333" s="14" t="str">
        <f aca="true">IF(OR(E1333="",E1333="!!!",F1333="NEW"),"",COUNTBLANK(OFFSET(A$1,,,SUMPRODUCT(MAX(ROW(E$2:E1333)*(E1333=E$2:E1333)))))-COUNTBLANK(OFFSET(A$1,,,SUMPRODUCT(MAX(ROW(E$1:E1332)*(E1333=E$1:E1332))))))</f>
        <v/>
      </c>
      <c r="K1333" s="14" t="str">
        <f aca="false">IF(OR(E1333="",E1333="!!!",F1333="NEW"),"",INDEX(J$1:J1332,SUMPRODUCT(MAX(ROW(E$1:E1332)*(E1333=E$1:E1332)))))</f>
        <v/>
      </c>
      <c r="L1333" s="15"/>
    </row>
    <row r="1334" customFormat="false" ht="12.75" hidden="false" customHeight="false" outlineLevel="0" collapsed="false">
      <c r="A1334" s="0" t="s">
        <v>53</v>
      </c>
      <c r="B1334" s="0" t="s">
        <v>157</v>
      </c>
      <c r="C1334" s="0" t="s">
        <v>38</v>
      </c>
      <c r="D1334" s="0" t="s">
        <v>29</v>
      </c>
      <c r="E1334" s="9" t="str">
        <f aca="false">IF(D1334="?OLD","!!!","")</f>
        <v>!!!</v>
      </c>
      <c r="F1334" s="10" t="str">
        <f aca="false">IF(OR(E1334="",E1334="!!!"),"",IF(NOT(ISNA(VLOOKUP(E1334,E$1:E1333,1,FALSE()))),"OLD",IF(AND(E1334&lt;&gt;"",E1334&lt;&gt;"!!!"),"NEW","")))</f>
        <v/>
      </c>
      <c r="G1334" s="11" t="str">
        <f aca="false">IF(OR(E1334="",E1334="!!!"),"",IF(OR(J1334=0,AND(J1334=1,K1334=1),AND(J1334=1,I1334="SBJ"),AND(J1334=1,I1334=0)),"?IN_FOCUS",IF(J1334&lt;=2,"?ACTIVATED",IF(J1334&lt;&gt;"","?FAMILIAR",IF(F1334="NEW",IF(ISNA(VLOOKUP(E1334,#REF!,1,FALSE())),"?TYPE_IDENTIFIABLE","?REFERENTIAL"),"_")))))</f>
        <v/>
      </c>
      <c r="H1334" s="12" t="str">
        <f aca="false">IF(J1334&lt;&gt;1,"",IF(I1334="SBJ","CB","?"))</f>
        <v/>
      </c>
      <c r="I1334" s="13" t="str">
        <f aca="false">IF(OR(E1334="",E1334="!!!",F1334="NEW"),"",INDEX(B$2:B1333,-1+SUMPRODUCT(MAX(ROW(E$2:E1333)*(E1334=E$2:E1333)))))</f>
        <v/>
      </c>
      <c r="J1334" s="14" t="str">
        <f aca="true">IF(OR(E1334="",E1334="!!!",F1334="NEW"),"",COUNTBLANK(OFFSET(A$1,,,SUMPRODUCT(MAX(ROW(E$2:E1334)*(E1334=E$2:E1334)))))-COUNTBLANK(OFFSET(A$1,,,SUMPRODUCT(MAX(ROW(E$1:E1333)*(E1334=E$1:E1333))))))</f>
        <v/>
      </c>
      <c r="K1334" s="14" t="str">
        <f aca="false">IF(OR(E1334="",E1334="!!!",F1334="NEW"),"",INDEX(J$1:J1333,SUMPRODUCT(MAX(ROW(E$1:E1333)*(E1334=E$1:E1333)))))</f>
        <v/>
      </c>
      <c r="L1334" s="15"/>
    </row>
    <row r="1335" customFormat="false" ht="12.75" hidden="false" customHeight="false" outlineLevel="0" collapsed="false">
      <c r="A1335" s="0" t="s">
        <v>610</v>
      </c>
      <c r="E1335" s="9" t="str">
        <f aca="false">IF(D1335="?OLD","!!!","")</f>
        <v/>
      </c>
      <c r="F1335" s="10" t="str">
        <f aca="false">IF(OR(E1335="",E1335="!!!"),"",IF(NOT(ISNA(VLOOKUP(E1335,E$1:E1334,1,FALSE()))),"OLD",IF(AND(E1335&lt;&gt;"",E1335&lt;&gt;"!!!"),"NEW","")))</f>
        <v/>
      </c>
      <c r="G1335" s="11" t="str">
        <f aca="false">IF(OR(E1335="",E1335="!!!"),"",IF(OR(J1335=0,AND(J1335=1,K1335=1),AND(J1335=1,I1335="SBJ"),AND(J1335=1,I1335=0)),"?IN_FOCUS",IF(J1335&lt;=2,"?ACTIVATED",IF(J1335&lt;&gt;"","?FAMILIAR",IF(F1335="NEW",IF(ISNA(VLOOKUP(E1335,#REF!,1,FALSE())),"?TYPE_IDENTIFIABLE","?REFERENTIAL"),"_")))))</f>
        <v/>
      </c>
      <c r="H1335" s="12" t="str">
        <f aca="false">IF(J1335&lt;&gt;1,"",IF(I1335="SBJ","CB","?"))</f>
        <v/>
      </c>
      <c r="I1335" s="13" t="str">
        <f aca="false">IF(OR(E1335="",E1335="!!!",F1335="NEW"),"",INDEX(B$2:B1334,-1+SUMPRODUCT(MAX(ROW(E$2:E1334)*(E1335=E$2:E1334)))))</f>
        <v/>
      </c>
      <c r="J1335" s="14" t="str">
        <f aca="true">IF(OR(E1335="",E1335="!!!",F1335="NEW"),"",COUNTBLANK(OFFSET(A$1,,,SUMPRODUCT(MAX(ROW(E$2:E1335)*(E1335=E$2:E1335)))))-COUNTBLANK(OFFSET(A$1,,,SUMPRODUCT(MAX(ROW(E$1:E1334)*(E1335=E$1:E1334))))))</f>
        <v/>
      </c>
      <c r="K1335" s="14" t="str">
        <f aca="false">IF(OR(E1335="",E1335="!!!",F1335="NEW"),"",INDEX(J$1:J1334,SUMPRODUCT(MAX(ROW(E$1:E1334)*(E1335=E$1:E1334)))))</f>
        <v/>
      </c>
      <c r="L1335" s="15"/>
    </row>
    <row r="1336" customFormat="false" ht="12.75" hidden="false" customHeight="false" outlineLevel="0" collapsed="false">
      <c r="A1336" s="0" t="s">
        <v>513</v>
      </c>
      <c r="E1336" s="9" t="str">
        <f aca="false">IF(D1336="?OLD","!!!","")</f>
        <v/>
      </c>
      <c r="F1336" s="10" t="str">
        <f aca="false">IF(OR(E1336="",E1336="!!!"),"",IF(NOT(ISNA(VLOOKUP(E1336,E$1:E1335,1,FALSE()))),"OLD",IF(AND(E1336&lt;&gt;"",E1336&lt;&gt;"!!!"),"NEW","")))</f>
        <v/>
      </c>
      <c r="G1336" s="11" t="str">
        <f aca="false">IF(OR(E1336="",E1336="!!!"),"",IF(OR(J1336=0,AND(J1336=1,K1336=1),AND(J1336=1,I1336="SBJ"),AND(J1336=1,I1336=0)),"?IN_FOCUS",IF(J1336&lt;=2,"?ACTIVATED",IF(J1336&lt;&gt;"","?FAMILIAR",IF(F1336="NEW",IF(ISNA(VLOOKUP(E1336,#REF!,1,FALSE())),"?TYPE_IDENTIFIABLE","?REFERENTIAL"),"_")))))</f>
        <v/>
      </c>
      <c r="H1336" s="12" t="str">
        <f aca="false">IF(J1336&lt;&gt;1,"",IF(I1336="SBJ","CB","?"))</f>
        <v/>
      </c>
      <c r="I1336" s="13" t="str">
        <f aca="false">IF(OR(E1336="",E1336="!!!",F1336="NEW"),"",INDEX(B$2:B1335,-1+SUMPRODUCT(MAX(ROW(E$2:E1335)*(E1336=E$2:E1335)))))</f>
        <v/>
      </c>
      <c r="J1336" s="14" t="str">
        <f aca="true">IF(OR(E1336="",E1336="!!!",F1336="NEW"),"",COUNTBLANK(OFFSET(A$1,,,SUMPRODUCT(MAX(ROW(E$2:E1336)*(E1336=E$2:E1336)))))-COUNTBLANK(OFFSET(A$1,,,SUMPRODUCT(MAX(ROW(E$1:E1335)*(E1336=E$1:E1335))))))</f>
        <v/>
      </c>
      <c r="K1336" s="14" t="str">
        <f aca="false">IF(OR(E1336="",E1336="!!!",F1336="NEW"),"",INDEX(J$1:J1335,SUMPRODUCT(MAX(ROW(E$1:E1335)*(E1336=E$1:E1335)))))</f>
        <v/>
      </c>
      <c r="L1336" s="15"/>
    </row>
    <row r="1337" customFormat="false" ht="12.75" hidden="false" customHeight="false" outlineLevel="0" collapsed="false">
      <c r="A1337" s="0" t="s">
        <v>611</v>
      </c>
      <c r="E1337" s="9" t="str">
        <f aca="false">IF(D1337="?OLD","!!!","")</f>
        <v/>
      </c>
      <c r="F1337" s="10" t="str">
        <f aca="false">IF(OR(E1337="",E1337="!!!"),"",IF(NOT(ISNA(VLOOKUP(E1337,E$1:E1336,1,FALSE()))),"OLD",IF(AND(E1337&lt;&gt;"",E1337&lt;&gt;"!!!"),"NEW","")))</f>
        <v/>
      </c>
      <c r="G1337" s="11" t="str">
        <f aca="false">IF(OR(E1337="",E1337="!!!"),"",IF(OR(J1337=0,AND(J1337=1,K1337=1),AND(J1337=1,I1337="SBJ"),AND(J1337=1,I1337=0)),"?IN_FOCUS",IF(J1337&lt;=2,"?ACTIVATED",IF(J1337&lt;&gt;"","?FAMILIAR",IF(F1337="NEW",IF(ISNA(VLOOKUP(E1337,#REF!,1,FALSE())),"?TYPE_IDENTIFIABLE","?REFERENTIAL"),"_")))))</f>
        <v/>
      </c>
      <c r="H1337" s="12" t="str">
        <f aca="false">IF(J1337&lt;&gt;1,"",IF(I1337="SBJ","CB","?"))</f>
        <v/>
      </c>
      <c r="I1337" s="13" t="str">
        <f aca="false">IF(OR(E1337="",E1337="!!!",F1337="NEW"),"",INDEX(B$2:B1336,-1+SUMPRODUCT(MAX(ROW(E$2:E1336)*(E1337=E$2:E1336)))))</f>
        <v/>
      </c>
      <c r="J1337" s="14" t="str">
        <f aca="true">IF(OR(E1337="",E1337="!!!",F1337="NEW"),"",COUNTBLANK(OFFSET(A$1,,,SUMPRODUCT(MAX(ROW(E$2:E1337)*(E1337=E$2:E1337)))))-COUNTBLANK(OFFSET(A$1,,,SUMPRODUCT(MAX(ROW(E$1:E1336)*(E1337=E$1:E1336))))))</f>
        <v/>
      </c>
      <c r="K1337" s="14" t="str">
        <f aca="false">IF(OR(E1337="",E1337="!!!",F1337="NEW"),"",INDEX(J$1:J1336,SUMPRODUCT(MAX(ROW(E$1:E1336)*(E1337=E$1:E1336)))))</f>
        <v/>
      </c>
      <c r="L1337" s="15"/>
    </row>
    <row r="1338" customFormat="false" ht="12.75" hidden="false" customHeight="false" outlineLevel="0" collapsed="false">
      <c r="A1338" s="0" t="s">
        <v>66</v>
      </c>
      <c r="E1338" s="9" t="str">
        <f aca="false">IF(D1338="?OLD","!!!","")</f>
        <v/>
      </c>
      <c r="F1338" s="10" t="str">
        <f aca="false">IF(OR(E1338="",E1338="!!!"),"",IF(NOT(ISNA(VLOOKUP(E1338,E$1:E1337,1,FALSE()))),"OLD",IF(AND(E1338&lt;&gt;"",E1338&lt;&gt;"!!!"),"NEW","")))</f>
        <v/>
      </c>
      <c r="G1338" s="11" t="str">
        <f aca="false">IF(OR(E1338="",E1338="!!!"),"",IF(OR(J1338=0,AND(J1338=1,K1338=1),AND(J1338=1,I1338="SBJ"),AND(J1338=1,I1338=0)),"?IN_FOCUS",IF(J1338&lt;=2,"?ACTIVATED",IF(J1338&lt;&gt;"","?FAMILIAR",IF(F1338="NEW",IF(ISNA(VLOOKUP(E1338,#REF!,1,FALSE())),"?TYPE_IDENTIFIABLE","?REFERENTIAL"),"_")))))</f>
        <v/>
      </c>
      <c r="H1338" s="12" t="str">
        <f aca="false">IF(J1338&lt;&gt;1,"",IF(I1338="SBJ","CB","?"))</f>
        <v/>
      </c>
      <c r="I1338" s="13" t="str">
        <f aca="false">IF(OR(E1338="",E1338="!!!",F1338="NEW"),"",INDEX(B$2:B1337,-1+SUMPRODUCT(MAX(ROW(E$2:E1337)*(E1338=E$2:E1337)))))</f>
        <v/>
      </c>
      <c r="J1338" s="14" t="str">
        <f aca="true">IF(OR(E1338="",E1338="!!!",F1338="NEW"),"",COUNTBLANK(OFFSET(A$1,,,SUMPRODUCT(MAX(ROW(E$2:E1338)*(E1338=E$2:E1338)))))-COUNTBLANK(OFFSET(A$1,,,SUMPRODUCT(MAX(ROW(E$1:E1337)*(E1338=E$1:E1337))))))</f>
        <v/>
      </c>
      <c r="K1338" s="14" t="str">
        <f aca="false">IF(OR(E1338="",E1338="!!!",F1338="NEW"),"",INDEX(J$1:J1337,SUMPRODUCT(MAX(ROW(E$1:E1337)*(E1338=E$1:E1337)))))</f>
        <v/>
      </c>
      <c r="L1338" s="15"/>
    </row>
    <row r="1339" customFormat="false" ht="12.75" hidden="false" customHeight="false" outlineLevel="0" collapsed="false">
      <c r="A1339" s="0" t="s">
        <v>329</v>
      </c>
      <c r="B1339" s="0" t="s">
        <v>64</v>
      </c>
      <c r="C1339" s="0" t="s">
        <v>111</v>
      </c>
      <c r="D1339" s="0" t="s">
        <v>29</v>
      </c>
      <c r="E1339" s="9" t="str">
        <f aca="false">IF(D1339="?OLD","!!!","")</f>
        <v>!!!</v>
      </c>
      <c r="F1339" s="10" t="str">
        <f aca="false">IF(OR(E1339="",E1339="!!!"),"",IF(NOT(ISNA(VLOOKUP(E1339,E$1:E1338,1,FALSE()))),"OLD",IF(AND(E1339&lt;&gt;"",E1339&lt;&gt;"!!!"),"NEW","")))</f>
        <v/>
      </c>
      <c r="G1339" s="11" t="str">
        <f aca="false">IF(OR(E1339="",E1339="!!!"),"",IF(OR(J1339=0,AND(J1339=1,K1339=1),AND(J1339=1,I1339="SBJ"),AND(J1339=1,I1339=0)),"?IN_FOCUS",IF(J1339&lt;=2,"?ACTIVATED",IF(J1339&lt;&gt;"","?FAMILIAR",IF(F1339="NEW",IF(ISNA(VLOOKUP(E1339,#REF!,1,FALSE())),"?TYPE_IDENTIFIABLE","?REFERENTIAL"),"_")))))</f>
        <v/>
      </c>
      <c r="H1339" s="12" t="str">
        <f aca="false">IF(J1339&lt;&gt;1,"",IF(I1339="SBJ","CB","?"))</f>
        <v/>
      </c>
      <c r="I1339" s="13" t="str">
        <f aca="false">IF(OR(E1339="",E1339="!!!",F1339="NEW"),"",INDEX(B$2:B1338,-1+SUMPRODUCT(MAX(ROW(E$2:E1338)*(E1339=E$2:E1338)))))</f>
        <v/>
      </c>
      <c r="J1339" s="14" t="str">
        <f aca="true">IF(OR(E1339="",E1339="!!!",F1339="NEW"),"",COUNTBLANK(OFFSET(A$1,,,SUMPRODUCT(MAX(ROW(E$2:E1339)*(E1339=E$2:E1339)))))-COUNTBLANK(OFFSET(A$1,,,SUMPRODUCT(MAX(ROW(E$1:E1338)*(E1339=E$1:E1338))))))</f>
        <v/>
      </c>
      <c r="K1339" s="14" t="str">
        <f aca="false">IF(OR(E1339="",E1339="!!!",F1339="NEW"),"",INDEX(J$1:J1338,SUMPRODUCT(MAX(ROW(E$1:E1338)*(E1339=E$1:E1338)))))</f>
        <v/>
      </c>
      <c r="L1339" s="15"/>
    </row>
    <row r="1340" customFormat="false" ht="12.75" hidden="false" customHeight="false" outlineLevel="0" collapsed="false">
      <c r="A1340" s="0" t="s">
        <v>343</v>
      </c>
      <c r="E1340" s="9" t="str">
        <f aca="false">IF(D1340="?OLD","!!!","")</f>
        <v/>
      </c>
      <c r="F1340" s="10" t="str">
        <f aca="false">IF(OR(E1340="",E1340="!!!"),"",IF(NOT(ISNA(VLOOKUP(E1340,E$1:E1339,1,FALSE()))),"OLD",IF(AND(E1340&lt;&gt;"",E1340&lt;&gt;"!!!"),"NEW","")))</f>
        <v/>
      </c>
      <c r="G1340" s="11" t="str">
        <f aca="false">IF(OR(E1340="",E1340="!!!"),"",IF(OR(J1340=0,AND(J1340=1,K1340=1),AND(J1340=1,I1340="SBJ"),AND(J1340=1,I1340=0)),"?IN_FOCUS",IF(J1340&lt;=2,"?ACTIVATED",IF(J1340&lt;&gt;"","?FAMILIAR",IF(F1340="NEW",IF(ISNA(VLOOKUP(E1340,#REF!,1,FALSE())),"?TYPE_IDENTIFIABLE","?REFERENTIAL"),"_")))))</f>
        <v/>
      </c>
      <c r="H1340" s="12" t="str">
        <f aca="false">IF(J1340&lt;&gt;1,"",IF(I1340="SBJ","CB","?"))</f>
        <v/>
      </c>
      <c r="I1340" s="13" t="str">
        <f aca="false">IF(OR(E1340="",E1340="!!!",F1340="NEW"),"",INDEX(B$2:B1339,-1+SUMPRODUCT(MAX(ROW(E$2:E1339)*(E1340=E$2:E1339)))))</f>
        <v/>
      </c>
      <c r="J1340" s="14" t="str">
        <f aca="true">IF(OR(E1340="",E1340="!!!",F1340="NEW"),"",COUNTBLANK(OFFSET(A$1,,,SUMPRODUCT(MAX(ROW(E$2:E1340)*(E1340=E$2:E1340)))))-COUNTBLANK(OFFSET(A$1,,,SUMPRODUCT(MAX(ROW(E$1:E1339)*(E1340=E$1:E1339))))))</f>
        <v/>
      </c>
      <c r="K1340" s="14" t="str">
        <f aca="false">IF(OR(E1340="",E1340="!!!",F1340="NEW"),"",INDEX(J$1:J1339,SUMPRODUCT(MAX(ROW(E$1:E1339)*(E1340=E$1:E1339)))))</f>
        <v/>
      </c>
      <c r="L1340" s="15"/>
    </row>
    <row r="1341" customFormat="false" ht="12.75" hidden="false" customHeight="false" outlineLevel="0" collapsed="false">
      <c r="A1341" s="0" t="s">
        <v>332</v>
      </c>
      <c r="E1341" s="9" t="str">
        <f aca="false">IF(D1341="?OLD","!!!","")</f>
        <v/>
      </c>
      <c r="F1341" s="10" t="str">
        <f aca="false">IF(OR(E1341="",E1341="!!!"),"",IF(NOT(ISNA(VLOOKUP(E1341,E$1:E1340,1,FALSE()))),"OLD",IF(AND(E1341&lt;&gt;"",E1341&lt;&gt;"!!!"),"NEW","")))</f>
        <v/>
      </c>
      <c r="G1341" s="11" t="str">
        <f aca="false">IF(OR(E1341="",E1341="!!!"),"",IF(OR(J1341=0,AND(J1341=1,K1341=1),AND(J1341=1,I1341="SBJ"),AND(J1341=1,I1341=0)),"?IN_FOCUS",IF(J1341&lt;=2,"?ACTIVATED",IF(J1341&lt;&gt;"","?FAMILIAR",IF(F1341="NEW",IF(ISNA(VLOOKUP(E1341,#REF!,1,FALSE())),"?TYPE_IDENTIFIABLE","?REFERENTIAL"),"_")))))</f>
        <v/>
      </c>
      <c r="H1341" s="12" t="str">
        <f aca="false">IF(J1341&lt;&gt;1,"",IF(I1341="SBJ","CB","?"))</f>
        <v/>
      </c>
      <c r="I1341" s="13" t="str">
        <f aca="false">IF(OR(E1341="",E1341="!!!",F1341="NEW"),"",INDEX(B$2:B1340,-1+SUMPRODUCT(MAX(ROW(E$2:E1340)*(E1341=E$2:E1340)))))</f>
        <v/>
      </c>
      <c r="J1341" s="14" t="str">
        <f aca="true">IF(OR(E1341="",E1341="!!!",F1341="NEW"),"",COUNTBLANK(OFFSET(A$1,,,SUMPRODUCT(MAX(ROW(E$2:E1341)*(E1341=E$2:E1341)))))-COUNTBLANK(OFFSET(A$1,,,SUMPRODUCT(MAX(ROW(E$1:E1340)*(E1341=E$1:E1340))))))</f>
        <v/>
      </c>
      <c r="K1341" s="14" t="str">
        <f aca="false">IF(OR(E1341="",E1341="!!!",F1341="NEW"),"",INDEX(J$1:J1340,SUMPRODUCT(MAX(ROW(E$1:E1340)*(E1341=E$1:E1340)))))</f>
        <v/>
      </c>
      <c r="L1341" s="15"/>
    </row>
    <row r="1342" customFormat="false" ht="12.75" hidden="false" customHeight="false" outlineLevel="0" collapsed="false">
      <c r="A1342" s="0" t="s">
        <v>66</v>
      </c>
      <c r="E1342" s="9" t="str">
        <f aca="false">IF(D1342="?OLD","!!!","")</f>
        <v/>
      </c>
      <c r="F1342" s="10" t="str">
        <f aca="false">IF(OR(E1342="",E1342="!!!"),"",IF(NOT(ISNA(VLOOKUP(E1342,E$1:E1341,1,FALSE()))),"OLD",IF(AND(E1342&lt;&gt;"",E1342&lt;&gt;"!!!"),"NEW","")))</f>
        <v/>
      </c>
      <c r="G1342" s="11" t="str">
        <f aca="false">IF(OR(E1342="",E1342="!!!"),"",IF(OR(J1342=0,AND(J1342=1,K1342=1),AND(J1342=1,I1342="SBJ"),AND(J1342=1,I1342=0)),"?IN_FOCUS",IF(J1342&lt;=2,"?ACTIVATED",IF(J1342&lt;&gt;"","?FAMILIAR",IF(F1342="NEW",IF(ISNA(VLOOKUP(E1342,#REF!,1,FALSE())),"?TYPE_IDENTIFIABLE","?REFERENTIAL"),"_")))))</f>
        <v/>
      </c>
      <c r="H1342" s="12" t="str">
        <f aca="false">IF(J1342&lt;&gt;1,"",IF(I1342="SBJ","CB","?"))</f>
        <v/>
      </c>
      <c r="I1342" s="13" t="str">
        <f aca="false">IF(OR(E1342="",E1342="!!!",F1342="NEW"),"",INDEX(B$2:B1341,-1+SUMPRODUCT(MAX(ROW(E$2:E1341)*(E1342=E$2:E1341)))))</f>
        <v/>
      </c>
      <c r="J1342" s="14" t="str">
        <f aca="true">IF(OR(E1342="",E1342="!!!",F1342="NEW"),"",COUNTBLANK(OFFSET(A$1,,,SUMPRODUCT(MAX(ROW(E$2:E1342)*(E1342=E$2:E1342)))))-COUNTBLANK(OFFSET(A$1,,,SUMPRODUCT(MAX(ROW(E$1:E1341)*(E1342=E$1:E1341))))))</f>
        <v/>
      </c>
      <c r="K1342" s="14" t="str">
        <f aca="false">IF(OR(E1342="",E1342="!!!",F1342="NEW"),"",INDEX(J$1:J1341,SUMPRODUCT(MAX(ROW(E$1:E1341)*(E1342=E$1:E1341)))))</f>
        <v/>
      </c>
      <c r="L1342" s="15"/>
    </row>
    <row r="1343" customFormat="false" ht="12.75" hidden="false" customHeight="false" outlineLevel="0" collapsed="false">
      <c r="A1343" s="0" t="s">
        <v>433</v>
      </c>
      <c r="B1343" s="0" t="s">
        <v>62</v>
      </c>
      <c r="C1343" s="0" t="s">
        <v>111</v>
      </c>
      <c r="D1343" s="0" t="s">
        <v>29</v>
      </c>
      <c r="E1343" s="9" t="str">
        <f aca="false">IF(D1343="?OLD","!!!","")</f>
        <v>!!!</v>
      </c>
      <c r="F1343" s="10" t="str">
        <f aca="false">IF(OR(E1343="",E1343="!!!"),"",IF(NOT(ISNA(VLOOKUP(E1343,E$1:E1342,1,FALSE()))),"OLD",IF(AND(E1343&lt;&gt;"",E1343&lt;&gt;"!!!"),"NEW","")))</f>
        <v/>
      </c>
      <c r="G1343" s="11" t="str">
        <f aca="false">IF(OR(E1343="",E1343="!!!"),"",IF(OR(J1343=0,AND(J1343=1,K1343=1),AND(J1343=1,I1343="SBJ"),AND(J1343=1,I1343=0)),"?IN_FOCUS",IF(J1343&lt;=2,"?ACTIVATED",IF(J1343&lt;&gt;"","?FAMILIAR",IF(F1343="NEW",IF(ISNA(VLOOKUP(E1343,#REF!,1,FALSE())),"?TYPE_IDENTIFIABLE","?REFERENTIAL"),"_")))))</f>
        <v/>
      </c>
      <c r="H1343" s="12" t="str">
        <f aca="false">IF(J1343&lt;&gt;1,"",IF(I1343="SBJ","CB","?"))</f>
        <v/>
      </c>
      <c r="I1343" s="13" t="str">
        <f aca="false">IF(OR(E1343="",E1343="!!!",F1343="NEW"),"",INDEX(B$2:B1342,-1+SUMPRODUCT(MAX(ROW(E$2:E1342)*(E1343=E$2:E1342)))))</f>
        <v/>
      </c>
      <c r="J1343" s="14" t="str">
        <f aca="true">IF(OR(E1343="",E1343="!!!",F1343="NEW"),"",COUNTBLANK(OFFSET(A$1,,,SUMPRODUCT(MAX(ROW(E$2:E1343)*(E1343=E$2:E1343)))))-COUNTBLANK(OFFSET(A$1,,,SUMPRODUCT(MAX(ROW(E$1:E1342)*(E1343=E$1:E1342))))))</f>
        <v/>
      </c>
      <c r="K1343" s="14" t="str">
        <f aca="false">IF(OR(E1343="",E1343="!!!",F1343="NEW"),"",INDEX(J$1:J1342,SUMPRODUCT(MAX(ROW(E$1:E1342)*(E1343=E$1:E1342)))))</f>
        <v/>
      </c>
      <c r="L1343" s="15"/>
    </row>
    <row r="1344" customFormat="false" ht="12.75" hidden="false" customHeight="false" outlineLevel="0" collapsed="false">
      <c r="A1344" s="0" t="s">
        <v>73</v>
      </c>
      <c r="E1344" s="9" t="str">
        <f aca="false">IF(D1344="?OLD","!!!","")</f>
        <v/>
      </c>
      <c r="F1344" s="10" t="str">
        <f aca="false">IF(OR(E1344="",E1344="!!!"),"",IF(NOT(ISNA(VLOOKUP(E1344,E$1:E1343,1,FALSE()))),"OLD",IF(AND(E1344&lt;&gt;"",E1344&lt;&gt;"!!!"),"NEW","")))</f>
        <v/>
      </c>
      <c r="G1344" s="11" t="str">
        <f aca="false">IF(OR(E1344="",E1344="!!!"),"",IF(OR(J1344=0,AND(J1344=1,K1344=1),AND(J1344=1,I1344="SBJ"),AND(J1344=1,I1344=0)),"?IN_FOCUS",IF(J1344&lt;=2,"?ACTIVATED",IF(J1344&lt;&gt;"","?FAMILIAR",IF(F1344="NEW",IF(ISNA(VLOOKUP(E1344,#REF!,1,FALSE())),"?TYPE_IDENTIFIABLE","?REFERENTIAL"),"_")))))</f>
        <v/>
      </c>
      <c r="H1344" s="12" t="str">
        <f aca="false">IF(J1344&lt;&gt;1,"",IF(I1344="SBJ","CB","?"))</f>
        <v/>
      </c>
      <c r="I1344" s="13" t="str">
        <f aca="false">IF(OR(E1344="",E1344="!!!",F1344="NEW"),"",INDEX(B$2:B1343,-1+SUMPRODUCT(MAX(ROW(E$2:E1343)*(E1344=E$2:E1343)))))</f>
        <v/>
      </c>
      <c r="J1344" s="14" t="str">
        <f aca="true">IF(OR(E1344="",E1344="!!!",F1344="NEW"),"",COUNTBLANK(OFFSET(A$1,,,SUMPRODUCT(MAX(ROW(E$2:E1344)*(E1344=E$2:E1344)))))-COUNTBLANK(OFFSET(A$1,,,SUMPRODUCT(MAX(ROW(E$1:E1343)*(E1344=E$1:E1343))))))</f>
        <v/>
      </c>
      <c r="K1344" s="14" t="str">
        <f aca="false">IF(OR(E1344="",E1344="!!!",F1344="NEW"),"",INDEX(J$1:J1343,SUMPRODUCT(MAX(ROW(E$1:E1343)*(E1344=E$1:E1343)))))</f>
        <v/>
      </c>
      <c r="L1344" s="15"/>
    </row>
    <row r="1345" customFormat="false" ht="12.75" hidden="false" customHeight="false" outlineLevel="0" collapsed="false">
      <c r="A1345" s="0" t="s">
        <v>262</v>
      </c>
      <c r="E1345" s="9" t="str">
        <f aca="false">IF(D1345="?OLD","!!!","")</f>
        <v/>
      </c>
      <c r="F1345" s="10" t="str">
        <f aca="false">IF(OR(E1345="",E1345="!!!"),"",IF(NOT(ISNA(VLOOKUP(E1345,E$1:E1344,1,FALSE()))),"OLD",IF(AND(E1345&lt;&gt;"",E1345&lt;&gt;"!!!"),"NEW","")))</f>
        <v/>
      </c>
      <c r="G1345" s="11" t="str">
        <f aca="false">IF(OR(E1345="",E1345="!!!"),"",IF(OR(J1345=0,AND(J1345=1,K1345=1),AND(J1345=1,I1345="SBJ"),AND(J1345=1,I1345=0)),"?IN_FOCUS",IF(J1345&lt;=2,"?ACTIVATED",IF(J1345&lt;&gt;"","?FAMILIAR",IF(F1345="NEW",IF(ISNA(VLOOKUP(E1345,#REF!,1,FALSE())),"?TYPE_IDENTIFIABLE","?REFERENTIAL"),"_")))))</f>
        <v/>
      </c>
      <c r="H1345" s="12" t="str">
        <f aca="false">IF(J1345&lt;&gt;1,"",IF(I1345="SBJ","CB","?"))</f>
        <v/>
      </c>
      <c r="I1345" s="13" t="str">
        <f aca="false">IF(OR(E1345="",E1345="!!!",F1345="NEW"),"",INDEX(B$2:B1344,-1+SUMPRODUCT(MAX(ROW(E$2:E1344)*(E1345=E$2:E1344)))))</f>
        <v/>
      </c>
      <c r="J1345" s="14" t="str">
        <f aca="true">IF(OR(E1345="",E1345="!!!",F1345="NEW"),"",COUNTBLANK(OFFSET(A$1,,,SUMPRODUCT(MAX(ROW(E$2:E1345)*(E1345=E$2:E1345)))))-COUNTBLANK(OFFSET(A$1,,,SUMPRODUCT(MAX(ROW(E$1:E1344)*(E1345=E$1:E1344))))))</f>
        <v/>
      </c>
      <c r="K1345" s="14" t="str">
        <f aca="false">IF(OR(E1345="",E1345="!!!",F1345="NEW"),"",INDEX(J$1:J1344,SUMPRODUCT(MAX(ROW(E$1:E1344)*(E1345=E$1:E1344)))))</f>
        <v/>
      </c>
      <c r="L1345" s="15"/>
    </row>
    <row r="1346" customFormat="false" ht="12.75" hidden="false" customHeight="false" outlineLevel="0" collapsed="false">
      <c r="E1346" s="9" t="str">
        <f aca="false">IF(D1346="?OLD","!!!","")</f>
        <v/>
      </c>
      <c r="F1346" s="10" t="str">
        <f aca="false">IF(OR(E1346="",E1346="!!!"),"",IF(NOT(ISNA(VLOOKUP(E1346,E$1:E1345,1,FALSE()))),"OLD",IF(AND(E1346&lt;&gt;"",E1346&lt;&gt;"!!!"),"NEW","")))</f>
        <v/>
      </c>
      <c r="G1346" s="11" t="str">
        <f aca="false">IF(OR(E1346="",E1346="!!!"),"",IF(OR(J1346=0,AND(J1346=1,K1346=1),AND(J1346=1,I1346="SBJ"),AND(J1346=1,I1346=0)),"?IN_FOCUS",IF(J1346&lt;=2,"?ACTIVATED",IF(J1346&lt;&gt;"","?FAMILIAR",IF(F1346="NEW",IF(ISNA(VLOOKUP(E1346,#REF!,1,FALSE())),"?TYPE_IDENTIFIABLE","?REFERENTIAL"),"_")))))</f>
        <v/>
      </c>
      <c r="H1346" s="12" t="str">
        <f aca="false">IF(J1346&lt;&gt;1,"",IF(I1346="SBJ","CB","?"))</f>
        <v/>
      </c>
      <c r="I1346" s="13" t="str">
        <f aca="false">IF(OR(E1346="",E1346="!!!",F1346="NEW"),"",INDEX(B$2:B1345,-1+SUMPRODUCT(MAX(ROW(E$2:E1345)*(E1346=E$2:E1345)))))</f>
        <v/>
      </c>
      <c r="J1346" s="14" t="str">
        <f aca="true">IF(OR(E1346="",E1346="!!!",F1346="NEW"),"",COUNTBLANK(OFFSET(A$1,,,SUMPRODUCT(MAX(ROW(E$2:E1346)*(E1346=E$2:E1346)))))-COUNTBLANK(OFFSET(A$1,,,SUMPRODUCT(MAX(ROW(E$1:E1345)*(E1346=E$1:E1345))))))</f>
        <v/>
      </c>
      <c r="K1346" s="14" t="str">
        <f aca="false">IF(OR(E1346="",E1346="!!!",F1346="NEW"),"",INDEX(J$1:J1345,SUMPRODUCT(MAX(ROW(E$1:E1345)*(E1346=E$1:E1345)))))</f>
        <v/>
      </c>
      <c r="L1346" s="15"/>
    </row>
    <row r="1347" customFormat="false" ht="12.75" hidden="false" customHeight="false" outlineLevel="0" collapsed="false">
      <c r="A1347" s="0" t="s">
        <v>612</v>
      </c>
      <c r="E1347" s="9" t="str">
        <f aca="false">IF(D1347="?OLD","!!!","")</f>
        <v/>
      </c>
      <c r="F1347" s="10" t="str">
        <f aca="false">IF(OR(E1347="",E1347="!!!"),"",IF(NOT(ISNA(VLOOKUP(E1347,E$1:E1346,1,FALSE()))),"OLD",IF(AND(E1347&lt;&gt;"",E1347&lt;&gt;"!!!"),"NEW","")))</f>
        <v/>
      </c>
      <c r="G1347" s="11" t="str">
        <f aca="false">IF(OR(E1347="",E1347="!!!"),"",IF(OR(J1347=0,AND(J1347=1,K1347=1),AND(J1347=1,I1347="SBJ"),AND(J1347=1,I1347=0)),"?IN_FOCUS",IF(J1347&lt;=2,"?ACTIVATED",IF(J1347&lt;&gt;"","?FAMILIAR",IF(F1347="NEW",IF(ISNA(VLOOKUP(E1347,#REF!,1,FALSE())),"?TYPE_IDENTIFIABLE","?REFERENTIAL"),"_")))))</f>
        <v/>
      </c>
      <c r="H1347" s="12" t="str">
        <f aca="false">IF(J1347&lt;&gt;1,"",IF(I1347="SBJ","CB","?"))</f>
        <v/>
      </c>
      <c r="I1347" s="13" t="str">
        <f aca="false">IF(OR(E1347="",E1347="!!!",F1347="NEW"),"",INDEX(B$2:B1346,-1+SUMPRODUCT(MAX(ROW(E$2:E1346)*(E1347=E$2:E1346)))))</f>
        <v/>
      </c>
      <c r="J1347" s="14" t="str">
        <f aca="true">IF(OR(E1347="",E1347="!!!",F1347="NEW"),"",COUNTBLANK(OFFSET(A$1,,,SUMPRODUCT(MAX(ROW(E$2:E1347)*(E1347=E$2:E1347)))))-COUNTBLANK(OFFSET(A$1,,,SUMPRODUCT(MAX(ROW(E$1:E1346)*(E1347=E$1:E1346))))))</f>
        <v/>
      </c>
      <c r="K1347" s="14" t="str">
        <f aca="false">IF(OR(E1347="",E1347="!!!",F1347="NEW"),"",INDEX(J$1:J1346,SUMPRODUCT(MAX(ROW(E$1:E1346)*(E1347=E$1:E1346)))))</f>
        <v/>
      </c>
      <c r="L1347" s="15"/>
    </row>
    <row r="1348" customFormat="false" ht="12.75" hidden="false" customHeight="false" outlineLevel="0" collapsed="false">
      <c r="A1348" s="0" t="s">
        <v>109</v>
      </c>
      <c r="E1348" s="9" t="str">
        <f aca="false">IF(D1348="?OLD","!!!","")</f>
        <v/>
      </c>
      <c r="F1348" s="10" t="str">
        <f aca="false">IF(OR(E1348="",E1348="!!!"),"",IF(NOT(ISNA(VLOOKUP(E1348,E$1:E1347,1,FALSE()))),"OLD",IF(AND(E1348&lt;&gt;"",E1348&lt;&gt;"!!!"),"NEW","")))</f>
        <v/>
      </c>
      <c r="G1348" s="11" t="str">
        <f aca="false">IF(OR(E1348="",E1348="!!!"),"",IF(OR(J1348=0,AND(J1348=1,K1348=1),AND(J1348=1,I1348="SBJ"),AND(J1348=1,I1348=0)),"?IN_FOCUS",IF(J1348&lt;=2,"?ACTIVATED",IF(J1348&lt;&gt;"","?FAMILIAR",IF(F1348="NEW",IF(ISNA(VLOOKUP(E1348,#REF!,1,FALSE())),"?TYPE_IDENTIFIABLE","?REFERENTIAL"),"_")))))</f>
        <v/>
      </c>
      <c r="H1348" s="12" t="str">
        <f aca="false">IF(J1348&lt;&gt;1,"",IF(I1348="SBJ","CB","?"))</f>
        <v/>
      </c>
      <c r="I1348" s="13" t="str">
        <f aca="false">IF(OR(E1348="",E1348="!!!",F1348="NEW"),"",INDEX(B$2:B1347,-1+SUMPRODUCT(MAX(ROW(E$2:E1347)*(E1348=E$2:E1347)))))</f>
        <v/>
      </c>
      <c r="J1348" s="14" t="str">
        <f aca="true">IF(OR(E1348="",E1348="!!!",F1348="NEW"),"",COUNTBLANK(OFFSET(A$1,,,SUMPRODUCT(MAX(ROW(E$2:E1348)*(E1348=E$2:E1348)))))-COUNTBLANK(OFFSET(A$1,,,SUMPRODUCT(MAX(ROW(E$1:E1347)*(E1348=E$1:E1347))))))</f>
        <v/>
      </c>
      <c r="K1348" s="14" t="str">
        <f aca="false">IF(OR(E1348="",E1348="!!!",F1348="NEW"),"",INDEX(J$1:J1347,SUMPRODUCT(MAX(ROW(E$1:E1347)*(E1348=E$1:E1347)))))</f>
        <v/>
      </c>
      <c r="L1348" s="15"/>
    </row>
    <row r="1349" customFormat="false" ht="12.75" hidden="false" customHeight="false" outlineLevel="0" collapsed="false">
      <c r="A1349" s="0" t="s">
        <v>613</v>
      </c>
      <c r="B1349" s="0" t="s">
        <v>14</v>
      </c>
      <c r="C1349" s="0" t="s">
        <v>111</v>
      </c>
      <c r="D1349" s="0" t="s">
        <v>29</v>
      </c>
      <c r="E1349" s="9" t="str">
        <f aca="false">IF(D1349="?OLD","!!!","")</f>
        <v>!!!</v>
      </c>
      <c r="F1349" s="10" t="str">
        <f aca="false">IF(OR(E1349="",E1349="!!!"),"",IF(NOT(ISNA(VLOOKUP(E1349,E$1:E1348,1,FALSE()))),"OLD",IF(AND(E1349&lt;&gt;"",E1349&lt;&gt;"!!!"),"NEW","")))</f>
        <v/>
      </c>
      <c r="G1349" s="11" t="str">
        <f aca="false">IF(OR(E1349="",E1349="!!!"),"",IF(OR(J1349=0,AND(J1349=1,K1349=1),AND(J1349=1,I1349="SBJ"),AND(J1349=1,I1349=0)),"?IN_FOCUS",IF(J1349&lt;=2,"?ACTIVATED",IF(J1349&lt;&gt;"","?FAMILIAR",IF(F1349="NEW",IF(ISNA(VLOOKUP(E1349,#REF!,1,FALSE())),"?TYPE_IDENTIFIABLE","?REFERENTIAL"),"_")))))</f>
        <v/>
      </c>
      <c r="H1349" s="12" t="str">
        <f aca="false">IF(J1349&lt;&gt;1,"",IF(I1349="SBJ","CB","?"))</f>
        <v/>
      </c>
      <c r="I1349" s="13" t="str">
        <f aca="false">IF(OR(E1349="",E1349="!!!",F1349="NEW"),"",INDEX(B$2:B1348,-1+SUMPRODUCT(MAX(ROW(E$2:E1348)*(E1349=E$2:E1348)))))</f>
        <v/>
      </c>
      <c r="J1349" s="14" t="str">
        <f aca="true">IF(OR(E1349="",E1349="!!!",F1349="NEW"),"",COUNTBLANK(OFFSET(A$1,,,SUMPRODUCT(MAX(ROW(E$2:E1349)*(E1349=E$2:E1349)))))-COUNTBLANK(OFFSET(A$1,,,SUMPRODUCT(MAX(ROW(E$1:E1348)*(E1349=E$1:E1348))))))</f>
        <v/>
      </c>
      <c r="K1349" s="14" t="str">
        <f aca="false">IF(OR(E1349="",E1349="!!!",F1349="NEW"),"",INDEX(J$1:J1348,SUMPRODUCT(MAX(ROW(E$1:E1348)*(E1349=E$1:E1348)))))</f>
        <v/>
      </c>
      <c r="L1349" s="15"/>
    </row>
    <row r="1350" customFormat="false" ht="12.75" hidden="false" customHeight="false" outlineLevel="0" collapsed="false">
      <c r="A1350" s="0" t="s">
        <v>48</v>
      </c>
      <c r="E1350" s="9" t="str">
        <f aca="false">IF(D1350="?OLD","!!!","")</f>
        <v/>
      </c>
      <c r="F1350" s="10" t="str">
        <f aca="false">IF(OR(E1350="",E1350="!!!"),"",IF(NOT(ISNA(VLOOKUP(E1350,E$1:E1349,1,FALSE()))),"OLD",IF(AND(E1350&lt;&gt;"",E1350&lt;&gt;"!!!"),"NEW","")))</f>
        <v/>
      </c>
      <c r="G1350" s="11" t="str">
        <f aca="false">IF(OR(E1350="",E1350="!!!"),"",IF(OR(J1350=0,AND(J1350=1,K1350=1),AND(J1350=1,I1350="SBJ"),AND(J1350=1,I1350=0)),"?IN_FOCUS",IF(J1350&lt;=2,"?ACTIVATED",IF(J1350&lt;&gt;"","?FAMILIAR",IF(F1350="NEW",IF(ISNA(VLOOKUP(E1350,#REF!,1,FALSE())),"?TYPE_IDENTIFIABLE","?REFERENTIAL"),"_")))))</f>
        <v/>
      </c>
      <c r="H1350" s="12" t="str">
        <f aca="false">IF(J1350&lt;&gt;1,"",IF(I1350="SBJ","CB","?"))</f>
        <v/>
      </c>
      <c r="I1350" s="13" t="str">
        <f aca="false">IF(OR(E1350="",E1350="!!!",F1350="NEW"),"",INDEX(B$2:B1349,-1+SUMPRODUCT(MAX(ROW(E$2:E1349)*(E1350=E$2:E1349)))))</f>
        <v/>
      </c>
      <c r="J1350" s="14" t="str">
        <f aca="true">IF(OR(E1350="",E1350="!!!",F1350="NEW"),"",COUNTBLANK(OFFSET(A$1,,,SUMPRODUCT(MAX(ROW(E$2:E1350)*(E1350=E$2:E1350)))))-COUNTBLANK(OFFSET(A$1,,,SUMPRODUCT(MAX(ROW(E$1:E1349)*(E1350=E$1:E1349))))))</f>
        <v/>
      </c>
      <c r="K1350" s="14" t="str">
        <f aca="false">IF(OR(E1350="",E1350="!!!",F1350="NEW"),"",INDEX(J$1:J1349,SUMPRODUCT(MAX(ROW(E$1:E1349)*(E1350=E$1:E1349)))))</f>
        <v/>
      </c>
      <c r="L1350" s="15"/>
    </row>
    <row r="1351" customFormat="false" ht="12.75" hidden="false" customHeight="false" outlineLevel="0" collapsed="false">
      <c r="A1351" s="0" t="s">
        <v>614</v>
      </c>
      <c r="E1351" s="9" t="str">
        <f aca="false">IF(D1351="?OLD","!!!","")</f>
        <v/>
      </c>
      <c r="F1351" s="10" t="str">
        <f aca="false">IF(OR(E1351="",E1351="!!!"),"",IF(NOT(ISNA(VLOOKUP(E1351,E$1:E1350,1,FALSE()))),"OLD",IF(AND(E1351&lt;&gt;"",E1351&lt;&gt;"!!!"),"NEW","")))</f>
        <v/>
      </c>
      <c r="G1351" s="11" t="str">
        <f aca="false">IF(OR(E1351="",E1351="!!!"),"",IF(OR(J1351=0,AND(J1351=1,K1351=1),AND(J1351=1,I1351="SBJ"),AND(J1351=1,I1351=0)),"?IN_FOCUS",IF(J1351&lt;=2,"?ACTIVATED",IF(J1351&lt;&gt;"","?FAMILIAR",IF(F1351="NEW",IF(ISNA(VLOOKUP(E1351,#REF!,1,FALSE())),"?TYPE_IDENTIFIABLE","?REFERENTIAL"),"_")))))</f>
        <v/>
      </c>
      <c r="H1351" s="12" t="str">
        <f aca="false">IF(J1351&lt;&gt;1,"",IF(I1351="SBJ","CB","?"))</f>
        <v/>
      </c>
      <c r="I1351" s="13" t="str">
        <f aca="false">IF(OR(E1351="",E1351="!!!",F1351="NEW"),"",INDEX(B$2:B1350,-1+SUMPRODUCT(MAX(ROW(E$2:E1350)*(E1351=E$2:E1350)))))</f>
        <v/>
      </c>
      <c r="J1351" s="14" t="str">
        <f aca="true">IF(OR(E1351="",E1351="!!!",F1351="NEW"),"",COUNTBLANK(OFFSET(A$1,,,SUMPRODUCT(MAX(ROW(E$2:E1351)*(E1351=E$2:E1351)))))-COUNTBLANK(OFFSET(A$1,,,SUMPRODUCT(MAX(ROW(E$1:E1350)*(E1351=E$1:E1350))))))</f>
        <v/>
      </c>
      <c r="K1351" s="14" t="str">
        <f aca="false">IF(OR(E1351="",E1351="!!!",F1351="NEW"),"",INDEX(J$1:J1350,SUMPRODUCT(MAX(ROW(E$1:E1350)*(E1351=E$1:E1350)))))</f>
        <v/>
      </c>
      <c r="L1351" s="15"/>
    </row>
    <row r="1352" customFormat="false" ht="12.75" hidden="false" customHeight="false" outlineLevel="0" collapsed="false">
      <c r="A1352" s="0" t="s">
        <v>88</v>
      </c>
      <c r="E1352" s="9" t="str">
        <f aca="false">IF(D1352="?OLD","!!!","")</f>
        <v/>
      </c>
      <c r="F1352" s="10" t="str">
        <f aca="false">IF(OR(E1352="",E1352="!!!"),"",IF(NOT(ISNA(VLOOKUP(E1352,E$1:E1351,1,FALSE()))),"OLD",IF(AND(E1352&lt;&gt;"",E1352&lt;&gt;"!!!"),"NEW","")))</f>
        <v/>
      </c>
      <c r="G1352" s="11" t="str">
        <f aca="false">IF(OR(E1352="",E1352="!!!"),"",IF(OR(J1352=0,AND(J1352=1,K1352=1),AND(J1352=1,I1352="SBJ"),AND(J1352=1,I1352=0)),"?IN_FOCUS",IF(J1352&lt;=2,"?ACTIVATED",IF(J1352&lt;&gt;"","?FAMILIAR",IF(F1352="NEW",IF(ISNA(VLOOKUP(E1352,#REF!,1,FALSE())),"?TYPE_IDENTIFIABLE","?REFERENTIAL"),"_")))))</f>
        <v/>
      </c>
      <c r="H1352" s="12" t="str">
        <f aca="false">IF(J1352&lt;&gt;1,"",IF(I1352="SBJ","CB","?"))</f>
        <v/>
      </c>
      <c r="I1352" s="13" t="str">
        <f aca="false">IF(OR(E1352="",E1352="!!!",F1352="NEW"),"",INDEX(B$2:B1351,-1+SUMPRODUCT(MAX(ROW(E$2:E1351)*(E1352=E$2:E1351)))))</f>
        <v/>
      </c>
      <c r="J1352" s="14" t="str">
        <f aca="true">IF(OR(E1352="",E1352="!!!",F1352="NEW"),"",COUNTBLANK(OFFSET(A$1,,,SUMPRODUCT(MAX(ROW(E$2:E1352)*(E1352=E$2:E1352)))))-COUNTBLANK(OFFSET(A$1,,,SUMPRODUCT(MAX(ROW(E$1:E1351)*(E1352=E$1:E1351))))))</f>
        <v/>
      </c>
      <c r="K1352" s="14" t="str">
        <f aca="false">IF(OR(E1352="",E1352="!!!",F1352="NEW"),"",INDEX(J$1:J1351,SUMPRODUCT(MAX(ROW(E$1:E1351)*(E1352=E$1:E1351)))))</f>
        <v/>
      </c>
      <c r="L1352" s="15"/>
    </row>
    <row r="1353" customFormat="false" ht="12.75" hidden="false" customHeight="false" outlineLevel="0" collapsed="false">
      <c r="A1353" s="0" t="s">
        <v>615</v>
      </c>
      <c r="E1353" s="9" t="str">
        <f aca="false">IF(D1353="?OLD","!!!","")</f>
        <v/>
      </c>
      <c r="F1353" s="10" t="str">
        <f aca="false">IF(OR(E1353="",E1353="!!!"),"",IF(NOT(ISNA(VLOOKUP(E1353,E$1:E1352,1,FALSE()))),"OLD",IF(AND(E1353&lt;&gt;"",E1353&lt;&gt;"!!!"),"NEW","")))</f>
        <v/>
      </c>
      <c r="G1353" s="11" t="str">
        <f aca="false">IF(OR(E1353="",E1353="!!!"),"",IF(OR(J1353=0,AND(J1353=1,K1353=1),AND(J1353=1,I1353="SBJ"),AND(J1353=1,I1353=0)),"?IN_FOCUS",IF(J1353&lt;=2,"?ACTIVATED",IF(J1353&lt;&gt;"","?FAMILIAR",IF(F1353="NEW",IF(ISNA(VLOOKUP(E1353,#REF!,1,FALSE())),"?TYPE_IDENTIFIABLE","?REFERENTIAL"),"_")))))</f>
        <v/>
      </c>
      <c r="H1353" s="12" t="str">
        <f aca="false">IF(J1353&lt;&gt;1,"",IF(I1353="SBJ","CB","?"))</f>
        <v/>
      </c>
      <c r="I1353" s="13" t="str">
        <f aca="false">IF(OR(E1353="",E1353="!!!",F1353="NEW"),"",INDEX(B$2:B1352,-1+SUMPRODUCT(MAX(ROW(E$2:E1352)*(E1353=E$2:E1352)))))</f>
        <v/>
      </c>
      <c r="J1353" s="14" t="str">
        <f aca="true">IF(OR(E1353="",E1353="!!!",F1353="NEW"),"",COUNTBLANK(OFFSET(A$1,,,SUMPRODUCT(MAX(ROW(E$2:E1353)*(E1353=E$2:E1353)))))-COUNTBLANK(OFFSET(A$1,,,SUMPRODUCT(MAX(ROW(E$1:E1352)*(E1353=E$1:E1352))))))</f>
        <v/>
      </c>
      <c r="K1353" s="14" t="str">
        <f aca="false">IF(OR(E1353="",E1353="!!!",F1353="NEW"),"",INDEX(J$1:J1352,SUMPRODUCT(MAX(ROW(E$1:E1352)*(E1353=E$1:E1352)))))</f>
        <v/>
      </c>
      <c r="L1353" s="15"/>
    </row>
    <row r="1354" customFormat="false" ht="12.75" hidden="false" customHeight="false" outlineLevel="0" collapsed="false">
      <c r="A1354" s="0" t="s">
        <v>351</v>
      </c>
      <c r="E1354" s="9" t="str">
        <f aca="false">IF(D1354="?OLD","!!!","")</f>
        <v/>
      </c>
      <c r="F1354" s="10" t="str">
        <f aca="false">IF(OR(E1354="",E1354="!!!"),"",IF(NOT(ISNA(VLOOKUP(E1354,E$1:E1353,1,FALSE()))),"OLD",IF(AND(E1354&lt;&gt;"",E1354&lt;&gt;"!!!"),"NEW","")))</f>
        <v/>
      </c>
      <c r="G1354" s="11" t="str">
        <f aca="false">IF(OR(E1354="",E1354="!!!"),"",IF(OR(J1354=0,AND(J1354=1,K1354=1),AND(J1354=1,I1354="SBJ"),AND(J1354=1,I1354=0)),"?IN_FOCUS",IF(J1354&lt;=2,"?ACTIVATED",IF(J1354&lt;&gt;"","?FAMILIAR",IF(F1354="NEW",IF(ISNA(VLOOKUP(E1354,#REF!,1,FALSE())),"?TYPE_IDENTIFIABLE","?REFERENTIAL"),"_")))))</f>
        <v/>
      </c>
      <c r="H1354" s="12" t="str">
        <f aca="false">IF(J1354&lt;&gt;1,"",IF(I1354="SBJ","CB","?"))</f>
        <v/>
      </c>
      <c r="I1354" s="13" t="str">
        <f aca="false">IF(OR(E1354="",E1354="!!!",F1354="NEW"),"",INDEX(B$2:B1353,-1+SUMPRODUCT(MAX(ROW(E$2:E1353)*(E1354=E$2:E1353)))))</f>
        <v/>
      </c>
      <c r="J1354" s="14" t="str">
        <f aca="true">IF(OR(E1354="",E1354="!!!",F1354="NEW"),"",COUNTBLANK(OFFSET(A$1,,,SUMPRODUCT(MAX(ROW(E$2:E1354)*(E1354=E$2:E1354)))))-COUNTBLANK(OFFSET(A$1,,,SUMPRODUCT(MAX(ROW(E$1:E1353)*(E1354=E$1:E1353))))))</f>
        <v/>
      </c>
      <c r="K1354" s="14" t="str">
        <f aca="false">IF(OR(E1354="",E1354="!!!",F1354="NEW"),"",INDEX(J$1:J1353,SUMPRODUCT(MAX(ROW(E$1:E1353)*(E1354=E$1:E1353)))))</f>
        <v/>
      </c>
      <c r="L1354" s="15"/>
    </row>
    <row r="1355" customFormat="false" ht="12.75" hidden="false" customHeight="false" outlineLevel="0" collapsed="false">
      <c r="A1355" s="0" t="s">
        <v>142</v>
      </c>
      <c r="B1355" s="0" t="s">
        <v>28</v>
      </c>
      <c r="C1355" s="0" t="s">
        <v>38</v>
      </c>
      <c r="D1355" s="0" t="s">
        <v>29</v>
      </c>
      <c r="E1355" s="9" t="str">
        <f aca="false">IF(D1355="?OLD","!!!","")</f>
        <v>!!!</v>
      </c>
      <c r="F1355" s="10" t="str">
        <f aca="false">IF(OR(E1355="",E1355="!!!"),"",IF(NOT(ISNA(VLOOKUP(E1355,E$1:E1354,1,FALSE()))),"OLD",IF(AND(E1355&lt;&gt;"",E1355&lt;&gt;"!!!"),"NEW","")))</f>
        <v/>
      </c>
      <c r="G1355" s="11" t="str">
        <f aca="false">IF(OR(E1355="",E1355="!!!"),"",IF(OR(J1355=0,AND(J1355=1,K1355=1),AND(J1355=1,I1355="SBJ"),AND(J1355=1,I1355=0)),"?IN_FOCUS",IF(J1355&lt;=2,"?ACTIVATED",IF(J1355&lt;&gt;"","?FAMILIAR",IF(F1355="NEW",IF(ISNA(VLOOKUP(E1355,#REF!,1,FALSE())),"?TYPE_IDENTIFIABLE","?REFERENTIAL"),"_")))))</f>
        <v/>
      </c>
      <c r="H1355" s="12" t="str">
        <f aca="false">IF(J1355&lt;&gt;1,"",IF(I1355="SBJ","CB","?"))</f>
        <v/>
      </c>
      <c r="I1355" s="13" t="str">
        <f aca="false">IF(OR(E1355="",E1355="!!!",F1355="NEW"),"",INDEX(B$2:B1354,-1+SUMPRODUCT(MAX(ROW(E$2:E1354)*(E1355=E$2:E1354)))))</f>
        <v/>
      </c>
      <c r="J1355" s="14" t="str">
        <f aca="true">IF(OR(E1355="",E1355="!!!",F1355="NEW"),"",COUNTBLANK(OFFSET(A$1,,,SUMPRODUCT(MAX(ROW(E$2:E1355)*(E1355=E$2:E1355)))))-COUNTBLANK(OFFSET(A$1,,,SUMPRODUCT(MAX(ROW(E$1:E1354)*(E1355=E$1:E1354))))))</f>
        <v/>
      </c>
      <c r="K1355" s="14" t="str">
        <f aca="false">IF(OR(E1355="",E1355="!!!",F1355="NEW"),"",INDEX(J$1:J1354,SUMPRODUCT(MAX(ROW(E$1:E1354)*(E1355=E$1:E1354)))))</f>
        <v/>
      </c>
      <c r="L1355" s="15"/>
    </row>
    <row r="1356" customFormat="false" ht="12.75" hidden="false" customHeight="false" outlineLevel="0" collapsed="false">
      <c r="A1356" s="0" t="s">
        <v>73</v>
      </c>
      <c r="E1356" s="9" t="str">
        <f aca="false">IF(D1356="?OLD","!!!","")</f>
        <v/>
      </c>
      <c r="F1356" s="10" t="str">
        <f aca="false">IF(OR(E1356="",E1356="!!!"),"",IF(NOT(ISNA(VLOOKUP(E1356,E$1:E1355,1,FALSE()))),"OLD",IF(AND(E1356&lt;&gt;"",E1356&lt;&gt;"!!!"),"NEW","")))</f>
        <v/>
      </c>
      <c r="G1356" s="11" t="str">
        <f aca="false">IF(OR(E1356="",E1356="!!!"),"",IF(OR(J1356=0,AND(J1356=1,K1356=1),AND(J1356=1,I1356="SBJ"),AND(J1356=1,I1356=0)),"?IN_FOCUS",IF(J1356&lt;=2,"?ACTIVATED",IF(J1356&lt;&gt;"","?FAMILIAR",IF(F1356="NEW",IF(ISNA(VLOOKUP(E1356,#REF!,1,FALSE())),"?TYPE_IDENTIFIABLE","?REFERENTIAL"),"_")))))</f>
        <v/>
      </c>
      <c r="H1356" s="12" t="str">
        <f aca="false">IF(J1356&lt;&gt;1,"",IF(I1356="SBJ","CB","?"))</f>
        <v/>
      </c>
      <c r="I1356" s="13" t="str">
        <f aca="false">IF(OR(E1356="",E1356="!!!",F1356="NEW"),"",INDEX(B$2:B1355,-1+SUMPRODUCT(MAX(ROW(E$2:E1355)*(E1356=E$2:E1355)))))</f>
        <v/>
      </c>
      <c r="J1356" s="14" t="str">
        <f aca="true">IF(OR(E1356="",E1356="!!!",F1356="NEW"),"",COUNTBLANK(OFFSET(A$1,,,SUMPRODUCT(MAX(ROW(E$2:E1356)*(E1356=E$2:E1356)))))-COUNTBLANK(OFFSET(A$1,,,SUMPRODUCT(MAX(ROW(E$1:E1355)*(E1356=E$1:E1355))))))</f>
        <v/>
      </c>
      <c r="K1356" s="14" t="str">
        <f aca="false">IF(OR(E1356="",E1356="!!!",F1356="NEW"),"",INDEX(J$1:J1355,SUMPRODUCT(MAX(ROW(E$1:E1355)*(E1356=E$1:E1355)))))</f>
        <v/>
      </c>
      <c r="L1356" s="15"/>
    </row>
    <row r="1357" customFormat="false" ht="12.75" hidden="false" customHeight="false" outlineLevel="0" collapsed="false">
      <c r="E1357" s="9" t="str">
        <f aca="false">IF(D1357="?OLD","!!!","")</f>
        <v/>
      </c>
      <c r="F1357" s="10" t="str">
        <f aca="false">IF(OR(E1357="",E1357="!!!"),"",IF(NOT(ISNA(VLOOKUP(E1357,E$1:E1356,1,FALSE()))),"OLD",IF(AND(E1357&lt;&gt;"",E1357&lt;&gt;"!!!"),"NEW","")))</f>
        <v/>
      </c>
      <c r="G1357" s="11" t="str">
        <f aca="false">IF(OR(E1357="",E1357="!!!"),"",IF(OR(J1357=0,AND(J1357=1,K1357=1),AND(J1357=1,I1357="SBJ"),AND(J1357=1,I1357=0)),"?IN_FOCUS",IF(J1357&lt;=2,"?ACTIVATED",IF(J1357&lt;&gt;"","?FAMILIAR",IF(F1357="NEW",IF(ISNA(VLOOKUP(E1357,#REF!,1,FALSE())),"?TYPE_IDENTIFIABLE","?REFERENTIAL"),"_")))))</f>
        <v/>
      </c>
      <c r="H1357" s="12" t="str">
        <f aca="false">IF(J1357&lt;&gt;1,"",IF(I1357="SBJ","CB","?"))</f>
        <v/>
      </c>
      <c r="I1357" s="13" t="str">
        <f aca="false">IF(OR(E1357="",E1357="!!!",F1357="NEW"),"",INDEX(B$2:B1356,-1+SUMPRODUCT(MAX(ROW(E$2:E1356)*(E1357=E$2:E1356)))))</f>
        <v/>
      </c>
      <c r="J1357" s="14" t="str">
        <f aca="true">IF(OR(E1357="",E1357="!!!",F1357="NEW"),"",COUNTBLANK(OFFSET(A$1,,,SUMPRODUCT(MAX(ROW(E$2:E1357)*(E1357=E$2:E1357)))))-COUNTBLANK(OFFSET(A$1,,,SUMPRODUCT(MAX(ROW(E$1:E1356)*(E1357=E$1:E1356))))))</f>
        <v/>
      </c>
      <c r="K1357" s="14" t="str">
        <f aca="false">IF(OR(E1357="",E1357="!!!",F1357="NEW"),"",INDEX(J$1:J1356,SUMPRODUCT(MAX(ROW(E$1:E1356)*(E1357=E$1:E1356)))))</f>
        <v/>
      </c>
      <c r="L1357" s="15"/>
    </row>
    <row r="1358" customFormat="false" ht="12.75" hidden="false" customHeight="false" outlineLevel="0" collapsed="false">
      <c r="A1358" s="0" t="s">
        <v>616</v>
      </c>
      <c r="E1358" s="9" t="str">
        <f aca="false">IF(D1358="?OLD","!!!","")</f>
        <v/>
      </c>
      <c r="F1358" s="10" t="str">
        <f aca="false">IF(OR(E1358="",E1358="!!!"),"",IF(NOT(ISNA(VLOOKUP(E1358,E$1:E1357,1,FALSE()))),"OLD",IF(AND(E1358&lt;&gt;"",E1358&lt;&gt;"!!!"),"NEW","")))</f>
        <v/>
      </c>
      <c r="G1358" s="11" t="str">
        <f aca="false">IF(OR(E1358="",E1358="!!!"),"",IF(OR(J1358=0,AND(J1358=1,K1358=1),AND(J1358=1,I1358="SBJ"),AND(J1358=1,I1358=0)),"?IN_FOCUS",IF(J1358&lt;=2,"?ACTIVATED",IF(J1358&lt;&gt;"","?FAMILIAR",IF(F1358="NEW",IF(ISNA(VLOOKUP(E1358,#REF!,1,FALSE())),"?TYPE_IDENTIFIABLE","?REFERENTIAL"),"_")))))</f>
        <v/>
      </c>
      <c r="H1358" s="12" t="str">
        <f aca="false">IF(J1358&lt;&gt;1,"",IF(I1358="SBJ","CB","?"))</f>
        <v/>
      </c>
      <c r="I1358" s="13" t="str">
        <f aca="false">IF(OR(E1358="",E1358="!!!",F1358="NEW"),"",INDEX(B$2:B1357,-1+SUMPRODUCT(MAX(ROW(E$2:E1357)*(E1358=E$2:E1357)))))</f>
        <v/>
      </c>
      <c r="J1358" s="14" t="str">
        <f aca="true">IF(OR(E1358="",E1358="!!!",F1358="NEW"),"",COUNTBLANK(OFFSET(A$1,,,SUMPRODUCT(MAX(ROW(E$2:E1358)*(E1358=E$2:E1358)))))-COUNTBLANK(OFFSET(A$1,,,SUMPRODUCT(MAX(ROW(E$1:E1357)*(E1358=E$1:E1357))))))</f>
        <v/>
      </c>
      <c r="K1358" s="14" t="str">
        <f aca="false">IF(OR(E1358="",E1358="!!!",F1358="NEW"),"",INDEX(J$1:J1357,SUMPRODUCT(MAX(ROW(E$1:E1357)*(E1358=E$1:E1357)))))</f>
        <v/>
      </c>
      <c r="L1358" s="15"/>
    </row>
    <row r="1359" customFormat="false" ht="12.75" hidden="false" customHeight="false" outlineLevel="0" collapsed="false">
      <c r="A1359" s="0" t="s">
        <v>109</v>
      </c>
      <c r="E1359" s="9" t="str">
        <f aca="false">IF(D1359="?OLD","!!!","")</f>
        <v/>
      </c>
      <c r="F1359" s="10" t="str">
        <f aca="false">IF(OR(E1359="",E1359="!!!"),"",IF(NOT(ISNA(VLOOKUP(E1359,E$1:E1358,1,FALSE()))),"OLD",IF(AND(E1359&lt;&gt;"",E1359&lt;&gt;"!!!"),"NEW","")))</f>
        <v/>
      </c>
      <c r="G1359" s="11" t="str">
        <f aca="false">IF(OR(E1359="",E1359="!!!"),"",IF(OR(J1359=0,AND(J1359=1,K1359=1),AND(J1359=1,I1359="SBJ"),AND(J1359=1,I1359=0)),"?IN_FOCUS",IF(J1359&lt;=2,"?ACTIVATED",IF(J1359&lt;&gt;"","?FAMILIAR",IF(F1359="NEW",IF(ISNA(VLOOKUP(E1359,#REF!,1,FALSE())),"?TYPE_IDENTIFIABLE","?REFERENTIAL"),"_")))))</f>
        <v/>
      </c>
      <c r="H1359" s="12" t="str">
        <f aca="false">IF(J1359&lt;&gt;1,"",IF(I1359="SBJ","CB","?"))</f>
        <v/>
      </c>
      <c r="I1359" s="13" t="str">
        <f aca="false">IF(OR(E1359="",E1359="!!!",F1359="NEW"),"",INDEX(B$2:B1358,-1+SUMPRODUCT(MAX(ROW(E$2:E1358)*(E1359=E$2:E1358)))))</f>
        <v/>
      </c>
      <c r="J1359" s="14" t="str">
        <f aca="true">IF(OR(E1359="",E1359="!!!",F1359="NEW"),"",COUNTBLANK(OFFSET(A$1,,,SUMPRODUCT(MAX(ROW(E$2:E1359)*(E1359=E$2:E1359)))))-COUNTBLANK(OFFSET(A$1,,,SUMPRODUCT(MAX(ROW(E$1:E1358)*(E1359=E$1:E1358))))))</f>
        <v/>
      </c>
      <c r="K1359" s="14" t="str">
        <f aca="false">IF(OR(E1359="",E1359="!!!",F1359="NEW"),"",INDEX(J$1:J1358,SUMPRODUCT(MAX(ROW(E$1:E1358)*(E1359=E$1:E1358)))))</f>
        <v/>
      </c>
      <c r="L1359" s="15"/>
    </row>
    <row r="1360" customFormat="false" ht="12.75" hidden="false" customHeight="false" outlineLevel="0" collapsed="false">
      <c r="A1360" s="0" t="s">
        <v>617</v>
      </c>
      <c r="E1360" s="9" t="str">
        <f aca="false">IF(D1360="?OLD","!!!","")</f>
        <v/>
      </c>
      <c r="F1360" s="10" t="str">
        <f aca="false">IF(OR(E1360="",E1360="!!!"),"",IF(NOT(ISNA(VLOOKUP(E1360,E$1:E1359,1,FALSE()))),"OLD",IF(AND(E1360&lt;&gt;"",E1360&lt;&gt;"!!!"),"NEW","")))</f>
        <v/>
      </c>
      <c r="G1360" s="11" t="str">
        <f aca="false">IF(OR(E1360="",E1360="!!!"),"",IF(OR(J1360=0,AND(J1360=1,K1360=1),AND(J1360=1,I1360="SBJ"),AND(J1360=1,I1360=0)),"?IN_FOCUS",IF(J1360&lt;=2,"?ACTIVATED",IF(J1360&lt;&gt;"","?FAMILIAR",IF(F1360="NEW",IF(ISNA(VLOOKUP(E1360,#REF!,1,FALSE())),"?TYPE_IDENTIFIABLE","?REFERENTIAL"),"_")))))</f>
        <v/>
      </c>
      <c r="H1360" s="12" t="str">
        <f aca="false">IF(J1360&lt;&gt;1,"",IF(I1360="SBJ","CB","?"))</f>
        <v/>
      </c>
      <c r="I1360" s="13" t="str">
        <f aca="false">IF(OR(E1360="",E1360="!!!",F1360="NEW"),"",INDEX(B$2:B1359,-1+SUMPRODUCT(MAX(ROW(E$2:E1359)*(E1360=E$2:E1359)))))</f>
        <v/>
      </c>
      <c r="J1360" s="14" t="str">
        <f aca="true">IF(OR(E1360="",E1360="!!!",F1360="NEW"),"",COUNTBLANK(OFFSET(A$1,,,SUMPRODUCT(MAX(ROW(E$2:E1360)*(E1360=E$2:E1360)))))-COUNTBLANK(OFFSET(A$1,,,SUMPRODUCT(MAX(ROW(E$1:E1359)*(E1360=E$1:E1359))))))</f>
        <v/>
      </c>
      <c r="K1360" s="14" t="str">
        <f aca="false">IF(OR(E1360="",E1360="!!!",F1360="NEW"),"",INDEX(J$1:J1359,SUMPRODUCT(MAX(ROW(E$1:E1359)*(E1360=E$1:E1359)))))</f>
        <v/>
      </c>
      <c r="L1360" s="15"/>
    </row>
    <row r="1361" customFormat="false" ht="12.75" hidden="false" customHeight="false" outlineLevel="0" collapsed="false">
      <c r="A1361" s="0" t="s">
        <v>571</v>
      </c>
      <c r="B1361" s="0" t="s">
        <v>62</v>
      </c>
      <c r="C1361" s="0" t="s">
        <v>111</v>
      </c>
      <c r="D1361" s="0" t="s">
        <v>29</v>
      </c>
      <c r="E1361" s="9" t="str">
        <f aca="false">IF(D1361="?OLD","!!!","")</f>
        <v>!!!</v>
      </c>
      <c r="F1361" s="10" t="str">
        <f aca="false">IF(OR(E1361="",E1361="!!!"),"",IF(NOT(ISNA(VLOOKUP(E1361,E$1:E1360,1,FALSE()))),"OLD",IF(AND(E1361&lt;&gt;"",E1361&lt;&gt;"!!!"),"NEW","")))</f>
        <v/>
      </c>
      <c r="G1361" s="11" t="str">
        <f aca="false">IF(OR(E1361="",E1361="!!!"),"",IF(OR(J1361=0,AND(J1361=1,K1361=1),AND(J1361=1,I1361="SBJ"),AND(J1361=1,I1361=0)),"?IN_FOCUS",IF(J1361&lt;=2,"?ACTIVATED",IF(J1361&lt;&gt;"","?FAMILIAR",IF(F1361="NEW",IF(ISNA(VLOOKUP(E1361,#REF!,1,FALSE())),"?TYPE_IDENTIFIABLE","?REFERENTIAL"),"_")))))</f>
        <v/>
      </c>
      <c r="H1361" s="12" t="str">
        <f aca="false">IF(J1361&lt;&gt;1,"",IF(I1361="SBJ","CB","?"))</f>
        <v/>
      </c>
      <c r="I1361" s="13" t="str">
        <f aca="false">IF(OR(E1361="",E1361="!!!",F1361="NEW"),"",INDEX(B$2:B1360,-1+SUMPRODUCT(MAX(ROW(E$2:E1360)*(E1361=E$2:E1360)))))</f>
        <v/>
      </c>
      <c r="J1361" s="14" t="str">
        <f aca="true">IF(OR(E1361="",E1361="!!!",F1361="NEW"),"",COUNTBLANK(OFFSET(A$1,,,SUMPRODUCT(MAX(ROW(E$2:E1361)*(E1361=E$2:E1361)))))-COUNTBLANK(OFFSET(A$1,,,SUMPRODUCT(MAX(ROW(E$1:E1360)*(E1361=E$1:E1360))))))</f>
        <v/>
      </c>
      <c r="K1361" s="14" t="str">
        <f aca="false">IF(OR(E1361="",E1361="!!!",F1361="NEW"),"",INDEX(J$1:J1360,SUMPRODUCT(MAX(ROW(E$1:E1360)*(E1361=E$1:E1360)))))</f>
        <v/>
      </c>
      <c r="L1361" s="15"/>
    </row>
    <row r="1362" customFormat="false" ht="12.75" hidden="false" customHeight="false" outlineLevel="0" collapsed="false">
      <c r="A1362" s="0" t="s">
        <v>176</v>
      </c>
      <c r="E1362" s="9" t="str">
        <f aca="false">IF(D1362="?OLD","!!!","")</f>
        <v/>
      </c>
      <c r="F1362" s="10" t="str">
        <f aca="false">IF(OR(E1362="",E1362="!!!"),"",IF(NOT(ISNA(VLOOKUP(E1362,E$1:E1361,1,FALSE()))),"OLD",IF(AND(E1362&lt;&gt;"",E1362&lt;&gt;"!!!"),"NEW","")))</f>
        <v/>
      </c>
      <c r="G1362" s="11" t="str">
        <f aca="false">IF(OR(E1362="",E1362="!!!"),"",IF(OR(J1362=0,AND(J1362=1,K1362=1),AND(J1362=1,I1362="SBJ"),AND(J1362=1,I1362=0)),"?IN_FOCUS",IF(J1362&lt;=2,"?ACTIVATED",IF(J1362&lt;&gt;"","?FAMILIAR",IF(F1362="NEW",IF(ISNA(VLOOKUP(E1362,#REF!,1,FALSE())),"?TYPE_IDENTIFIABLE","?REFERENTIAL"),"_")))))</f>
        <v/>
      </c>
      <c r="H1362" s="12" t="str">
        <f aca="false">IF(J1362&lt;&gt;1,"",IF(I1362="SBJ","CB","?"))</f>
        <v/>
      </c>
      <c r="I1362" s="13" t="str">
        <f aca="false">IF(OR(E1362="",E1362="!!!",F1362="NEW"),"",INDEX(B$2:B1361,-1+SUMPRODUCT(MAX(ROW(E$2:E1361)*(E1362=E$2:E1361)))))</f>
        <v/>
      </c>
      <c r="J1362" s="14" t="str">
        <f aca="true">IF(OR(E1362="",E1362="!!!",F1362="NEW"),"",COUNTBLANK(OFFSET(A$1,,,SUMPRODUCT(MAX(ROW(E$2:E1362)*(E1362=E$2:E1362)))))-COUNTBLANK(OFFSET(A$1,,,SUMPRODUCT(MAX(ROW(E$1:E1361)*(E1362=E$1:E1361))))))</f>
        <v/>
      </c>
      <c r="K1362" s="14" t="str">
        <f aca="false">IF(OR(E1362="",E1362="!!!",F1362="NEW"),"",INDEX(J$1:J1361,SUMPRODUCT(MAX(ROW(E$1:E1361)*(E1362=E$1:E1361)))))</f>
        <v/>
      </c>
      <c r="L1362" s="15"/>
    </row>
    <row r="1363" customFormat="false" ht="12.75" hidden="false" customHeight="false" outlineLevel="0" collapsed="false">
      <c r="A1363" s="0" t="s">
        <v>88</v>
      </c>
      <c r="E1363" s="9" t="str">
        <f aca="false">IF(D1363="?OLD","!!!","")</f>
        <v/>
      </c>
      <c r="F1363" s="10" t="str">
        <f aca="false">IF(OR(E1363="",E1363="!!!"),"",IF(NOT(ISNA(VLOOKUP(E1363,E$1:E1362,1,FALSE()))),"OLD",IF(AND(E1363&lt;&gt;"",E1363&lt;&gt;"!!!"),"NEW","")))</f>
        <v/>
      </c>
      <c r="G1363" s="11" t="str">
        <f aca="false">IF(OR(E1363="",E1363="!!!"),"",IF(OR(J1363=0,AND(J1363=1,K1363=1),AND(J1363=1,I1363="SBJ"),AND(J1363=1,I1363=0)),"?IN_FOCUS",IF(J1363&lt;=2,"?ACTIVATED",IF(J1363&lt;&gt;"","?FAMILIAR",IF(F1363="NEW",IF(ISNA(VLOOKUP(E1363,#REF!,1,FALSE())),"?TYPE_IDENTIFIABLE","?REFERENTIAL"),"_")))))</f>
        <v/>
      </c>
      <c r="H1363" s="12" t="str">
        <f aca="false">IF(J1363&lt;&gt;1,"",IF(I1363="SBJ","CB","?"))</f>
        <v/>
      </c>
      <c r="I1363" s="13" t="str">
        <f aca="false">IF(OR(E1363="",E1363="!!!",F1363="NEW"),"",INDEX(B$2:B1362,-1+SUMPRODUCT(MAX(ROW(E$2:E1362)*(E1363=E$2:E1362)))))</f>
        <v/>
      </c>
      <c r="J1363" s="14" t="str">
        <f aca="true">IF(OR(E1363="",E1363="!!!",F1363="NEW"),"",COUNTBLANK(OFFSET(A$1,,,SUMPRODUCT(MAX(ROW(E$2:E1363)*(E1363=E$2:E1363)))))-COUNTBLANK(OFFSET(A$1,,,SUMPRODUCT(MAX(ROW(E$1:E1362)*(E1363=E$1:E1362))))))</f>
        <v/>
      </c>
      <c r="K1363" s="14" t="str">
        <f aca="false">IF(OR(E1363="",E1363="!!!",F1363="NEW"),"",INDEX(J$1:J1362,SUMPRODUCT(MAX(ROW(E$1:E1362)*(E1363=E$1:E1362)))))</f>
        <v/>
      </c>
      <c r="L1363" s="15"/>
    </row>
    <row r="1364" customFormat="false" ht="12.75" hidden="false" customHeight="false" outlineLevel="0" collapsed="false">
      <c r="A1364" s="0" t="s">
        <v>618</v>
      </c>
      <c r="E1364" s="9" t="str">
        <f aca="false">IF(D1364="?OLD","!!!","")</f>
        <v/>
      </c>
      <c r="F1364" s="10" t="str">
        <f aca="false">IF(OR(E1364="",E1364="!!!"),"",IF(NOT(ISNA(VLOOKUP(E1364,E$1:E1363,1,FALSE()))),"OLD",IF(AND(E1364&lt;&gt;"",E1364&lt;&gt;"!!!"),"NEW","")))</f>
        <v/>
      </c>
      <c r="G1364" s="11" t="str">
        <f aca="false">IF(OR(E1364="",E1364="!!!"),"",IF(OR(J1364=0,AND(J1364=1,K1364=1),AND(J1364=1,I1364="SBJ"),AND(J1364=1,I1364=0)),"?IN_FOCUS",IF(J1364&lt;=2,"?ACTIVATED",IF(J1364&lt;&gt;"","?FAMILIAR",IF(F1364="NEW",IF(ISNA(VLOOKUP(E1364,#REF!,1,FALSE())),"?TYPE_IDENTIFIABLE","?REFERENTIAL"),"_")))))</f>
        <v/>
      </c>
      <c r="H1364" s="12" t="str">
        <f aca="false">IF(J1364&lt;&gt;1,"",IF(I1364="SBJ","CB","?"))</f>
        <v/>
      </c>
      <c r="I1364" s="13" t="str">
        <f aca="false">IF(OR(E1364="",E1364="!!!",F1364="NEW"),"",INDEX(B$2:B1363,-1+SUMPRODUCT(MAX(ROW(E$2:E1363)*(E1364=E$2:E1363)))))</f>
        <v/>
      </c>
      <c r="J1364" s="14" t="str">
        <f aca="true">IF(OR(E1364="",E1364="!!!",F1364="NEW"),"",COUNTBLANK(OFFSET(A$1,,,SUMPRODUCT(MAX(ROW(E$2:E1364)*(E1364=E$2:E1364)))))-COUNTBLANK(OFFSET(A$1,,,SUMPRODUCT(MAX(ROW(E$1:E1363)*(E1364=E$1:E1363))))))</f>
        <v/>
      </c>
      <c r="K1364" s="14" t="str">
        <f aca="false">IF(OR(E1364="",E1364="!!!",F1364="NEW"),"",INDEX(J$1:J1363,SUMPRODUCT(MAX(ROW(E$1:E1363)*(E1364=E$1:E1363)))))</f>
        <v/>
      </c>
      <c r="L1364" s="15"/>
    </row>
    <row r="1365" customFormat="false" ht="12.75" hidden="false" customHeight="false" outlineLevel="0" collapsed="false">
      <c r="A1365" s="0" t="s">
        <v>31</v>
      </c>
      <c r="E1365" s="9" t="str">
        <f aca="false">IF(D1365="?OLD","!!!","")</f>
        <v/>
      </c>
      <c r="F1365" s="10" t="str">
        <f aca="false">IF(OR(E1365="",E1365="!!!"),"",IF(NOT(ISNA(VLOOKUP(E1365,E$1:E1364,1,FALSE()))),"OLD",IF(AND(E1365&lt;&gt;"",E1365&lt;&gt;"!!!"),"NEW","")))</f>
        <v/>
      </c>
      <c r="G1365" s="11" t="str">
        <f aca="false">IF(OR(E1365="",E1365="!!!"),"",IF(OR(J1365=0,AND(J1365=1,K1365=1),AND(J1365=1,I1365="SBJ"),AND(J1365=1,I1365=0)),"?IN_FOCUS",IF(J1365&lt;=2,"?ACTIVATED",IF(J1365&lt;&gt;"","?FAMILIAR",IF(F1365="NEW",IF(ISNA(VLOOKUP(E1365,#REF!,1,FALSE())),"?TYPE_IDENTIFIABLE","?REFERENTIAL"),"_")))))</f>
        <v/>
      </c>
      <c r="H1365" s="12" t="str">
        <f aca="false">IF(J1365&lt;&gt;1,"",IF(I1365="SBJ","CB","?"))</f>
        <v/>
      </c>
      <c r="I1365" s="13" t="str">
        <f aca="false">IF(OR(E1365="",E1365="!!!",F1365="NEW"),"",INDEX(B$2:B1364,-1+SUMPRODUCT(MAX(ROW(E$2:E1364)*(E1365=E$2:E1364)))))</f>
        <v/>
      </c>
      <c r="J1365" s="14" t="str">
        <f aca="true">IF(OR(E1365="",E1365="!!!",F1365="NEW"),"",COUNTBLANK(OFFSET(A$1,,,SUMPRODUCT(MAX(ROW(E$2:E1365)*(E1365=E$2:E1365)))))-COUNTBLANK(OFFSET(A$1,,,SUMPRODUCT(MAX(ROW(E$1:E1364)*(E1365=E$1:E1364))))))</f>
        <v/>
      </c>
      <c r="K1365" s="14" t="str">
        <f aca="false">IF(OR(E1365="",E1365="!!!",F1365="NEW"),"",INDEX(J$1:J1364,SUMPRODUCT(MAX(ROW(E$1:E1364)*(E1365=E$1:E1364)))))</f>
        <v/>
      </c>
      <c r="L1365" s="15"/>
    </row>
    <row r="1366" customFormat="false" ht="12.75" hidden="false" customHeight="false" outlineLevel="0" collapsed="false">
      <c r="A1366" s="0" t="s">
        <v>255</v>
      </c>
      <c r="E1366" s="9" t="str">
        <f aca="false">IF(D1366="?OLD","!!!","")</f>
        <v/>
      </c>
      <c r="F1366" s="10" t="str">
        <f aca="false">IF(OR(E1366="",E1366="!!!"),"",IF(NOT(ISNA(VLOOKUP(E1366,E$1:E1365,1,FALSE()))),"OLD",IF(AND(E1366&lt;&gt;"",E1366&lt;&gt;"!!!"),"NEW","")))</f>
        <v/>
      </c>
      <c r="G1366" s="11" t="str">
        <f aca="false">IF(OR(E1366="",E1366="!!!"),"",IF(OR(J1366=0,AND(J1366=1,K1366=1),AND(J1366=1,I1366="SBJ"),AND(J1366=1,I1366=0)),"?IN_FOCUS",IF(J1366&lt;=2,"?ACTIVATED",IF(J1366&lt;&gt;"","?FAMILIAR",IF(F1366="NEW",IF(ISNA(VLOOKUP(E1366,#REF!,1,FALSE())),"?TYPE_IDENTIFIABLE","?REFERENTIAL"),"_")))))</f>
        <v/>
      </c>
      <c r="H1366" s="12" t="str">
        <f aca="false">IF(J1366&lt;&gt;1,"",IF(I1366="SBJ","CB","?"))</f>
        <v/>
      </c>
      <c r="I1366" s="13" t="str">
        <f aca="false">IF(OR(E1366="",E1366="!!!",F1366="NEW"),"",INDEX(B$2:B1365,-1+SUMPRODUCT(MAX(ROW(E$2:E1365)*(E1366=E$2:E1365)))))</f>
        <v/>
      </c>
      <c r="J1366" s="14" t="str">
        <f aca="true">IF(OR(E1366="",E1366="!!!",F1366="NEW"),"",COUNTBLANK(OFFSET(A$1,,,SUMPRODUCT(MAX(ROW(E$2:E1366)*(E1366=E$2:E1366)))))-COUNTBLANK(OFFSET(A$1,,,SUMPRODUCT(MAX(ROW(E$1:E1365)*(E1366=E$1:E1365))))))</f>
        <v/>
      </c>
      <c r="K1366" s="14" t="str">
        <f aca="false">IF(OR(E1366="",E1366="!!!",F1366="NEW"),"",INDEX(J$1:J1365,SUMPRODUCT(MAX(ROW(E$1:E1365)*(E1366=E$1:E1365)))))</f>
        <v/>
      </c>
      <c r="L1366" s="15"/>
    </row>
    <row r="1367" customFormat="false" ht="12.75" hidden="false" customHeight="false" outlineLevel="0" collapsed="false">
      <c r="A1367" s="0" t="s">
        <v>40</v>
      </c>
      <c r="E1367" s="9" t="str">
        <f aca="false">IF(D1367="?OLD","!!!","")</f>
        <v/>
      </c>
      <c r="F1367" s="10" t="str">
        <f aca="false">IF(OR(E1367="",E1367="!!!"),"",IF(NOT(ISNA(VLOOKUP(E1367,E$1:E1366,1,FALSE()))),"OLD",IF(AND(E1367&lt;&gt;"",E1367&lt;&gt;"!!!"),"NEW","")))</f>
        <v/>
      </c>
      <c r="G1367" s="11" t="str">
        <f aca="false">IF(OR(E1367="",E1367="!!!"),"",IF(OR(J1367=0,AND(J1367=1,K1367=1),AND(J1367=1,I1367="SBJ"),AND(J1367=1,I1367=0)),"?IN_FOCUS",IF(J1367&lt;=2,"?ACTIVATED",IF(J1367&lt;&gt;"","?FAMILIAR",IF(F1367="NEW",IF(ISNA(VLOOKUP(E1367,#REF!,1,FALSE())),"?TYPE_IDENTIFIABLE","?REFERENTIAL"),"_")))))</f>
        <v/>
      </c>
      <c r="H1367" s="12" t="str">
        <f aca="false">IF(J1367&lt;&gt;1,"",IF(I1367="SBJ","CB","?"))</f>
        <v/>
      </c>
      <c r="I1367" s="13" t="str">
        <f aca="false">IF(OR(E1367="",E1367="!!!",F1367="NEW"),"",INDEX(B$2:B1366,-1+SUMPRODUCT(MAX(ROW(E$2:E1366)*(E1367=E$2:E1366)))))</f>
        <v/>
      </c>
      <c r="J1367" s="14" t="str">
        <f aca="true">IF(OR(E1367="",E1367="!!!",F1367="NEW"),"",COUNTBLANK(OFFSET(A$1,,,SUMPRODUCT(MAX(ROW(E$2:E1367)*(E1367=E$2:E1367)))))-COUNTBLANK(OFFSET(A$1,,,SUMPRODUCT(MAX(ROW(E$1:E1366)*(E1367=E$1:E1366))))))</f>
        <v/>
      </c>
      <c r="K1367" s="14" t="str">
        <f aca="false">IF(OR(E1367="",E1367="!!!",F1367="NEW"),"",INDEX(J$1:J1366,SUMPRODUCT(MAX(ROW(E$1:E1366)*(E1367=E$1:E1366)))))</f>
        <v/>
      </c>
      <c r="L1367" s="15"/>
    </row>
    <row r="1368" customFormat="false" ht="12.75" hidden="false" customHeight="false" outlineLevel="0" collapsed="false">
      <c r="A1368" s="0" t="s">
        <v>619</v>
      </c>
      <c r="E1368" s="9" t="str">
        <f aca="false">IF(D1368="?OLD","!!!","")</f>
        <v/>
      </c>
      <c r="F1368" s="10" t="str">
        <f aca="false">IF(OR(E1368="",E1368="!!!"),"",IF(NOT(ISNA(VLOOKUP(E1368,E$1:E1367,1,FALSE()))),"OLD",IF(AND(E1368&lt;&gt;"",E1368&lt;&gt;"!!!"),"NEW","")))</f>
        <v/>
      </c>
      <c r="G1368" s="11" t="str">
        <f aca="false">IF(OR(E1368="",E1368="!!!"),"",IF(OR(J1368=0,AND(J1368=1,K1368=1),AND(J1368=1,I1368="SBJ"),AND(J1368=1,I1368=0)),"?IN_FOCUS",IF(J1368&lt;=2,"?ACTIVATED",IF(J1368&lt;&gt;"","?FAMILIAR",IF(F1368="NEW",IF(ISNA(VLOOKUP(E1368,#REF!,1,FALSE())),"?TYPE_IDENTIFIABLE","?REFERENTIAL"),"_")))))</f>
        <v/>
      </c>
      <c r="H1368" s="12" t="str">
        <f aca="false">IF(J1368&lt;&gt;1,"",IF(I1368="SBJ","CB","?"))</f>
        <v/>
      </c>
      <c r="I1368" s="13" t="str">
        <f aca="false">IF(OR(E1368="",E1368="!!!",F1368="NEW"),"",INDEX(B$2:B1367,-1+SUMPRODUCT(MAX(ROW(E$2:E1367)*(E1368=E$2:E1367)))))</f>
        <v/>
      </c>
      <c r="J1368" s="14" t="str">
        <f aca="true">IF(OR(E1368="",E1368="!!!",F1368="NEW"),"",COUNTBLANK(OFFSET(A$1,,,SUMPRODUCT(MAX(ROW(E$2:E1368)*(E1368=E$2:E1368)))))-COUNTBLANK(OFFSET(A$1,,,SUMPRODUCT(MAX(ROW(E$1:E1367)*(E1368=E$1:E1367))))))</f>
        <v/>
      </c>
      <c r="K1368" s="14" t="str">
        <f aca="false">IF(OR(E1368="",E1368="!!!",F1368="NEW"),"",INDEX(J$1:J1367,SUMPRODUCT(MAX(ROW(E$1:E1367)*(E1368=E$1:E1367)))))</f>
        <v/>
      </c>
      <c r="L1368" s="15"/>
    </row>
    <row r="1369" customFormat="false" ht="12.75" hidden="false" customHeight="false" outlineLevel="0" collapsed="false">
      <c r="A1369" s="0" t="s">
        <v>68</v>
      </c>
      <c r="E1369" s="9" t="str">
        <f aca="false">IF(D1369="?OLD","!!!","")</f>
        <v/>
      </c>
      <c r="F1369" s="10" t="str">
        <f aca="false">IF(OR(E1369="",E1369="!!!"),"",IF(NOT(ISNA(VLOOKUP(E1369,E$1:E1368,1,FALSE()))),"OLD",IF(AND(E1369&lt;&gt;"",E1369&lt;&gt;"!!!"),"NEW","")))</f>
        <v/>
      </c>
      <c r="G1369" s="11" t="str">
        <f aca="false">IF(OR(E1369="",E1369="!!!"),"",IF(OR(J1369=0,AND(J1369=1,K1369=1),AND(J1369=1,I1369="SBJ"),AND(J1369=1,I1369=0)),"?IN_FOCUS",IF(J1369&lt;=2,"?ACTIVATED",IF(J1369&lt;&gt;"","?FAMILIAR",IF(F1369="NEW",IF(ISNA(VLOOKUP(E1369,#REF!,1,FALSE())),"?TYPE_IDENTIFIABLE","?REFERENTIAL"),"_")))))</f>
        <v/>
      </c>
      <c r="H1369" s="12" t="str">
        <f aca="false">IF(J1369&lt;&gt;1,"",IF(I1369="SBJ","CB","?"))</f>
        <v/>
      </c>
      <c r="I1369" s="13" t="str">
        <f aca="false">IF(OR(E1369="",E1369="!!!",F1369="NEW"),"",INDEX(B$2:B1368,-1+SUMPRODUCT(MAX(ROW(E$2:E1368)*(E1369=E$2:E1368)))))</f>
        <v/>
      </c>
      <c r="J1369" s="14" t="str">
        <f aca="true">IF(OR(E1369="",E1369="!!!",F1369="NEW"),"",COUNTBLANK(OFFSET(A$1,,,SUMPRODUCT(MAX(ROW(E$2:E1369)*(E1369=E$2:E1369)))))-COUNTBLANK(OFFSET(A$1,,,SUMPRODUCT(MAX(ROW(E$1:E1368)*(E1369=E$1:E1368))))))</f>
        <v/>
      </c>
      <c r="K1369" s="14" t="str">
        <f aca="false">IF(OR(E1369="",E1369="!!!",F1369="NEW"),"",INDEX(J$1:J1368,SUMPRODUCT(MAX(ROW(E$1:E1368)*(E1369=E$1:E1368)))))</f>
        <v/>
      </c>
      <c r="L1369" s="15"/>
    </row>
    <row r="1370" customFormat="false" ht="12.75" hidden="false" customHeight="false" outlineLevel="0" collapsed="false">
      <c r="A1370" s="0" t="s">
        <v>570</v>
      </c>
      <c r="B1370" s="0" t="s">
        <v>42</v>
      </c>
      <c r="C1370" s="0" t="s">
        <v>43</v>
      </c>
      <c r="E1370" s="9" t="str">
        <f aca="false">IF(D1370="?OLD","!!!","")</f>
        <v/>
      </c>
      <c r="F1370" s="10" t="str">
        <f aca="false">IF(OR(E1370="",E1370="!!!"),"",IF(NOT(ISNA(VLOOKUP(E1370,E$1:E1369,1,FALSE()))),"OLD",IF(AND(E1370&lt;&gt;"",E1370&lt;&gt;"!!!"),"NEW","")))</f>
        <v/>
      </c>
      <c r="G1370" s="11" t="str">
        <f aca="false">IF(OR(E1370="",E1370="!!!"),"",IF(OR(J1370=0,AND(J1370=1,K1370=1),AND(J1370=1,I1370="SBJ"),AND(J1370=1,I1370=0)),"?IN_FOCUS",IF(J1370&lt;=2,"?ACTIVATED",IF(J1370&lt;&gt;"","?FAMILIAR",IF(F1370="NEW",IF(ISNA(VLOOKUP(E1370,#REF!,1,FALSE())),"?TYPE_IDENTIFIABLE","?REFERENTIAL"),"_")))))</f>
        <v/>
      </c>
      <c r="H1370" s="12" t="str">
        <f aca="false">IF(J1370&lt;&gt;1,"",IF(I1370="SBJ","CB","?"))</f>
        <v/>
      </c>
      <c r="I1370" s="13" t="str">
        <f aca="false">IF(OR(E1370="",E1370="!!!",F1370="NEW"),"",INDEX(B$2:B1369,-1+SUMPRODUCT(MAX(ROW(E$2:E1369)*(E1370=E$2:E1369)))))</f>
        <v/>
      </c>
      <c r="J1370" s="14" t="str">
        <f aca="true">IF(OR(E1370="",E1370="!!!",F1370="NEW"),"",COUNTBLANK(OFFSET(A$1,,,SUMPRODUCT(MAX(ROW(E$2:E1370)*(E1370=E$2:E1370)))))-COUNTBLANK(OFFSET(A$1,,,SUMPRODUCT(MAX(ROW(E$1:E1369)*(E1370=E$1:E1369))))))</f>
        <v/>
      </c>
      <c r="K1370" s="14" t="str">
        <f aca="false">IF(OR(E1370="",E1370="!!!",F1370="NEW"),"",INDEX(J$1:J1369,SUMPRODUCT(MAX(ROW(E$1:E1369)*(E1370=E$1:E1369)))))</f>
        <v/>
      </c>
      <c r="L1370" s="15"/>
    </row>
    <row r="1371" customFormat="false" ht="12.75" hidden="false" customHeight="false" outlineLevel="0" collapsed="false">
      <c r="A1371" s="0" t="s">
        <v>620</v>
      </c>
      <c r="E1371" s="9" t="str">
        <f aca="false">IF(D1371="?OLD","!!!","")</f>
        <v/>
      </c>
      <c r="F1371" s="10" t="str">
        <f aca="false">IF(OR(E1371="",E1371="!!!"),"",IF(NOT(ISNA(VLOOKUP(E1371,E$1:E1370,1,FALSE()))),"OLD",IF(AND(E1371&lt;&gt;"",E1371&lt;&gt;"!!!"),"NEW","")))</f>
        <v/>
      </c>
      <c r="G1371" s="11" t="str">
        <f aca="false">IF(OR(E1371="",E1371="!!!"),"",IF(OR(J1371=0,AND(J1371=1,K1371=1),AND(J1371=1,I1371="SBJ"),AND(J1371=1,I1371=0)),"?IN_FOCUS",IF(J1371&lt;=2,"?ACTIVATED",IF(J1371&lt;&gt;"","?FAMILIAR",IF(F1371="NEW",IF(ISNA(VLOOKUP(E1371,#REF!,1,FALSE())),"?TYPE_IDENTIFIABLE","?REFERENTIAL"),"_")))))</f>
        <v/>
      </c>
      <c r="H1371" s="12" t="str">
        <f aca="false">IF(J1371&lt;&gt;1,"",IF(I1371="SBJ","CB","?"))</f>
        <v/>
      </c>
      <c r="I1371" s="13" t="str">
        <f aca="false">IF(OR(E1371="",E1371="!!!",F1371="NEW"),"",INDEX(B$2:B1370,-1+SUMPRODUCT(MAX(ROW(E$2:E1370)*(E1371=E$2:E1370)))))</f>
        <v/>
      </c>
      <c r="J1371" s="14" t="str">
        <f aca="true">IF(OR(E1371="",E1371="!!!",F1371="NEW"),"",COUNTBLANK(OFFSET(A$1,,,SUMPRODUCT(MAX(ROW(E$2:E1371)*(E1371=E$2:E1371)))))-COUNTBLANK(OFFSET(A$1,,,SUMPRODUCT(MAX(ROW(E$1:E1370)*(E1371=E$1:E1370))))))</f>
        <v/>
      </c>
      <c r="K1371" s="14" t="str">
        <f aca="false">IF(OR(E1371="",E1371="!!!",F1371="NEW"),"",INDEX(J$1:J1370,SUMPRODUCT(MAX(ROW(E$1:E1370)*(E1371=E$1:E1370)))))</f>
        <v/>
      </c>
      <c r="L1371" s="15"/>
    </row>
    <row r="1372" customFormat="false" ht="12.75" hidden="false" customHeight="false" outlineLevel="0" collapsed="false">
      <c r="A1372" s="0" t="s">
        <v>66</v>
      </c>
      <c r="E1372" s="9" t="str">
        <f aca="false">IF(D1372="?OLD","!!!","")</f>
        <v/>
      </c>
      <c r="F1372" s="10" t="str">
        <f aca="false">IF(OR(E1372="",E1372="!!!"),"",IF(NOT(ISNA(VLOOKUP(E1372,E$1:E1371,1,FALSE()))),"OLD",IF(AND(E1372&lt;&gt;"",E1372&lt;&gt;"!!!"),"NEW","")))</f>
        <v/>
      </c>
      <c r="G1372" s="11" t="str">
        <f aca="false">IF(OR(E1372="",E1372="!!!"),"",IF(OR(J1372=0,AND(J1372=1,K1372=1),AND(J1372=1,I1372="SBJ"),AND(J1372=1,I1372=0)),"?IN_FOCUS",IF(J1372&lt;=2,"?ACTIVATED",IF(J1372&lt;&gt;"","?FAMILIAR",IF(F1372="NEW",IF(ISNA(VLOOKUP(E1372,#REF!,1,FALSE())),"?TYPE_IDENTIFIABLE","?REFERENTIAL"),"_")))))</f>
        <v/>
      </c>
      <c r="H1372" s="12" t="str">
        <f aca="false">IF(J1372&lt;&gt;1,"",IF(I1372="SBJ","CB","?"))</f>
        <v/>
      </c>
      <c r="I1372" s="13" t="str">
        <f aca="false">IF(OR(E1372="",E1372="!!!",F1372="NEW"),"",INDEX(B$2:B1371,-1+SUMPRODUCT(MAX(ROW(E$2:E1371)*(E1372=E$2:E1371)))))</f>
        <v/>
      </c>
      <c r="J1372" s="14" t="str">
        <f aca="true">IF(OR(E1372="",E1372="!!!",F1372="NEW"),"",COUNTBLANK(OFFSET(A$1,,,SUMPRODUCT(MAX(ROW(E$2:E1372)*(E1372=E$2:E1372)))))-COUNTBLANK(OFFSET(A$1,,,SUMPRODUCT(MAX(ROW(E$1:E1371)*(E1372=E$1:E1371))))))</f>
        <v/>
      </c>
      <c r="K1372" s="14" t="str">
        <f aca="false">IF(OR(E1372="",E1372="!!!",F1372="NEW"),"",INDEX(J$1:J1371,SUMPRODUCT(MAX(ROW(E$1:E1371)*(E1372=E$1:E1371)))))</f>
        <v/>
      </c>
      <c r="L1372" s="15"/>
    </row>
    <row r="1373" customFormat="false" ht="12.75" hidden="false" customHeight="false" outlineLevel="0" collapsed="false">
      <c r="A1373" s="0" t="s">
        <v>621</v>
      </c>
      <c r="E1373" s="9" t="str">
        <f aca="false">IF(D1373="?OLD","!!!","")</f>
        <v/>
      </c>
      <c r="F1373" s="10" t="str">
        <f aca="false">IF(OR(E1373="",E1373="!!!"),"",IF(NOT(ISNA(VLOOKUP(E1373,E$1:E1372,1,FALSE()))),"OLD",IF(AND(E1373&lt;&gt;"",E1373&lt;&gt;"!!!"),"NEW","")))</f>
        <v/>
      </c>
      <c r="G1373" s="11" t="str">
        <f aca="false">IF(OR(E1373="",E1373="!!!"),"",IF(OR(J1373=0,AND(J1373=1,K1373=1),AND(J1373=1,I1373="SBJ"),AND(J1373=1,I1373=0)),"?IN_FOCUS",IF(J1373&lt;=2,"?ACTIVATED",IF(J1373&lt;&gt;"","?FAMILIAR",IF(F1373="NEW",IF(ISNA(VLOOKUP(E1373,#REF!,1,FALSE())),"?TYPE_IDENTIFIABLE","?REFERENTIAL"),"_")))))</f>
        <v/>
      </c>
      <c r="H1373" s="12" t="str">
        <f aca="false">IF(J1373&lt;&gt;1,"",IF(I1373="SBJ","CB","?"))</f>
        <v/>
      </c>
      <c r="I1373" s="13" t="str">
        <f aca="false">IF(OR(E1373="",E1373="!!!",F1373="NEW"),"",INDEX(B$2:B1372,-1+SUMPRODUCT(MAX(ROW(E$2:E1372)*(E1373=E$2:E1372)))))</f>
        <v/>
      </c>
      <c r="J1373" s="14" t="str">
        <f aca="true">IF(OR(E1373="",E1373="!!!",F1373="NEW"),"",COUNTBLANK(OFFSET(A$1,,,SUMPRODUCT(MAX(ROW(E$2:E1373)*(E1373=E$2:E1373)))))-COUNTBLANK(OFFSET(A$1,,,SUMPRODUCT(MAX(ROW(E$1:E1372)*(E1373=E$1:E1372))))))</f>
        <v/>
      </c>
      <c r="K1373" s="14" t="str">
        <f aca="false">IF(OR(E1373="",E1373="!!!",F1373="NEW"),"",INDEX(J$1:J1372,SUMPRODUCT(MAX(ROW(E$1:E1372)*(E1373=E$1:E1372)))))</f>
        <v/>
      </c>
      <c r="L1373" s="15"/>
    </row>
    <row r="1374" customFormat="false" ht="12.75" hidden="false" customHeight="false" outlineLevel="0" collapsed="false">
      <c r="A1374" s="0" t="s">
        <v>236</v>
      </c>
      <c r="B1374" s="0" t="s">
        <v>103</v>
      </c>
      <c r="C1374" s="0" t="s">
        <v>111</v>
      </c>
      <c r="D1374" s="0" t="s">
        <v>29</v>
      </c>
      <c r="E1374" s="9" t="str">
        <f aca="false">IF(D1374="?OLD","!!!","")</f>
        <v>!!!</v>
      </c>
      <c r="F1374" s="10" t="str">
        <f aca="false">IF(OR(E1374="",E1374="!!!"),"",IF(NOT(ISNA(VLOOKUP(E1374,E$1:E1373,1,FALSE()))),"OLD",IF(AND(E1374&lt;&gt;"",E1374&lt;&gt;"!!!"),"NEW","")))</f>
        <v/>
      </c>
      <c r="G1374" s="11" t="str">
        <f aca="false">IF(OR(E1374="",E1374="!!!"),"",IF(OR(J1374=0,AND(J1374=1,K1374=1),AND(J1374=1,I1374="SBJ"),AND(J1374=1,I1374=0)),"?IN_FOCUS",IF(J1374&lt;=2,"?ACTIVATED",IF(J1374&lt;&gt;"","?FAMILIAR",IF(F1374="NEW",IF(ISNA(VLOOKUP(E1374,#REF!,1,FALSE())),"?TYPE_IDENTIFIABLE","?REFERENTIAL"),"_")))))</f>
        <v/>
      </c>
      <c r="H1374" s="12" t="str">
        <f aca="false">IF(J1374&lt;&gt;1,"",IF(I1374="SBJ","CB","?"))</f>
        <v/>
      </c>
      <c r="I1374" s="13" t="str">
        <f aca="false">IF(OR(E1374="",E1374="!!!",F1374="NEW"),"",INDEX(B$2:B1373,-1+SUMPRODUCT(MAX(ROW(E$2:E1373)*(E1374=E$2:E1373)))))</f>
        <v/>
      </c>
      <c r="J1374" s="14" t="str">
        <f aca="true">IF(OR(E1374="",E1374="!!!",F1374="NEW"),"",COUNTBLANK(OFFSET(A$1,,,SUMPRODUCT(MAX(ROW(E$2:E1374)*(E1374=E$2:E1374)))))-COUNTBLANK(OFFSET(A$1,,,SUMPRODUCT(MAX(ROW(E$1:E1373)*(E1374=E$1:E1373))))))</f>
        <v/>
      </c>
      <c r="K1374" s="14" t="str">
        <f aca="false">IF(OR(E1374="",E1374="!!!",F1374="NEW"),"",INDEX(J$1:J1373,SUMPRODUCT(MAX(ROW(E$1:E1373)*(E1374=E$1:E1373)))))</f>
        <v/>
      </c>
      <c r="L1374" s="15"/>
    </row>
    <row r="1375" customFormat="false" ht="12.75" hidden="false" customHeight="false" outlineLevel="0" collapsed="false">
      <c r="A1375" s="0" t="s">
        <v>136</v>
      </c>
      <c r="E1375" s="9" t="str">
        <f aca="false">IF(D1375="?OLD","!!!","")</f>
        <v/>
      </c>
      <c r="F1375" s="10" t="str">
        <f aca="false">IF(OR(E1375="",E1375="!!!"),"",IF(NOT(ISNA(VLOOKUP(E1375,E$1:E1374,1,FALSE()))),"OLD",IF(AND(E1375&lt;&gt;"",E1375&lt;&gt;"!!!"),"NEW","")))</f>
        <v/>
      </c>
      <c r="G1375" s="11" t="str">
        <f aca="false">IF(OR(E1375="",E1375="!!!"),"",IF(OR(J1375=0,AND(J1375=1,K1375=1),AND(J1375=1,I1375="SBJ"),AND(J1375=1,I1375=0)),"?IN_FOCUS",IF(J1375&lt;=2,"?ACTIVATED",IF(J1375&lt;&gt;"","?FAMILIAR",IF(F1375="NEW",IF(ISNA(VLOOKUP(E1375,#REF!,1,FALSE())),"?TYPE_IDENTIFIABLE","?REFERENTIAL"),"_")))))</f>
        <v/>
      </c>
      <c r="H1375" s="12" t="str">
        <f aca="false">IF(J1375&lt;&gt;1,"",IF(I1375="SBJ","CB","?"))</f>
        <v/>
      </c>
      <c r="I1375" s="13" t="str">
        <f aca="false">IF(OR(E1375="",E1375="!!!",F1375="NEW"),"",INDEX(B$2:B1374,-1+SUMPRODUCT(MAX(ROW(E$2:E1374)*(E1375=E$2:E1374)))))</f>
        <v/>
      </c>
      <c r="J1375" s="14" t="str">
        <f aca="true">IF(OR(E1375="",E1375="!!!",F1375="NEW"),"",COUNTBLANK(OFFSET(A$1,,,SUMPRODUCT(MAX(ROW(E$2:E1375)*(E1375=E$2:E1375)))))-COUNTBLANK(OFFSET(A$1,,,SUMPRODUCT(MAX(ROW(E$1:E1374)*(E1375=E$1:E1374))))))</f>
        <v/>
      </c>
      <c r="K1375" s="14" t="str">
        <f aca="false">IF(OR(E1375="",E1375="!!!",F1375="NEW"),"",INDEX(J$1:J1374,SUMPRODUCT(MAX(ROW(E$1:E1374)*(E1375=E$1:E1374)))))</f>
        <v/>
      </c>
      <c r="L1375" s="15"/>
    </row>
    <row r="1376" customFormat="false" ht="12.75" hidden="false" customHeight="false" outlineLevel="0" collapsed="false">
      <c r="A1376" s="0" t="s">
        <v>40</v>
      </c>
      <c r="E1376" s="9" t="str">
        <f aca="false">IF(D1376="?OLD","!!!","")</f>
        <v/>
      </c>
      <c r="F1376" s="10" t="str">
        <f aca="false">IF(OR(E1376="",E1376="!!!"),"",IF(NOT(ISNA(VLOOKUP(E1376,E$1:E1375,1,FALSE()))),"OLD",IF(AND(E1376&lt;&gt;"",E1376&lt;&gt;"!!!"),"NEW","")))</f>
        <v/>
      </c>
      <c r="G1376" s="11" t="str">
        <f aca="false">IF(OR(E1376="",E1376="!!!"),"",IF(OR(J1376=0,AND(J1376=1,K1376=1),AND(J1376=1,I1376="SBJ"),AND(J1376=1,I1376=0)),"?IN_FOCUS",IF(J1376&lt;=2,"?ACTIVATED",IF(J1376&lt;&gt;"","?FAMILIAR",IF(F1376="NEW",IF(ISNA(VLOOKUP(E1376,#REF!,1,FALSE())),"?TYPE_IDENTIFIABLE","?REFERENTIAL"),"_")))))</f>
        <v/>
      </c>
      <c r="H1376" s="12" t="str">
        <f aca="false">IF(J1376&lt;&gt;1,"",IF(I1376="SBJ","CB","?"))</f>
        <v/>
      </c>
      <c r="I1376" s="13" t="str">
        <f aca="false">IF(OR(E1376="",E1376="!!!",F1376="NEW"),"",INDEX(B$2:B1375,-1+SUMPRODUCT(MAX(ROW(E$2:E1375)*(E1376=E$2:E1375)))))</f>
        <v/>
      </c>
      <c r="J1376" s="14" t="str">
        <f aca="true">IF(OR(E1376="",E1376="!!!",F1376="NEW"),"",COUNTBLANK(OFFSET(A$1,,,SUMPRODUCT(MAX(ROW(E$2:E1376)*(E1376=E$2:E1376)))))-COUNTBLANK(OFFSET(A$1,,,SUMPRODUCT(MAX(ROW(E$1:E1375)*(E1376=E$1:E1375))))))</f>
        <v/>
      </c>
      <c r="K1376" s="14" t="str">
        <f aca="false">IF(OR(E1376="",E1376="!!!",F1376="NEW"),"",INDEX(J$1:J1375,SUMPRODUCT(MAX(ROW(E$1:E1375)*(E1376=E$1:E1375)))))</f>
        <v/>
      </c>
      <c r="L1376" s="15"/>
    </row>
    <row r="1377" customFormat="false" ht="12.75" hidden="false" customHeight="false" outlineLevel="0" collapsed="false">
      <c r="A1377" s="0" t="s">
        <v>622</v>
      </c>
      <c r="E1377" s="9" t="str">
        <f aca="false">IF(D1377="?OLD","!!!","")</f>
        <v/>
      </c>
      <c r="F1377" s="10" t="str">
        <f aca="false">IF(OR(E1377="",E1377="!!!"),"",IF(NOT(ISNA(VLOOKUP(E1377,E$1:E1376,1,FALSE()))),"OLD",IF(AND(E1377&lt;&gt;"",E1377&lt;&gt;"!!!"),"NEW","")))</f>
        <v/>
      </c>
      <c r="G1377" s="11" t="str">
        <f aca="false">IF(OR(E1377="",E1377="!!!"),"",IF(OR(J1377=0,AND(J1377=1,K1377=1),AND(J1377=1,I1377="SBJ"),AND(J1377=1,I1377=0)),"?IN_FOCUS",IF(J1377&lt;=2,"?ACTIVATED",IF(J1377&lt;&gt;"","?FAMILIAR",IF(F1377="NEW",IF(ISNA(VLOOKUP(E1377,#REF!,1,FALSE())),"?TYPE_IDENTIFIABLE","?REFERENTIAL"),"_")))))</f>
        <v/>
      </c>
      <c r="H1377" s="12" t="str">
        <f aca="false">IF(J1377&lt;&gt;1,"",IF(I1377="SBJ","CB","?"))</f>
        <v/>
      </c>
      <c r="I1377" s="13" t="str">
        <f aca="false">IF(OR(E1377="",E1377="!!!",F1377="NEW"),"",INDEX(B$2:B1376,-1+SUMPRODUCT(MAX(ROW(E$2:E1376)*(E1377=E$2:E1376)))))</f>
        <v/>
      </c>
      <c r="J1377" s="14" t="str">
        <f aca="true">IF(OR(E1377="",E1377="!!!",F1377="NEW"),"",COUNTBLANK(OFFSET(A$1,,,SUMPRODUCT(MAX(ROW(E$2:E1377)*(E1377=E$2:E1377)))))-COUNTBLANK(OFFSET(A$1,,,SUMPRODUCT(MAX(ROW(E$1:E1376)*(E1377=E$1:E1376))))))</f>
        <v/>
      </c>
      <c r="K1377" s="14" t="str">
        <f aca="false">IF(OR(E1377="",E1377="!!!",F1377="NEW"),"",INDEX(J$1:J1376,SUMPRODUCT(MAX(ROW(E$1:E1376)*(E1377=E$1:E1376)))))</f>
        <v/>
      </c>
      <c r="L1377" s="15"/>
    </row>
    <row r="1378" customFormat="false" ht="12.75" hidden="false" customHeight="false" outlineLevel="0" collapsed="false">
      <c r="A1378" s="0" t="s">
        <v>31</v>
      </c>
      <c r="E1378" s="9" t="str">
        <f aca="false">IF(D1378="?OLD","!!!","")</f>
        <v/>
      </c>
      <c r="F1378" s="10" t="str">
        <f aca="false">IF(OR(E1378="",E1378="!!!"),"",IF(NOT(ISNA(VLOOKUP(E1378,E$1:E1377,1,FALSE()))),"OLD",IF(AND(E1378&lt;&gt;"",E1378&lt;&gt;"!!!"),"NEW","")))</f>
        <v/>
      </c>
      <c r="G1378" s="11" t="str">
        <f aca="false">IF(OR(E1378="",E1378="!!!"),"",IF(OR(J1378=0,AND(J1378=1,K1378=1),AND(J1378=1,I1378="SBJ"),AND(J1378=1,I1378=0)),"?IN_FOCUS",IF(J1378&lt;=2,"?ACTIVATED",IF(J1378&lt;&gt;"","?FAMILIAR",IF(F1378="NEW",IF(ISNA(VLOOKUP(E1378,#REF!,1,FALSE())),"?TYPE_IDENTIFIABLE","?REFERENTIAL"),"_")))))</f>
        <v/>
      </c>
      <c r="H1378" s="12" t="str">
        <f aca="false">IF(J1378&lt;&gt;1,"",IF(I1378="SBJ","CB","?"))</f>
        <v/>
      </c>
      <c r="I1378" s="13" t="str">
        <f aca="false">IF(OR(E1378="",E1378="!!!",F1378="NEW"),"",INDEX(B$2:B1377,-1+SUMPRODUCT(MAX(ROW(E$2:E1377)*(E1378=E$2:E1377)))))</f>
        <v/>
      </c>
      <c r="J1378" s="14" t="str">
        <f aca="true">IF(OR(E1378="",E1378="!!!",F1378="NEW"),"",COUNTBLANK(OFFSET(A$1,,,SUMPRODUCT(MAX(ROW(E$2:E1378)*(E1378=E$2:E1378)))))-COUNTBLANK(OFFSET(A$1,,,SUMPRODUCT(MAX(ROW(E$1:E1377)*(E1378=E$1:E1377))))))</f>
        <v/>
      </c>
      <c r="K1378" s="14" t="str">
        <f aca="false">IF(OR(E1378="",E1378="!!!",F1378="NEW"),"",INDEX(J$1:J1377,SUMPRODUCT(MAX(ROW(E$1:E1377)*(E1378=E$1:E1377)))))</f>
        <v/>
      </c>
      <c r="L1378" s="15"/>
    </row>
    <row r="1379" customFormat="false" ht="12.75" hidden="false" customHeight="false" outlineLevel="0" collapsed="false">
      <c r="A1379" s="0" t="s">
        <v>623</v>
      </c>
      <c r="E1379" s="9" t="str">
        <f aca="false">IF(D1379="?OLD","!!!","")</f>
        <v/>
      </c>
      <c r="F1379" s="10" t="str">
        <f aca="false">IF(OR(E1379="",E1379="!!!"),"",IF(NOT(ISNA(VLOOKUP(E1379,E$1:E1378,1,FALSE()))),"OLD",IF(AND(E1379&lt;&gt;"",E1379&lt;&gt;"!!!"),"NEW","")))</f>
        <v/>
      </c>
      <c r="G1379" s="11" t="str">
        <f aca="false">IF(OR(E1379="",E1379="!!!"),"",IF(OR(J1379=0,AND(J1379=1,K1379=1),AND(J1379=1,I1379="SBJ"),AND(J1379=1,I1379=0)),"?IN_FOCUS",IF(J1379&lt;=2,"?ACTIVATED",IF(J1379&lt;&gt;"","?FAMILIAR",IF(F1379="NEW",IF(ISNA(VLOOKUP(E1379,#REF!,1,FALSE())),"?TYPE_IDENTIFIABLE","?REFERENTIAL"),"_")))))</f>
        <v/>
      </c>
      <c r="H1379" s="12" t="str">
        <f aca="false">IF(J1379&lt;&gt;1,"",IF(I1379="SBJ","CB","?"))</f>
        <v/>
      </c>
      <c r="I1379" s="13" t="str">
        <f aca="false">IF(OR(E1379="",E1379="!!!",F1379="NEW"),"",INDEX(B$2:B1378,-1+SUMPRODUCT(MAX(ROW(E$2:E1378)*(E1379=E$2:E1378)))))</f>
        <v/>
      </c>
      <c r="J1379" s="14" t="str">
        <f aca="true">IF(OR(E1379="",E1379="!!!",F1379="NEW"),"",COUNTBLANK(OFFSET(A$1,,,SUMPRODUCT(MAX(ROW(E$2:E1379)*(E1379=E$2:E1379)))))-COUNTBLANK(OFFSET(A$1,,,SUMPRODUCT(MAX(ROW(E$1:E1378)*(E1379=E$1:E1378))))))</f>
        <v/>
      </c>
      <c r="K1379" s="14" t="str">
        <f aca="false">IF(OR(E1379="",E1379="!!!",F1379="NEW"),"",INDEX(J$1:J1378,SUMPRODUCT(MAX(ROW(E$1:E1378)*(E1379=E$1:E1378)))))</f>
        <v/>
      </c>
      <c r="L1379" s="15"/>
    </row>
    <row r="1380" customFormat="false" ht="12.75" hidden="false" customHeight="false" outlineLevel="0" collapsed="false">
      <c r="A1380" s="0" t="s">
        <v>552</v>
      </c>
      <c r="B1380" s="0" t="s">
        <v>28</v>
      </c>
      <c r="C1380" s="0" t="s">
        <v>43</v>
      </c>
      <c r="E1380" s="9" t="str">
        <f aca="false">IF(D1380="?OLD","!!!","")</f>
        <v/>
      </c>
      <c r="F1380" s="10" t="str">
        <f aca="false">IF(OR(E1380="",E1380="!!!"),"",IF(NOT(ISNA(VLOOKUP(E1380,E$1:E1379,1,FALSE()))),"OLD",IF(AND(E1380&lt;&gt;"",E1380&lt;&gt;"!!!"),"NEW","")))</f>
        <v/>
      </c>
      <c r="G1380" s="11" t="str">
        <f aca="false">IF(OR(E1380="",E1380="!!!"),"",IF(OR(J1380=0,AND(J1380=1,K1380=1),AND(J1380=1,I1380="SBJ"),AND(J1380=1,I1380=0)),"?IN_FOCUS",IF(J1380&lt;=2,"?ACTIVATED",IF(J1380&lt;&gt;"","?FAMILIAR",IF(F1380="NEW",IF(ISNA(VLOOKUP(E1380,#REF!,1,FALSE())),"?TYPE_IDENTIFIABLE","?REFERENTIAL"),"_")))))</f>
        <v/>
      </c>
      <c r="H1380" s="12" t="str">
        <f aca="false">IF(J1380&lt;&gt;1,"",IF(I1380="SBJ","CB","?"))</f>
        <v/>
      </c>
      <c r="I1380" s="13" t="str">
        <f aca="false">IF(OR(E1380="",E1380="!!!",F1380="NEW"),"",INDEX(B$2:B1379,-1+SUMPRODUCT(MAX(ROW(E$2:E1379)*(E1380=E$2:E1379)))))</f>
        <v/>
      </c>
      <c r="J1380" s="14" t="str">
        <f aca="true">IF(OR(E1380="",E1380="!!!",F1380="NEW"),"",COUNTBLANK(OFFSET(A$1,,,SUMPRODUCT(MAX(ROW(E$2:E1380)*(E1380=E$2:E1380)))))-COUNTBLANK(OFFSET(A$1,,,SUMPRODUCT(MAX(ROW(E$1:E1379)*(E1380=E$1:E1379))))))</f>
        <v/>
      </c>
      <c r="K1380" s="14" t="str">
        <f aca="false">IF(OR(E1380="",E1380="!!!",F1380="NEW"),"",INDEX(J$1:J1379,SUMPRODUCT(MAX(ROW(E$1:E1379)*(E1380=E$1:E1379)))))</f>
        <v/>
      </c>
      <c r="L1380" s="15"/>
    </row>
    <row r="1381" customFormat="false" ht="12.75" hidden="false" customHeight="false" outlineLevel="0" collapsed="false">
      <c r="A1381" s="0" t="s">
        <v>73</v>
      </c>
      <c r="E1381" s="9" t="str">
        <f aca="false">IF(D1381="?OLD","!!!","")</f>
        <v/>
      </c>
      <c r="F1381" s="10" t="str">
        <f aca="false">IF(OR(E1381="",E1381="!!!"),"",IF(NOT(ISNA(VLOOKUP(E1381,E$1:E1380,1,FALSE()))),"OLD",IF(AND(E1381&lt;&gt;"",E1381&lt;&gt;"!!!"),"NEW","")))</f>
        <v/>
      </c>
      <c r="G1381" s="11" t="str">
        <f aca="false">IF(OR(E1381="",E1381="!!!"),"",IF(OR(J1381=0,AND(J1381=1,K1381=1),AND(J1381=1,I1381="SBJ"),AND(J1381=1,I1381=0)),"?IN_FOCUS",IF(J1381&lt;=2,"?ACTIVATED",IF(J1381&lt;&gt;"","?FAMILIAR",IF(F1381="NEW",IF(ISNA(VLOOKUP(E1381,#REF!,1,FALSE())),"?TYPE_IDENTIFIABLE","?REFERENTIAL"),"_")))))</f>
        <v/>
      </c>
      <c r="H1381" s="12" t="str">
        <f aca="false">IF(J1381&lt;&gt;1,"",IF(I1381="SBJ","CB","?"))</f>
        <v/>
      </c>
      <c r="I1381" s="13" t="str">
        <f aca="false">IF(OR(E1381="",E1381="!!!",F1381="NEW"),"",INDEX(B$2:B1380,-1+SUMPRODUCT(MAX(ROW(E$2:E1380)*(E1381=E$2:E1380)))))</f>
        <v/>
      </c>
      <c r="J1381" s="14" t="str">
        <f aca="true">IF(OR(E1381="",E1381="!!!",F1381="NEW"),"",COUNTBLANK(OFFSET(A$1,,,SUMPRODUCT(MAX(ROW(E$2:E1381)*(E1381=E$2:E1381)))))-COUNTBLANK(OFFSET(A$1,,,SUMPRODUCT(MAX(ROW(E$1:E1380)*(E1381=E$1:E1380))))))</f>
        <v/>
      </c>
      <c r="K1381" s="14" t="str">
        <f aca="false">IF(OR(E1381="",E1381="!!!",F1381="NEW"),"",INDEX(J$1:J1380,SUMPRODUCT(MAX(ROW(E$1:E1380)*(E1381=E$1:E1380)))))</f>
        <v/>
      </c>
      <c r="L1381" s="15"/>
    </row>
    <row r="1382" customFormat="false" ht="12.75" hidden="false" customHeight="false" outlineLevel="0" collapsed="false">
      <c r="E1382" s="9" t="str">
        <f aca="false">IF(D1382="?OLD","!!!","")</f>
        <v/>
      </c>
      <c r="F1382" s="10" t="str">
        <f aca="false">IF(OR(E1382="",E1382="!!!"),"",IF(NOT(ISNA(VLOOKUP(E1382,E$1:E1381,1,FALSE()))),"OLD",IF(AND(E1382&lt;&gt;"",E1382&lt;&gt;"!!!"),"NEW","")))</f>
        <v/>
      </c>
      <c r="G1382" s="11" t="str">
        <f aca="false">IF(OR(E1382="",E1382="!!!"),"",IF(OR(J1382=0,AND(J1382=1,K1382=1),AND(J1382=1,I1382="SBJ"),AND(J1382=1,I1382=0)),"?IN_FOCUS",IF(J1382&lt;=2,"?ACTIVATED",IF(J1382&lt;&gt;"","?FAMILIAR",IF(F1382="NEW",IF(ISNA(VLOOKUP(E1382,#REF!,1,FALSE())),"?TYPE_IDENTIFIABLE","?REFERENTIAL"),"_")))))</f>
        <v/>
      </c>
      <c r="H1382" s="12" t="str">
        <f aca="false">IF(J1382&lt;&gt;1,"",IF(I1382="SBJ","CB","?"))</f>
        <v/>
      </c>
      <c r="I1382" s="13" t="str">
        <f aca="false">IF(OR(E1382="",E1382="!!!",F1382="NEW"),"",INDEX(B$2:B1381,-1+SUMPRODUCT(MAX(ROW(E$2:E1381)*(E1382=E$2:E1381)))))</f>
        <v/>
      </c>
      <c r="J1382" s="14" t="str">
        <f aca="true">IF(OR(E1382="",E1382="!!!",F1382="NEW"),"",COUNTBLANK(OFFSET(A$1,,,SUMPRODUCT(MAX(ROW(E$2:E1382)*(E1382=E$2:E1382)))))-COUNTBLANK(OFFSET(A$1,,,SUMPRODUCT(MAX(ROW(E$1:E1381)*(E1382=E$1:E1381))))))</f>
        <v/>
      </c>
      <c r="K1382" s="14" t="str">
        <f aca="false">IF(OR(E1382="",E1382="!!!",F1382="NEW"),"",INDEX(J$1:J1381,SUMPRODUCT(MAX(ROW(E$1:E1381)*(E1382=E$1:E1381)))))</f>
        <v/>
      </c>
      <c r="L1382" s="15"/>
    </row>
    <row r="1383" customFormat="false" ht="12.75" hidden="false" customHeight="false" outlineLevel="0" collapsed="false">
      <c r="A1383" s="0" t="s">
        <v>624</v>
      </c>
      <c r="E1383" s="9" t="str">
        <f aca="false">IF(D1383="?OLD","!!!","")</f>
        <v/>
      </c>
      <c r="F1383" s="10" t="str">
        <f aca="false">IF(OR(E1383="",E1383="!!!"),"",IF(NOT(ISNA(VLOOKUP(E1383,E$1:E1382,1,FALSE()))),"OLD",IF(AND(E1383&lt;&gt;"",E1383&lt;&gt;"!!!"),"NEW","")))</f>
        <v/>
      </c>
      <c r="G1383" s="11" t="str">
        <f aca="false">IF(OR(E1383="",E1383="!!!"),"",IF(OR(J1383=0,AND(J1383=1,K1383=1),AND(J1383=1,I1383="SBJ"),AND(J1383=1,I1383=0)),"?IN_FOCUS",IF(J1383&lt;=2,"?ACTIVATED",IF(J1383&lt;&gt;"","?FAMILIAR",IF(F1383="NEW",IF(ISNA(VLOOKUP(E1383,#REF!,1,FALSE())),"?TYPE_IDENTIFIABLE","?REFERENTIAL"),"_")))))</f>
        <v/>
      </c>
      <c r="H1383" s="12" t="str">
        <f aca="false">IF(J1383&lt;&gt;1,"",IF(I1383="SBJ","CB","?"))</f>
        <v/>
      </c>
      <c r="I1383" s="13" t="str">
        <f aca="false">IF(OR(E1383="",E1383="!!!",F1383="NEW"),"",INDEX(B$2:B1382,-1+SUMPRODUCT(MAX(ROW(E$2:E1382)*(E1383=E$2:E1382)))))</f>
        <v/>
      </c>
      <c r="J1383" s="14" t="str">
        <f aca="true">IF(OR(E1383="",E1383="!!!",F1383="NEW"),"",COUNTBLANK(OFFSET(A$1,,,SUMPRODUCT(MAX(ROW(E$2:E1383)*(E1383=E$2:E1383)))))-COUNTBLANK(OFFSET(A$1,,,SUMPRODUCT(MAX(ROW(E$1:E1382)*(E1383=E$1:E1382))))))</f>
        <v/>
      </c>
      <c r="K1383" s="14" t="str">
        <f aca="false">IF(OR(E1383="",E1383="!!!",F1383="NEW"),"",INDEX(J$1:J1382,SUMPRODUCT(MAX(ROW(E$1:E1382)*(E1383=E$1:E1382)))))</f>
        <v/>
      </c>
      <c r="L1383" s="15"/>
    </row>
    <row r="1384" customFormat="false" ht="12.75" hidden="false" customHeight="false" outlineLevel="0" collapsed="false">
      <c r="A1384" s="0" t="s">
        <v>625</v>
      </c>
      <c r="E1384" s="9" t="str">
        <f aca="false">IF(D1384="?OLD","!!!","")</f>
        <v/>
      </c>
      <c r="F1384" s="10" t="str">
        <f aca="false">IF(OR(E1384="",E1384="!!!"),"",IF(NOT(ISNA(VLOOKUP(E1384,E$1:E1383,1,FALSE()))),"OLD",IF(AND(E1384&lt;&gt;"",E1384&lt;&gt;"!!!"),"NEW","")))</f>
        <v/>
      </c>
      <c r="G1384" s="11" t="str">
        <f aca="false">IF(OR(E1384="",E1384="!!!"),"",IF(OR(J1384=0,AND(J1384=1,K1384=1),AND(J1384=1,I1384="SBJ"),AND(J1384=1,I1384=0)),"?IN_FOCUS",IF(J1384&lt;=2,"?ACTIVATED",IF(J1384&lt;&gt;"","?FAMILIAR",IF(F1384="NEW",IF(ISNA(VLOOKUP(E1384,#REF!,1,FALSE())),"?TYPE_IDENTIFIABLE","?REFERENTIAL"),"_")))))</f>
        <v/>
      </c>
      <c r="H1384" s="12" t="str">
        <f aca="false">IF(J1384&lt;&gt;1,"",IF(I1384="SBJ","CB","?"))</f>
        <v/>
      </c>
      <c r="I1384" s="13" t="str">
        <f aca="false">IF(OR(E1384="",E1384="!!!",F1384="NEW"),"",INDEX(B$2:B1383,-1+SUMPRODUCT(MAX(ROW(E$2:E1383)*(E1384=E$2:E1383)))))</f>
        <v/>
      </c>
      <c r="J1384" s="14" t="str">
        <f aca="true">IF(OR(E1384="",E1384="!!!",F1384="NEW"),"",COUNTBLANK(OFFSET(A$1,,,SUMPRODUCT(MAX(ROW(E$2:E1384)*(E1384=E$2:E1384)))))-COUNTBLANK(OFFSET(A$1,,,SUMPRODUCT(MAX(ROW(E$1:E1383)*(E1384=E$1:E1383))))))</f>
        <v/>
      </c>
      <c r="K1384" s="14" t="str">
        <f aca="false">IF(OR(E1384="",E1384="!!!",F1384="NEW"),"",INDEX(J$1:J1383,SUMPRODUCT(MAX(ROW(E$1:E1383)*(E1384=E$1:E1383)))))</f>
        <v/>
      </c>
      <c r="L1384" s="15"/>
    </row>
    <row r="1385" customFormat="false" ht="12.75" hidden="false" customHeight="false" outlineLevel="0" collapsed="false">
      <c r="A1385" s="0" t="s">
        <v>142</v>
      </c>
      <c r="B1385" s="0" t="s">
        <v>42</v>
      </c>
      <c r="C1385" s="0" t="s">
        <v>38</v>
      </c>
      <c r="D1385" s="0" t="s">
        <v>29</v>
      </c>
      <c r="E1385" s="9" t="str">
        <f aca="false">IF(D1385="?OLD","!!!","")</f>
        <v>!!!</v>
      </c>
      <c r="F1385" s="10" t="str">
        <f aca="false">IF(OR(E1385="",E1385="!!!"),"",IF(NOT(ISNA(VLOOKUP(E1385,E$1:E1384,1,FALSE()))),"OLD",IF(AND(E1385&lt;&gt;"",E1385&lt;&gt;"!!!"),"NEW","")))</f>
        <v/>
      </c>
      <c r="G1385" s="11" t="str">
        <f aca="false">IF(OR(E1385="",E1385="!!!"),"",IF(OR(J1385=0,AND(J1385=1,K1385=1),AND(J1385=1,I1385="SBJ"),AND(J1385=1,I1385=0)),"?IN_FOCUS",IF(J1385&lt;=2,"?ACTIVATED",IF(J1385&lt;&gt;"","?FAMILIAR",IF(F1385="NEW",IF(ISNA(VLOOKUP(E1385,#REF!,1,FALSE())),"?TYPE_IDENTIFIABLE","?REFERENTIAL"),"_")))))</f>
        <v/>
      </c>
      <c r="H1385" s="12" t="str">
        <f aca="false">IF(J1385&lt;&gt;1,"",IF(I1385="SBJ","CB","?"))</f>
        <v/>
      </c>
      <c r="I1385" s="13" t="str">
        <f aca="false">IF(OR(E1385="",E1385="!!!",F1385="NEW"),"",INDEX(B$2:B1384,-1+SUMPRODUCT(MAX(ROW(E$2:E1384)*(E1385=E$2:E1384)))))</f>
        <v/>
      </c>
      <c r="J1385" s="14" t="str">
        <f aca="true">IF(OR(E1385="",E1385="!!!",F1385="NEW"),"",COUNTBLANK(OFFSET(A$1,,,SUMPRODUCT(MAX(ROW(E$2:E1385)*(E1385=E$2:E1385)))))-COUNTBLANK(OFFSET(A$1,,,SUMPRODUCT(MAX(ROW(E$1:E1384)*(E1385=E$1:E1384))))))</f>
        <v/>
      </c>
      <c r="K1385" s="14" t="str">
        <f aca="false">IF(OR(E1385="",E1385="!!!",F1385="NEW"),"",INDEX(J$1:J1384,SUMPRODUCT(MAX(ROW(E$1:E1384)*(E1385=E$1:E1384)))))</f>
        <v/>
      </c>
      <c r="L1385" s="15"/>
    </row>
    <row r="1386" customFormat="false" ht="12.75" hidden="false" customHeight="false" outlineLevel="0" collapsed="false">
      <c r="A1386" s="0" t="s">
        <v>331</v>
      </c>
      <c r="E1386" s="9" t="str">
        <f aca="false">IF(D1386="?OLD","!!!","")</f>
        <v/>
      </c>
      <c r="F1386" s="10" t="str">
        <f aca="false">IF(OR(E1386="",E1386="!!!"),"",IF(NOT(ISNA(VLOOKUP(E1386,E$1:E1385,1,FALSE()))),"OLD",IF(AND(E1386&lt;&gt;"",E1386&lt;&gt;"!!!"),"NEW","")))</f>
        <v/>
      </c>
      <c r="G1386" s="11" t="str">
        <f aca="false">IF(OR(E1386="",E1386="!!!"),"",IF(OR(J1386=0,AND(J1386=1,K1386=1),AND(J1386=1,I1386="SBJ"),AND(J1386=1,I1386=0)),"?IN_FOCUS",IF(J1386&lt;=2,"?ACTIVATED",IF(J1386&lt;&gt;"","?FAMILIAR",IF(F1386="NEW",IF(ISNA(VLOOKUP(E1386,#REF!,1,FALSE())),"?TYPE_IDENTIFIABLE","?REFERENTIAL"),"_")))))</f>
        <v/>
      </c>
      <c r="H1386" s="12" t="str">
        <f aca="false">IF(J1386&lt;&gt;1,"",IF(I1386="SBJ","CB","?"))</f>
        <v/>
      </c>
      <c r="I1386" s="13" t="str">
        <f aca="false">IF(OR(E1386="",E1386="!!!",F1386="NEW"),"",INDEX(B$2:B1385,-1+SUMPRODUCT(MAX(ROW(E$2:E1385)*(E1386=E$2:E1385)))))</f>
        <v/>
      </c>
      <c r="J1386" s="14" t="str">
        <f aca="true">IF(OR(E1386="",E1386="!!!",F1386="NEW"),"",COUNTBLANK(OFFSET(A$1,,,SUMPRODUCT(MAX(ROW(E$2:E1386)*(E1386=E$2:E1386)))))-COUNTBLANK(OFFSET(A$1,,,SUMPRODUCT(MAX(ROW(E$1:E1385)*(E1386=E$1:E1385))))))</f>
        <v/>
      </c>
      <c r="K1386" s="14" t="str">
        <f aca="false">IF(OR(E1386="",E1386="!!!",F1386="NEW"),"",INDEX(J$1:J1385,SUMPRODUCT(MAX(ROW(E$1:E1385)*(E1386=E$1:E1385)))))</f>
        <v/>
      </c>
      <c r="L1386" s="15"/>
    </row>
    <row r="1387" customFormat="false" ht="12.75" hidden="false" customHeight="false" outlineLevel="0" collapsed="false">
      <c r="A1387" s="0" t="s">
        <v>66</v>
      </c>
      <c r="E1387" s="9" t="str">
        <f aca="false">IF(D1387="?OLD","!!!","")</f>
        <v/>
      </c>
      <c r="F1387" s="10" t="str">
        <f aca="false">IF(OR(E1387="",E1387="!!!"),"",IF(NOT(ISNA(VLOOKUP(E1387,E$1:E1386,1,FALSE()))),"OLD",IF(AND(E1387&lt;&gt;"",E1387&lt;&gt;"!!!"),"NEW","")))</f>
        <v/>
      </c>
      <c r="G1387" s="11" t="str">
        <f aca="false">IF(OR(E1387="",E1387="!!!"),"",IF(OR(J1387=0,AND(J1387=1,K1387=1),AND(J1387=1,I1387="SBJ"),AND(J1387=1,I1387=0)),"?IN_FOCUS",IF(J1387&lt;=2,"?ACTIVATED",IF(J1387&lt;&gt;"","?FAMILIAR",IF(F1387="NEW",IF(ISNA(VLOOKUP(E1387,#REF!,1,FALSE())),"?TYPE_IDENTIFIABLE","?REFERENTIAL"),"_")))))</f>
        <v/>
      </c>
      <c r="H1387" s="12" t="str">
        <f aca="false">IF(J1387&lt;&gt;1,"",IF(I1387="SBJ","CB","?"))</f>
        <v/>
      </c>
      <c r="I1387" s="13" t="str">
        <f aca="false">IF(OR(E1387="",E1387="!!!",F1387="NEW"),"",INDEX(B$2:B1386,-1+SUMPRODUCT(MAX(ROW(E$2:E1386)*(E1387=E$2:E1386)))))</f>
        <v/>
      </c>
      <c r="J1387" s="14" t="str">
        <f aca="true">IF(OR(E1387="",E1387="!!!",F1387="NEW"),"",COUNTBLANK(OFFSET(A$1,,,SUMPRODUCT(MAX(ROW(E$2:E1387)*(E1387=E$2:E1387)))))-COUNTBLANK(OFFSET(A$1,,,SUMPRODUCT(MAX(ROW(E$1:E1386)*(E1387=E$1:E1386))))))</f>
        <v/>
      </c>
      <c r="K1387" s="14" t="str">
        <f aca="false">IF(OR(E1387="",E1387="!!!",F1387="NEW"),"",INDEX(J$1:J1386,SUMPRODUCT(MAX(ROW(E$1:E1386)*(E1387=E$1:E1386)))))</f>
        <v/>
      </c>
      <c r="L1387" s="15"/>
    </row>
    <row r="1388" customFormat="false" ht="12.75" hidden="false" customHeight="false" outlineLevel="0" collapsed="false">
      <c r="A1388" s="0" t="s">
        <v>180</v>
      </c>
      <c r="E1388" s="9" t="str">
        <f aca="false">IF(D1388="?OLD","!!!","")</f>
        <v/>
      </c>
      <c r="F1388" s="10" t="str">
        <f aca="false">IF(OR(E1388="",E1388="!!!"),"",IF(NOT(ISNA(VLOOKUP(E1388,E$1:E1387,1,FALSE()))),"OLD",IF(AND(E1388&lt;&gt;"",E1388&lt;&gt;"!!!"),"NEW","")))</f>
        <v/>
      </c>
      <c r="G1388" s="11" t="str">
        <f aca="false">IF(OR(E1388="",E1388="!!!"),"",IF(OR(J1388=0,AND(J1388=1,K1388=1),AND(J1388=1,I1388="SBJ"),AND(J1388=1,I1388=0)),"?IN_FOCUS",IF(J1388&lt;=2,"?ACTIVATED",IF(J1388&lt;&gt;"","?FAMILIAR",IF(F1388="NEW",IF(ISNA(VLOOKUP(E1388,#REF!,1,FALSE())),"?TYPE_IDENTIFIABLE","?REFERENTIAL"),"_")))))</f>
        <v/>
      </c>
      <c r="H1388" s="12" t="str">
        <f aca="false">IF(J1388&lt;&gt;1,"",IF(I1388="SBJ","CB","?"))</f>
        <v/>
      </c>
      <c r="I1388" s="13" t="str">
        <f aca="false">IF(OR(E1388="",E1388="!!!",F1388="NEW"),"",INDEX(B$2:B1387,-1+SUMPRODUCT(MAX(ROW(E$2:E1387)*(E1388=E$2:E1387)))))</f>
        <v/>
      </c>
      <c r="J1388" s="14" t="str">
        <f aca="true">IF(OR(E1388="",E1388="!!!",F1388="NEW"),"",COUNTBLANK(OFFSET(A$1,,,SUMPRODUCT(MAX(ROW(E$2:E1388)*(E1388=E$2:E1388)))))-COUNTBLANK(OFFSET(A$1,,,SUMPRODUCT(MAX(ROW(E$1:E1387)*(E1388=E$1:E1387))))))</f>
        <v/>
      </c>
      <c r="K1388" s="14" t="str">
        <f aca="false">IF(OR(E1388="",E1388="!!!",F1388="NEW"),"",INDEX(J$1:J1387,SUMPRODUCT(MAX(ROW(E$1:E1387)*(E1388=E$1:E1387)))))</f>
        <v/>
      </c>
      <c r="L1388" s="15"/>
    </row>
    <row r="1389" customFormat="false" ht="12.75" hidden="false" customHeight="false" outlineLevel="0" collapsed="false">
      <c r="A1389" s="0" t="s">
        <v>626</v>
      </c>
      <c r="B1389" s="0" t="s">
        <v>103</v>
      </c>
      <c r="C1389" s="0" t="s">
        <v>111</v>
      </c>
      <c r="D1389" s="0" t="s">
        <v>29</v>
      </c>
      <c r="E1389" s="9" t="str">
        <f aca="false">IF(D1389="?OLD","!!!","")</f>
        <v>!!!</v>
      </c>
      <c r="F1389" s="10" t="str">
        <f aca="false">IF(OR(E1389="",E1389="!!!"),"",IF(NOT(ISNA(VLOOKUP(E1389,E$1:E1388,1,FALSE()))),"OLD",IF(AND(E1389&lt;&gt;"",E1389&lt;&gt;"!!!"),"NEW","")))</f>
        <v/>
      </c>
      <c r="G1389" s="11" t="str">
        <f aca="false">IF(OR(E1389="",E1389="!!!"),"",IF(OR(J1389=0,AND(J1389=1,K1389=1),AND(J1389=1,I1389="SBJ"),AND(J1389=1,I1389=0)),"?IN_FOCUS",IF(J1389&lt;=2,"?ACTIVATED",IF(J1389&lt;&gt;"","?FAMILIAR",IF(F1389="NEW",IF(ISNA(VLOOKUP(E1389,#REF!,1,FALSE())),"?TYPE_IDENTIFIABLE","?REFERENTIAL"),"_")))))</f>
        <v/>
      </c>
      <c r="H1389" s="12" t="str">
        <f aca="false">IF(J1389&lt;&gt;1,"",IF(I1389="SBJ","CB","?"))</f>
        <v/>
      </c>
      <c r="I1389" s="13" t="str">
        <f aca="false">IF(OR(E1389="",E1389="!!!",F1389="NEW"),"",INDEX(B$2:B1388,-1+SUMPRODUCT(MAX(ROW(E$2:E1388)*(E1389=E$2:E1388)))))</f>
        <v/>
      </c>
      <c r="J1389" s="14" t="str">
        <f aca="true">IF(OR(E1389="",E1389="!!!",F1389="NEW"),"",COUNTBLANK(OFFSET(A$1,,,SUMPRODUCT(MAX(ROW(E$2:E1389)*(E1389=E$2:E1389)))))-COUNTBLANK(OFFSET(A$1,,,SUMPRODUCT(MAX(ROW(E$1:E1388)*(E1389=E$1:E1388))))))</f>
        <v/>
      </c>
      <c r="K1389" s="14" t="str">
        <f aca="false">IF(OR(E1389="",E1389="!!!",F1389="NEW"),"",INDEX(J$1:J1388,SUMPRODUCT(MAX(ROW(E$1:E1388)*(E1389=E$1:E1388)))))</f>
        <v/>
      </c>
      <c r="L1389" s="15"/>
    </row>
    <row r="1390" customFormat="false" ht="12.75" hidden="false" customHeight="false" outlineLevel="0" collapsed="false">
      <c r="A1390" s="0" t="s">
        <v>19</v>
      </c>
      <c r="E1390" s="9" t="str">
        <f aca="false">IF(D1390="?OLD","!!!","")</f>
        <v/>
      </c>
      <c r="F1390" s="10" t="str">
        <f aca="false">IF(OR(E1390="",E1390="!!!"),"",IF(NOT(ISNA(VLOOKUP(E1390,E$1:E1389,1,FALSE()))),"OLD",IF(AND(E1390&lt;&gt;"",E1390&lt;&gt;"!!!"),"NEW","")))</f>
        <v/>
      </c>
      <c r="G1390" s="11" t="str">
        <f aca="false">IF(OR(E1390="",E1390="!!!"),"",IF(OR(J1390=0,AND(J1390=1,K1390=1),AND(J1390=1,I1390="SBJ"),AND(J1390=1,I1390=0)),"?IN_FOCUS",IF(J1390&lt;=2,"?ACTIVATED",IF(J1390&lt;&gt;"","?FAMILIAR",IF(F1390="NEW",IF(ISNA(VLOOKUP(E1390,#REF!,1,FALSE())),"?TYPE_IDENTIFIABLE","?REFERENTIAL"),"_")))))</f>
        <v/>
      </c>
      <c r="H1390" s="12" t="str">
        <f aca="false">IF(J1390&lt;&gt;1,"",IF(I1390="SBJ","CB","?"))</f>
        <v/>
      </c>
      <c r="I1390" s="13" t="str">
        <f aca="false">IF(OR(E1390="",E1390="!!!",F1390="NEW"),"",INDEX(B$2:B1389,-1+SUMPRODUCT(MAX(ROW(E$2:E1389)*(E1390=E$2:E1389)))))</f>
        <v/>
      </c>
      <c r="J1390" s="14" t="str">
        <f aca="true">IF(OR(E1390="",E1390="!!!",F1390="NEW"),"",COUNTBLANK(OFFSET(A$1,,,SUMPRODUCT(MAX(ROW(E$2:E1390)*(E1390=E$2:E1390)))))-COUNTBLANK(OFFSET(A$1,,,SUMPRODUCT(MAX(ROW(E$1:E1389)*(E1390=E$1:E1389))))))</f>
        <v/>
      </c>
      <c r="K1390" s="14" t="str">
        <f aca="false">IF(OR(E1390="",E1390="!!!",F1390="NEW"),"",INDEX(J$1:J1389,SUMPRODUCT(MAX(ROW(E$1:E1389)*(E1390=E$1:E1389)))))</f>
        <v/>
      </c>
      <c r="L1390" s="15"/>
    </row>
    <row r="1391" customFormat="false" ht="12.75" hidden="false" customHeight="false" outlineLevel="0" collapsed="false">
      <c r="A1391" s="0" t="s">
        <v>66</v>
      </c>
      <c r="E1391" s="9" t="str">
        <f aca="false">IF(D1391="?OLD","!!!","")</f>
        <v/>
      </c>
      <c r="F1391" s="10" t="str">
        <f aca="false">IF(OR(E1391="",E1391="!!!"),"",IF(NOT(ISNA(VLOOKUP(E1391,E$1:E1390,1,FALSE()))),"OLD",IF(AND(E1391&lt;&gt;"",E1391&lt;&gt;"!!!"),"NEW","")))</f>
        <v/>
      </c>
      <c r="G1391" s="11" t="str">
        <f aca="false">IF(OR(E1391="",E1391="!!!"),"",IF(OR(J1391=0,AND(J1391=1,K1391=1),AND(J1391=1,I1391="SBJ"),AND(J1391=1,I1391=0)),"?IN_FOCUS",IF(J1391&lt;=2,"?ACTIVATED",IF(J1391&lt;&gt;"","?FAMILIAR",IF(F1391="NEW",IF(ISNA(VLOOKUP(E1391,#REF!,1,FALSE())),"?TYPE_IDENTIFIABLE","?REFERENTIAL"),"_")))))</f>
        <v/>
      </c>
      <c r="H1391" s="12" t="str">
        <f aca="false">IF(J1391&lt;&gt;1,"",IF(I1391="SBJ","CB","?"))</f>
        <v/>
      </c>
      <c r="I1391" s="13" t="str">
        <f aca="false">IF(OR(E1391="",E1391="!!!",F1391="NEW"),"",INDEX(B$2:B1390,-1+SUMPRODUCT(MAX(ROW(E$2:E1390)*(E1391=E$2:E1390)))))</f>
        <v/>
      </c>
      <c r="J1391" s="14" t="str">
        <f aca="true">IF(OR(E1391="",E1391="!!!",F1391="NEW"),"",COUNTBLANK(OFFSET(A$1,,,SUMPRODUCT(MAX(ROW(E$2:E1391)*(E1391=E$2:E1391)))))-COUNTBLANK(OFFSET(A$1,,,SUMPRODUCT(MAX(ROW(E$1:E1390)*(E1391=E$1:E1390))))))</f>
        <v/>
      </c>
      <c r="K1391" s="14" t="str">
        <f aca="false">IF(OR(E1391="",E1391="!!!",F1391="NEW"),"",INDEX(J$1:J1390,SUMPRODUCT(MAX(ROW(E$1:E1390)*(E1391=E$1:E1390)))))</f>
        <v/>
      </c>
      <c r="L1391" s="15"/>
    </row>
    <row r="1392" customFormat="false" ht="12.75" hidden="false" customHeight="false" outlineLevel="0" collapsed="false">
      <c r="A1392" s="0" t="s">
        <v>231</v>
      </c>
      <c r="B1392" s="0" t="s">
        <v>22</v>
      </c>
      <c r="C1392" s="0" t="s">
        <v>111</v>
      </c>
      <c r="D1392" s="0" t="s">
        <v>29</v>
      </c>
      <c r="E1392" s="9" t="str">
        <f aca="false">IF(D1392="?OLD","!!!","")</f>
        <v>!!!</v>
      </c>
      <c r="F1392" s="10" t="str">
        <f aca="false">IF(OR(E1392="",E1392="!!!"),"",IF(NOT(ISNA(VLOOKUP(E1392,E$1:E1391,1,FALSE()))),"OLD",IF(AND(E1392&lt;&gt;"",E1392&lt;&gt;"!!!"),"NEW","")))</f>
        <v/>
      </c>
      <c r="G1392" s="11" t="str">
        <f aca="false">IF(OR(E1392="",E1392="!!!"),"",IF(OR(J1392=0,AND(J1392=1,K1392=1),AND(J1392=1,I1392="SBJ"),AND(J1392=1,I1392=0)),"?IN_FOCUS",IF(J1392&lt;=2,"?ACTIVATED",IF(J1392&lt;&gt;"","?FAMILIAR",IF(F1392="NEW",IF(ISNA(VLOOKUP(E1392,#REF!,1,FALSE())),"?TYPE_IDENTIFIABLE","?REFERENTIAL"),"_")))))</f>
        <v/>
      </c>
      <c r="H1392" s="12" t="str">
        <f aca="false">IF(J1392&lt;&gt;1,"",IF(I1392="SBJ","CB","?"))</f>
        <v/>
      </c>
      <c r="I1392" s="13" t="str">
        <f aca="false">IF(OR(E1392="",E1392="!!!",F1392="NEW"),"",INDEX(B$2:B1391,-1+SUMPRODUCT(MAX(ROW(E$2:E1391)*(E1392=E$2:E1391)))))</f>
        <v/>
      </c>
      <c r="J1392" s="14" t="str">
        <f aca="true">IF(OR(E1392="",E1392="!!!",F1392="NEW"),"",COUNTBLANK(OFFSET(A$1,,,SUMPRODUCT(MAX(ROW(E$2:E1392)*(E1392=E$2:E1392)))))-COUNTBLANK(OFFSET(A$1,,,SUMPRODUCT(MAX(ROW(E$1:E1391)*(E1392=E$1:E1391))))))</f>
        <v/>
      </c>
      <c r="K1392" s="14" t="str">
        <f aca="false">IF(OR(E1392="",E1392="!!!",F1392="NEW"),"",INDEX(J$1:J1391,SUMPRODUCT(MAX(ROW(E$1:E1391)*(E1392=E$1:E1391)))))</f>
        <v/>
      </c>
      <c r="L1392" s="15"/>
    </row>
    <row r="1393" customFormat="false" ht="12.75" hidden="false" customHeight="false" outlineLevel="0" collapsed="false">
      <c r="A1393" s="0" t="s">
        <v>31</v>
      </c>
      <c r="E1393" s="9" t="str">
        <f aca="false">IF(D1393="?OLD","!!!","")</f>
        <v/>
      </c>
      <c r="F1393" s="10" t="str">
        <f aca="false">IF(OR(E1393="",E1393="!!!"),"",IF(NOT(ISNA(VLOOKUP(E1393,E$1:E1392,1,FALSE()))),"OLD",IF(AND(E1393&lt;&gt;"",E1393&lt;&gt;"!!!"),"NEW","")))</f>
        <v/>
      </c>
      <c r="G1393" s="11" t="str">
        <f aca="false">IF(OR(E1393="",E1393="!!!"),"",IF(OR(J1393=0,AND(J1393=1,K1393=1),AND(J1393=1,I1393="SBJ"),AND(J1393=1,I1393=0)),"?IN_FOCUS",IF(J1393&lt;=2,"?ACTIVATED",IF(J1393&lt;&gt;"","?FAMILIAR",IF(F1393="NEW",IF(ISNA(VLOOKUP(E1393,#REF!,1,FALSE())),"?TYPE_IDENTIFIABLE","?REFERENTIAL"),"_")))))</f>
        <v/>
      </c>
      <c r="H1393" s="12" t="str">
        <f aca="false">IF(J1393&lt;&gt;1,"",IF(I1393="SBJ","CB","?"))</f>
        <v/>
      </c>
      <c r="I1393" s="13" t="str">
        <f aca="false">IF(OR(E1393="",E1393="!!!",F1393="NEW"),"",INDEX(B$2:B1392,-1+SUMPRODUCT(MAX(ROW(E$2:E1392)*(E1393=E$2:E1392)))))</f>
        <v/>
      </c>
      <c r="J1393" s="14" t="str">
        <f aca="true">IF(OR(E1393="",E1393="!!!",F1393="NEW"),"",COUNTBLANK(OFFSET(A$1,,,SUMPRODUCT(MAX(ROW(E$2:E1393)*(E1393=E$2:E1393)))))-COUNTBLANK(OFFSET(A$1,,,SUMPRODUCT(MAX(ROW(E$1:E1392)*(E1393=E$1:E1392))))))</f>
        <v/>
      </c>
      <c r="K1393" s="14" t="str">
        <f aca="false">IF(OR(E1393="",E1393="!!!",F1393="NEW"),"",INDEX(J$1:J1392,SUMPRODUCT(MAX(ROW(E$1:E1392)*(E1393=E$1:E1392)))))</f>
        <v/>
      </c>
      <c r="L1393" s="15"/>
    </row>
    <row r="1394" customFormat="false" ht="12.75" hidden="false" customHeight="false" outlineLevel="0" collapsed="false">
      <c r="A1394" s="0" t="s">
        <v>36</v>
      </c>
      <c r="B1394" s="0" t="s">
        <v>14</v>
      </c>
      <c r="C1394" s="0" t="s">
        <v>38</v>
      </c>
      <c r="D1394" s="0" t="s">
        <v>29</v>
      </c>
      <c r="E1394" s="9" t="str">
        <f aca="false">IF(D1394="?OLD","!!!","")</f>
        <v>!!!</v>
      </c>
      <c r="F1394" s="10" t="str">
        <f aca="false">IF(OR(E1394="",E1394="!!!"),"",IF(NOT(ISNA(VLOOKUP(E1394,E$1:E1393,1,FALSE()))),"OLD",IF(AND(E1394&lt;&gt;"",E1394&lt;&gt;"!!!"),"NEW","")))</f>
        <v/>
      </c>
      <c r="G1394" s="11" t="str">
        <f aca="false">IF(OR(E1394="",E1394="!!!"),"",IF(OR(J1394=0,AND(J1394=1,K1394=1),AND(J1394=1,I1394="SBJ"),AND(J1394=1,I1394=0)),"?IN_FOCUS",IF(J1394&lt;=2,"?ACTIVATED",IF(J1394&lt;&gt;"","?FAMILIAR",IF(F1394="NEW",IF(ISNA(VLOOKUP(E1394,#REF!,1,FALSE())),"?TYPE_IDENTIFIABLE","?REFERENTIAL"),"_")))))</f>
        <v/>
      </c>
      <c r="H1394" s="12" t="str">
        <f aca="false">IF(J1394&lt;&gt;1,"",IF(I1394="SBJ","CB","?"))</f>
        <v/>
      </c>
      <c r="I1394" s="13" t="str">
        <f aca="false">IF(OR(E1394="",E1394="!!!",F1394="NEW"),"",INDEX(B$2:B1393,-1+SUMPRODUCT(MAX(ROW(E$2:E1393)*(E1394=E$2:E1393)))))</f>
        <v/>
      </c>
      <c r="J1394" s="14" t="str">
        <f aca="true">IF(OR(E1394="",E1394="!!!",F1394="NEW"),"",COUNTBLANK(OFFSET(A$1,,,SUMPRODUCT(MAX(ROW(E$2:E1394)*(E1394=E$2:E1394)))))-COUNTBLANK(OFFSET(A$1,,,SUMPRODUCT(MAX(ROW(E$1:E1393)*(E1394=E$1:E1393))))))</f>
        <v/>
      </c>
      <c r="K1394" s="14" t="str">
        <f aca="false">IF(OR(E1394="",E1394="!!!",F1394="NEW"),"",INDEX(J$1:J1393,SUMPRODUCT(MAX(ROW(E$1:E1393)*(E1394=E$1:E1393)))))</f>
        <v/>
      </c>
      <c r="L1394" s="15"/>
    </row>
    <row r="1395" customFormat="false" ht="12.75" hidden="false" customHeight="false" outlineLevel="0" collapsed="false">
      <c r="A1395" s="0" t="s">
        <v>443</v>
      </c>
      <c r="E1395" s="9" t="str">
        <f aca="false">IF(D1395="?OLD","!!!","")</f>
        <v/>
      </c>
      <c r="F1395" s="10" t="str">
        <f aca="false">IF(OR(E1395="",E1395="!!!"),"",IF(NOT(ISNA(VLOOKUP(E1395,E$1:E1394,1,FALSE()))),"OLD",IF(AND(E1395&lt;&gt;"",E1395&lt;&gt;"!!!"),"NEW","")))</f>
        <v/>
      </c>
      <c r="G1395" s="11" t="str">
        <f aca="false">IF(OR(E1395="",E1395="!!!"),"",IF(OR(J1395=0,AND(J1395=1,K1395=1),AND(J1395=1,I1395="SBJ"),AND(J1395=1,I1395=0)),"?IN_FOCUS",IF(J1395&lt;=2,"?ACTIVATED",IF(J1395&lt;&gt;"","?FAMILIAR",IF(F1395="NEW",IF(ISNA(VLOOKUP(E1395,#REF!,1,FALSE())),"?TYPE_IDENTIFIABLE","?REFERENTIAL"),"_")))))</f>
        <v/>
      </c>
      <c r="H1395" s="12" t="str">
        <f aca="false">IF(J1395&lt;&gt;1,"",IF(I1395="SBJ","CB","?"))</f>
        <v/>
      </c>
      <c r="I1395" s="13" t="str">
        <f aca="false">IF(OR(E1395="",E1395="!!!",F1395="NEW"),"",INDEX(B$2:B1394,-1+SUMPRODUCT(MAX(ROW(E$2:E1394)*(E1395=E$2:E1394)))))</f>
        <v/>
      </c>
      <c r="J1395" s="14" t="str">
        <f aca="true">IF(OR(E1395="",E1395="!!!",F1395="NEW"),"",COUNTBLANK(OFFSET(A$1,,,SUMPRODUCT(MAX(ROW(E$2:E1395)*(E1395=E$2:E1395)))))-COUNTBLANK(OFFSET(A$1,,,SUMPRODUCT(MAX(ROW(E$1:E1394)*(E1395=E$1:E1394))))))</f>
        <v/>
      </c>
      <c r="K1395" s="14" t="str">
        <f aca="false">IF(OR(E1395="",E1395="!!!",F1395="NEW"),"",INDEX(J$1:J1394,SUMPRODUCT(MAX(ROW(E$1:E1394)*(E1395=E$1:E1394)))))</f>
        <v/>
      </c>
      <c r="L1395" s="15"/>
    </row>
    <row r="1396" customFormat="false" ht="12.75" hidden="false" customHeight="false" outlineLevel="0" collapsed="false">
      <c r="A1396" s="0" t="s">
        <v>627</v>
      </c>
      <c r="E1396" s="9" t="str">
        <f aca="false">IF(D1396="?OLD","!!!","")</f>
        <v/>
      </c>
      <c r="F1396" s="10" t="str">
        <f aca="false">IF(OR(E1396="",E1396="!!!"),"",IF(NOT(ISNA(VLOOKUP(E1396,E$1:E1395,1,FALSE()))),"OLD",IF(AND(E1396&lt;&gt;"",E1396&lt;&gt;"!!!"),"NEW","")))</f>
        <v/>
      </c>
      <c r="G1396" s="11" t="str">
        <f aca="false">IF(OR(E1396="",E1396="!!!"),"",IF(OR(J1396=0,AND(J1396=1,K1396=1),AND(J1396=1,I1396="SBJ"),AND(J1396=1,I1396=0)),"?IN_FOCUS",IF(J1396&lt;=2,"?ACTIVATED",IF(J1396&lt;&gt;"","?FAMILIAR",IF(F1396="NEW",IF(ISNA(VLOOKUP(E1396,#REF!,1,FALSE())),"?TYPE_IDENTIFIABLE","?REFERENTIAL"),"_")))))</f>
        <v/>
      </c>
      <c r="H1396" s="12" t="str">
        <f aca="false">IF(J1396&lt;&gt;1,"",IF(I1396="SBJ","CB","?"))</f>
        <v/>
      </c>
      <c r="I1396" s="13" t="str">
        <f aca="false">IF(OR(E1396="",E1396="!!!",F1396="NEW"),"",INDEX(B$2:B1395,-1+SUMPRODUCT(MAX(ROW(E$2:E1395)*(E1396=E$2:E1395)))))</f>
        <v/>
      </c>
      <c r="J1396" s="14" t="str">
        <f aca="true">IF(OR(E1396="",E1396="!!!",F1396="NEW"),"",COUNTBLANK(OFFSET(A$1,,,SUMPRODUCT(MAX(ROW(E$2:E1396)*(E1396=E$2:E1396)))))-COUNTBLANK(OFFSET(A$1,,,SUMPRODUCT(MAX(ROW(E$1:E1395)*(E1396=E$1:E1395))))))</f>
        <v/>
      </c>
      <c r="K1396" s="14" t="str">
        <f aca="false">IF(OR(E1396="",E1396="!!!",F1396="NEW"),"",INDEX(J$1:J1395,SUMPRODUCT(MAX(ROW(E$1:E1395)*(E1396=E$1:E1395)))))</f>
        <v/>
      </c>
      <c r="L1396" s="15"/>
    </row>
    <row r="1397" customFormat="false" ht="12.75" hidden="false" customHeight="false" outlineLevel="0" collapsed="false">
      <c r="A1397" s="0" t="s">
        <v>628</v>
      </c>
      <c r="B1397" s="0" t="s">
        <v>62</v>
      </c>
      <c r="C1397" s="0" t="s">
        <v>120</v>
      </c>
      <c r="E1397" s="9" t="str">
        <f aca="false">IF(D1397="?OLD","!!!","")</f>
        <v/>
      </c>
      <c r="F1397" s="10" t="str">
        <f aca="false">IF(OR(E1397="",E1397="!!!"),"",IF(NOT(ISNA(VLOOKUP(E1397,E$1:E1396,1,FALSE()))),"OLD",IF(AND(E1397&lt;&gt;"",E1397&lt;&gt;"!!!"),"NEW","")))</f>
        <v/>
      </c>
      <c r="G1397" s="11" t="str">
        <f aca="false">IF(OR(E1397="",E1397="!!!"),"",IF(OR(J1397=0,AND(J1397=1,K1397=1),AND(J1397=1,I1397="SBJ"),AND(J1397=1,I1397=0)),"?IN_FOCUS",IF(J1397&lt;=2,"?ACTIVATED",IF(J1397&lt;&gt;"","?FAMILIAR",IF(F1397="NEW",IF(ISNA(VLOOKUP(E1397,#REF!,1,FALSE())),"?TYPE_IDENTIFIABLE","?REFERENTIAL"),"_")))))</f>
        <v/>
      </c>
      <c r="H1397" s="12" t="str">
        <f aca="false">IF(J1397&lt;&gt;1,"",IF(I1397="SBJ","CB","?"))</f>
        <v/>
      </c>
      <c r="I1397" s="13" t="str">
        <f aca="false">IF(OR(E1397="",E1397="!!!",F1397="NEW"),"",INDEX(B$2:B1396,-1+SUMPRODUCT(MAX(ROW(E$2:E1396)*(E1397=E$2:E1396)))))</f>
        <v/>
      </c>
      <c r="J1397" s="14" t="str">
        <f aca="true">IF(OR(E1397="",E1397="!!!",F1397="NEW"),"",COUNTBLANK(OFFSET(A$1,,,SUMPRODUCT(MAX(ROW(E$2:E1397)*(E1397=E$2:E1397)))))-COUNTBLANK(OFFSET(A$1,,,SUMPRODUCT(MAX(ROW(E$1:E1396)*(E1397=E$1:E1396))))))</f>
        <v/>
      </c>
      <c r="K1397" s="14" t="str">
        <f aca="false">IF(OR(E1397="",E1397="!!!",F1397="NEW"),"",INDEX(J$1:J1396,SUMPRODUCT(MAX(ROW(E$1:E1396)*(E1397=E$1:E1396)))))</f>
        <v/>
      </c>
      <c r="L1397" s="15"/>
    </row>
    <row r="1398" customFormat="false" ht="12.75" hidden="false" customHeight="false" outlineLevel="0" collapsed="false">
      <c r="A1398" s="0" t="s">
        <v>88</v>
      </c>
      <c r="E1398" s="9" t="str">
        <f aca="false">IF(D1398="?OLD","!!!","")</f>
        <v/>
      </c>
      <c r="F1398" s="10" t="str">
        <f aca="false">IF(OR(E1398="",E1398="!!!"),"",IF(NOT(ISNA(VLOOKUP(E1398,E$1:E1397,1,FALSE()))),"OLD",IF(AND(E1398&lt;&gt;"",E1398&lt;&gt;"!!!"),"NEW","")))</f>
        <v/>
      </c>
      <c r="G1398" s="11" t="str">
        <f aca="false">IF(OR(E1398="",E1398="!!!"),"",IF(OR(J1398=0,AND(J1398=1,K1398=1),AND(J1398=1,I1398="SBJ"),AND(J1398=1,I1398=0)),"?IN_FOCUS",IF(J1398&lt;=2,"?ACTIVATED",IF(J1398&lt;&gt;"","?FAMILIAR",IF(F1398="NEW",IF(ISNA(VLOOKUP(E1398,#REF!,1,FALSE())),"?TYPE_IDENTIFIABLE","?REFERENTIAL"),"_")))))</f>
        <v/>
      </c>
      <c r="H1398" s="12" t="str">
        <f aca="false">IF(J1398&lt;&gt;1,"",IF(I1398="SBJ","CB","?"))</f>
        <v/>
      </c>
      <c r="I1398" s="13" t="str">
        <f aca="false">IF(OR(E1398="",E1398="!!!",F1398="NEW"),"",INDEX(B$2:B1397,-1+SUMPRODUCT(MAX(ROW(E$2:E1397)*(E1398=E$2:E1397)))))</f>
        <v/>
      </c>
      <c r="J1398" s="14" t="str">
        <f aca="true">IF(OR(E1398="",E1398="!!!",F1398="NEW"),"",COUNTBLANK(OFFSET(A$1,,,SUMPRODUCT(MAX(ROW(E$2:E1398)*(E1398=E$2:E1398)))))-COUNTBLANK(OFFSET(A$1,,,SUMPRODUCT(MAX(ROW(E$1:E1397)*(E1398=E$1:E1397))))))</f>
        <v/>
      </c>
      <c r="K1398" s="14" t="str">
        <f aca="false">IF(OR(E1398="",E1398="!!!",F1398="NEW"),"",INDEX(J$1:J1397,SUMPRODUCT(MAX(ROW(E$1:E1397)*(E1398=E$1:E1397)))))</f>
        <v/>
      </c>
      <c r="L1398" s="15"/>
    </row>
    <row r="1399" customFormat="false" ht="12.75" hidden="false" customHeight="false" outlineLevel="0" collapsed="false">
      <c r="A1399" s="0" t="s">
        <v>629</v>
      </c>
      <c r="E1399" s="9" t="str">
        <f aca="false">IF(D1399="?OLD","!!!","")</f>
        <v/>
      </c>
      <c r="F1399" s="10" t="str">
        <f aca="false">IF(OR(E1399="",E1399="!!!"),"",IF(NOT(ISNA(VLOOKUP(E1399,E$1:E1398,1,FALSE()))),"OLD",IF(AND(E1399&lt;&gt;"",E1399&lt;&gt;"!!!"),"NEW","")))</f>
        <v/>
      </c>
      <c r="G1399" s="11" t="str">
        <f aca="false">IF(OR(E1399="",E1399="!!!"),"",IF(OR(J1399=0,AND(J1399=1,K1399=1),AND(J1399=1,I1399="SBJ"),AND(J1399=1,I1399=0)),"?IN_FOCUS",IF(J1399&lt;=2,"?ACTIVATED",IF(J1399&lt;&gt;"","?FAMILIAR",IF(F1399="NEW",IF(ISNA(VLOOKUP(E1399,#REF!,1,FALSE())),"?TYPE_IDENTIFIABLE","?REFERENTIAL"),"_")))))</f>
        <v/>
      </c>
      <c r="H1399" s="12" t="str">
        <f aca="false">IF(J1399&lt;&gt;1,"",IF(I1399="SBJ","CB","?"))</f>
        <v/>
      </c>
      <c r="I1399" s="13" t="str">
        <f aca="false">IF(OR(E1399="",E1399="!!!",F1399="NEW"),"",INDEX(B$2:B1398,-1+SUMPRODUCT(MAX(ROW(E$2:E1398)*(E1399=E$2:E1398)))))</f>
        <v/>
      </c>
      <c r="J1399" s="14" t="str">
        <f aca="true">IF(OR(E1399="",E1399="!!!",F1399="NEW"),"",COUNTBLANK(OFFSET(A$1,,,SUMPRODUCT(MAX(ROW(E$2:E1399)*(E1399=E$2:E1399)))))-COUNTBLANK(OFFSET(A$1,,,SUMPRODUCT(MAX(ROW(E$1:E1398)*(E1399=E$1:E1398))))))</f>
        <v/>
      </c>
      <c r="K1399" s="14" t="str">
        <f aca="false">IF(OR(E1399="",E1399="!!!",F1399="NEW"),"",INDEX(J$1:J1398,SUMPRODUCT(MAX(ROW(E$1:E1398)*(E1399=E$1:E1398)))))</f>
        <v/>
      </c>
      <c r="L1399" s="15"/>
    </row>
    <row r="1400" customFormat="false" ht="12.75" hidden="false" customHeight="false" outlineLevel="0" collapsed="false">
      <c r="A1400" s="0" t="s">
        <v>630</v>
      </c>
      <c r="B1400" s="0" t="s">
        <v>62</v>
      </c>
      <c r="C1400" s="0" t="s">
        <v>120</v>
      </c>
      <c r="E1400" s="9" t="str">
        <f aca="false">IF(D1400="?OLD","!!!","")</f>
        <v/>
      </c>
      <c r="F1400" s="10" t="str">
        <f aca="false">IF(OR(E1400="",E1400="!!!"),"",IF(NOT(ISNA(VLOOKUP(E1400,E$1:E1399,1,FALSE()))),"OLD",IF(AND(E1400&lt;&gt;"",E1400&lt;&gt;"!!!"),"NEW","")))</f>
        <v/>
      </c>
      <c r="G1400" s="11" t="str">
        <f aca="false">IF(OR(E1400="",E1400="!!!"),"",IF(OR(J1400=0,AND(J1400=1,K1400=1),AND(J1400=1,I1400="SBJ"),AND(J1400=1,I1400=0)),"?IN_FOCUS",IF(J1400&lt;=2,"?ACTIVATED",IF(J1400&lt;&gt;"","?FAMILIAR",IF(F1400="NEW",IF(ISNA(VLOOKUP(E1400,#REF!,1,FALSE())),"?TYPE_IDENTIFIABLE","?REFERENTIAL"),"_")))))</f>
        <v/>
      </c>
      <c r="H1400" s="12" t="str">
        <f aca="false">IF(J1400&lt;&gt;1,"",IF(I1400="SBJ","CB","?"))</f>
        <v/>
      </c>
      <c r="I1400" s="13" t="str">
        <f aca="false">IF(OR(E1400="",E1400="!!!",F1400="NEW"),"",INDEX(B$2:B1399,-1+SUMPRODUCT(MAX(ROW(E$2:E1399)*(E1400=E$2:E1399)))))</f>
        <v/>
      </c>
      <c r="J1400" s="14" t="str">
        <f aca="true">IF(OR(E1400="",E1400="!!!",F1400="NEW"),"",COUNTBLANK(OFFSET(A$1,,,SUMPRODUCT(MAX(ROW(E$2:E1400)*(E1400=E$2:E1400)))))-COUNTBLANK(OFFSET(A$1,,,SUMPRODUCT(MAX(ROW(E$1:E1399)*(E1400=E$1:E1399))))))</f>
        <v/>
      </c>
      <c r="K1400" s="14" t="str">
        <f aca="false">IF(OR(E1400="",E1400="!!!",F1400="NEW"),"",INDEX(J$1:J1399,SUMPRODUCT(MAX(ROW(E$1:E1399)*(E1400=E$1:E1399)))))</f>
        <v/>
      </c>
      <c r="L1400" s="15"/>
    </row>
    <row r="1401" customFormat="false" ht="12.75" hidden="false" customHeight="false" outlineLevel="0" collapsed="false">
      <c r="A1401" s="0" t="s">
        <v>631</v>
      </c>
      <c r="E1401" s="9" t="str">
        <f aca="false">IF(D1401="?OLD","!!!","")</f>
        <v/>
      </c>
      <c r="F1401" s="10" t="str">
        <f aca="false">IF(OR(E1401="",E1401="!!!"),"",IF(NOT(ISNA(VLOOKUP(E1401,E$1:E1400,1,FALSE()))),"OLD",IF(AND(E1401&lt;&gt;"",E1401&lt;&gt;"!!!"),"NEW","")))</f>
        <v/>
      </c>
      <c r="G1401" s="11" t="str">
        <f aca="false">IF(OR(E1401="",E1401="!!!"),"",IF(OR(J1401=0,AND(J1401=1,K1401=1),AND(J1401=1,I1401="SBJ"),AND(J1401=1,I1401=0)),"?IN_FOCUS",IF(J1401&lt;=2,"?ACTIVATED",IF(J1401&lt;&gt;"","?FAMILIAR",IF(F1401="NEW",IF(ISNA(VLOOKUP(E1401,#REF!,1,FALSE())),"?TYPE_IDENTIFIABLE","?REFERENTIAL"),"_")))))</f>
        <v/>
      </c>
      <c r="H1401" s="12" t="str">
        <f aca="false">IF(J1401&lt;&gt;1,"",IF(I1401="SBJ","CB","?"))</f>
        <v/>
      </c>
      <c r="I1401" s="13" t="str">
        <f aca="false">IF(OR(E1401="",E1401="!!!",F1401="NEW"),"",INDEX(B$2:B1400,-1+SUMPRODUCT(MAX(ROW(E$2:E1400)*(E1401=E$2:E1400)))))</f>
        <v/>
      </c>
      <c r="J1401" s="14" t="str">
        <f aca="true">IF(OR(E1401="",E1401="!!!",F1401="NEW"),"",COUNTBLANK(OFFSET(A$1,,,SUMPRODUCT(MAX(ROW(E$2:E1401)*(E1401=E$2:E1401)))))-COUNTBLANK(OFFSET(A$1,,,SUMPRODUCT(MAX(ROW(E$1:E1400)*(E1401=E$1:E1400))))))</f>
        <v/>
      </c>
      <c r="K1401" s="14" t="str">
        <f aca="false">IF(OR(E1401="",E1401="!!!",F1401="NEW"),"",INDEX(J$1:J1400,SUMPRODUCT(MAX(ROW(E$1:E1400)*(E1401=E$1:E1400)))))</f>
        <v/>
      </c>
      <c r="L1401" s="15"/>
    </row>
    <row r="1402" customFormat="false" ht="12.75" hidden="false" customHeight="false" outlineLevel="0" collapsed="false">
      <c r="A1402" s="0" t="s">
        <v>632</v>
      </c>
      <c r="E1402" s="9" t="str">
        <f aca="false">IF(D1402="?OLD","!!!","")</f>
        <v/>
      </c>
      <c r="F1402" s="10" t="str">
        <f aca="false">IF(OR(E1402="",E1402="!!!"),"",IF(NOT(ISNA(VLOOKUP(E1402,E$1:E1401,1,FALSE()))),"OLD",IF(AND(E1402&lt;&gt;"",E1402&lt;&gt;"!!!"),"NEW","")))</f>
        <v/>
      </c>
      <c r="G1402" s="11" t="str">
        <f aca="false">IF(OR(E1402="",E1402="!!!"),"",IF(OR(J1402=0,AND(J1402=1,K1402=1),AND(J1402=1,I1402="SBJ"),AND(J1402=1,I1402=0)),"?IN_FOCUS",IF(J1402&lt;=2,"?ACTIVATED",IF(J1402&lt;&gt;"","?FAMILIAR",IF(F1402="NEW",IF(ISNA(VLOOKUP(E1402,#REF!,1,FALSE())),"?TYPE_IDENTIFIABLE","?REFERENTIAL"),"_")))))</f>
        <v/>
      </c>
      <c r="H1402" s="12" t="str">
        <f aca="false">IF(J1402&lt;&gt;1,"",IF(I1402="SBJ","CB","?"))</f>
        <v/>
      </c>
      <c r="I1402" s="13" t="str">
        <f aca="false">IF(OR(E1402="",E1402="!!!",F1402="NEW"),"",INDEX(B$2:B1401,-1+SUMPRODUCT(MAX(ROW(E$2:E1401)*(E1402=E$2:E1401)))))</f>
        <v/>
      </c>
      <c r="J1402" s="14" t="str">
        <f aca="true">IF(OR(E1402="",E1402="!!!",F1402="NEW"),"",COUNTBLANK(OFFSET(A$1,,,SUMPRODUCT(MAX(ROW(E$2:E1402)*(E1402=E$2:E1402)))))-COUNTBLANK(OFFSET(A$1,,,SUMPRODUCT(MAX(ROW(E$1:E1401)*(E1402=E$1:E1401))))))</f>
        <v/>
      </c>
      <c r="K1402" s="14" t="str">
        <f aca="false">IF(OR(E1402="",E1402="!!!",F1402="NEW"),"",INDEX(J$1:J1401,SUMPRODUCT(MAX(ROW(E$1:E1401)*(E1402=E$1:E1401)))))</f>
        <v/>
      </c>
      <c r="L1402" s="15"/>
    </row>
    <row r="1403" customFormat="false" ht="12.75" hidden="false" customHeight="false" outlineLevel="0" collapsed="false">
      <c r="A1403" s="0" t="s">
        <v>633</v>
      </c>
      <c r="E1403" s="9" t="str">
        <f aca="false">IF(D1403="?OLD","!!!","")</f>
        <v/>
      </c>
      <c r="F1403" s="10" t="str">
        <f aca="false">IF(OR(E1403="",E1403="!!!"),"",IF(NOT(ISNA(VLOOKUP(E1403,E$1:E1402,1,FALSE()))),"OLD",IF(AND(E1403&lt;&gt;"",E1403&lt;&gt;"!!!"),"NEW","")))</f>
        <v/>
      </c>
      <c r="G1403" s="11" t="str">
        <f aca="false">IF(OR(E1403="",E1403="!!!"),"",IF(OR(J1403=0,AND(J1403=1,K1403=1),AND(J1403=1,I1403="SBJ"),AND(J1403=1,I1403=0)),"?IN_FOCUS",IF(J1403&lt;=2,"?ACTIVATED",IF(J1403&lt;&gt;"","?FAMILIAR",IF(F1403="NEW",IF(ISNA(VLOOKUP(E1403,#REF!,1,FALSE())),"?TYPE_IDENTIFIABLE","?REFERENTIAL"),"_")))))</f>
        <v/>
      </c>
      <c r="H1403" s="12" t="str">
        <f aca="false">IF(J1403&lt;&gt;1,"",IF(I1403="SBJ","CB","?"))</f>
        <v/>
      </c>
      <c r="I1403" s="13" t="str">
        <f aca="false">IF(OR(E1403="",E1403="!!!",F1403="NEW"),"",INDEX(B$2:B1402,-1+SUMPRODUCT(MAX(ROW(E$2:E1402)*(E1403=E$2:E1402)))))</f>
        <v/>
      </c>
      <c r="J1403" s="14" t="str">
        <f aca="true">IF(OR(E1403="",E1403="!!!",F1403="NEW"),"",COUNTBLANK(OFFSET(A$1,,,SUMPRODUCT(MAX(ROW(E$2:E1403)*(E1403=E$2:E1403)))))-COUNTBLANK(OFFSET(A$1,,,SUMPRODUCT(MAX(ROW(E$1:E1402)*(E1403=E$1:E1402))))))</f>
        <v/>
      </c>
      <c r="K1403" s="14" t="str">
        <f aca="false">IF(OR(E1403="",E1403="!!!",F1403="NEW"),"",INDEX(J$1:J1402,SUMPRODUCT(MAX(ROW(E$1:E1402)*(E1403=E$1:E1402)))))</f>
        <v/>
      </c>
      <c r="L1403" s="15"/>
    </row>
    <row r="1404" customFormat="false" ht="12.75" hidden="false" customHeight="false" outlineLevel="0" collapsed="false">
      <c r="A1404" s="0" t="s">
        <v>66</v>
      </c>
      <c r="E1404" s="9" t="str">
        <f aca="false">IF(D1404="?OLD","!!!","")</f>
        <v/>
      </c>
      <c r="F1404" s="10" t="str">
        <f aca="false">IF(OR(E1404="",E1404="!!!"),"",IF(NOT(ISNA(VLOOKUP(E1404,E$1:E1403,1,FALSE()))),"OLD",IF(AND(E1404&lt;&gt;"",E1404&lt;&gt;"!!!"),"NEW","")))</f>
        <v/>
      </c>
      <c r="G1404" s="11" t="str">
        <f aca="false">IF(OR(E1404="",E1404="!!!"),"",IF(OR(J1404=0,AND(J1404=1,K1404=1),AND(J1404=1,I1404="SBJ"),AND(J1404=1,I1404=0)),"?IN_FOCUS",IF(J1404&lt;=2,"?ACTIVATED",IF(J1404&lt;&gt;"","?FAMILIAR",IF(F1404="NEW",IF(ISNA(VLOOKUP(E1404,#REF!,1,FALSE())),"?TYPE_IDENTIFIABLE","?REFERENTIAL"),"_")))))</f>
        <v/>
      </c>
      <c r="H1404" s="12" t="str">
        <f aca="false">IF(J1404&lt;&gt;1,"",IF(I1404="SBJ","CB","?"))</f>
        <v/>
      </c>
      <c r="I1404" s="13" t="str">
        <f aca="false">IF(OR(E1404="",E1404="!!!",F1404="NEW"),"",INDEX(B$2:B1403,-1+SUMPRODUCT(MAX(ROW(E$2:E1403)*(E1404=E$2:E1403)))))</f>
        <v/>
      </c>
      <c r="J1404" s="14" t="str">
        <f aca="true">IF(OR(E1404="",E1404="!!!",F1404="NEW"),"",COUNTBLANK(OFFSET(A$1,,,SUMPRODUCT(MAX(ROW(E$2:E1404)*(E1404=E$2:E1404)))))-COUNTBLANK(OFFSET(A$1,,,SUMPRODUCT(MAX(ROW(E$1:E1403)*(E1404=E$1:E1403))))))</f>
        <v/>
      </c>
      <c r="K1404" s="14" t="str">
        <f aca="false">IF(OR(E1404="",E1404="!!!",F1404="NEW"),"",INDEX(J$1:J1403,SUMPRODUCT(MAX(ROW(E$1:E1403)*(E1404=E$1:E1403)))))</f>
        <v/>
      </c>
      <c r="L1404" s="15"/>
    </row>
    <row r="1405" customFormat="false" ht="12.75" hidden="false" customHeight="false" outlineLevel="0" collapsed="false">
      <c r="A1405" s="0" t="s">
        <v>634</v>
      </c>
      <c r="B1405" s="0" t="s">
        <v>54</v>
      </c>
      <c r="C1405" s="0" t="s">
        <v>120</v>
      </c>
      <c r="E1405" s="9" t="str">
        <f aca="false">IF(D1405="?OLD","!!!","")</f>
        <v/>
      </c>
      <c r="F1405" s="10" t="str">
        <f aca="false">IF(OR(E1405="",E1405="!!!"),"",IF(NOT(ISNA(VLOOKUP(E1405,E$1:E1404,1,FALSE()))),"OLD",IF(AND(E1405&lt;&gt;"",E1405&lt;&gt;"!!!"),"NEW","")))</f>
        <v/>
      </c>
      <c r="G1405" s="11" t="str">
        <f aca="false">IF(OR(E1405="",E1405="!!!"),"",IF(OR(J1405=0,AND(J1405=1,K1405=1),AND(J1405=1,I1405="SBJ"),AND(J1405=1,I1405=0)),"?IN_FOCUS",IF(J1405&lt;=2,"?ACTIVATED",IF(J1405&lt;&gt;"","?FAMILIAR",IF(F1405="NEW",IF(ISNA(VLOOKUP(E1405,#REF!,1,FALSE())),"?TYPE_IDENTIFIABLE","?REFERENTIAL"),"_")))))</f>
        <v/>
      </c>
      <c r="H1405" s="12" t="str">
        <f aca="false">IF(J1405&lt;&gt;1,"",IF(I1405="SBJ","CB","?"))</f>
        <v/>
      </c>
      <c r="I1405" s="13" t="str">
        <f aca="false">IF(OR(E1405="",E1405="!!!",F1405="NEW"),"",INDEX(B$2:B1404,-1+SUMPRODUCT(MAX(ROW(E$2:E1404)*(E1405=E$2:E1404)))))</f>
        <v/>
      </c>
      <c r="J1405" s="14" t="str">
        <f aca="true">IF(OR(E1405="",E1405="!!!",F1405="NEW"),"",COUNTBLANK(OFFSET(A$1,,,SUMPRODUCT(MAX(ROW(E$2:E1405)*(E1405=E$2:E1405)))))-COUNTBLANK(OFFSET(A$1,,,SUMPRODUCT(MAX(ROW(E$1:E1404)*(E1405=E$1:E1404))))))</f>
        <v/>
      </c>
      <c r="K1405" s="14" t="str">
        <f aca="false">IF(OR(E1405="",E1405="!!!",F1405="NEW"),"",INDEX(J$1:J1404,SUMPRODUCT(MAX(ROW(E$1:E1404)*(E1405=E$1:E1404)))))</f>
        <v/>
      </c>
      <c r="L1405" s="15"/>
    </row>
    <row r="1406" customFormat="false" ht="12.75" hidden="false" customHeight="false" outlineLevel="0" collapsed="false">
      <c r="A1406" s="0" t="s">
        <v>68</v>
      </c>
      <c r="E1406" s="9" t="str">
        <f aca="false">IF(D1406="?OLD","!!!","")</f>
        <v/>
      </c>
      <c r="F1406" s="10" t="str">
        <f aca="false">IF(OR(E1406="",E1406="!!!"),"",IF(NOT(ISNA(VLOOKUP(E1406,E$1:E1405,1,FALSE()))),"OLD",IF(AND(E1406&lt;&gt;"",E1406&lt;&gt;"!!!"),"NEW","")))</f>
        <v/>
      </c>
      <c r="G1406" s="11" t="str">
        <f aca="false">IF(OR(E1406="",E1406="!!!"),"",IF(OR(J1406=0,AND(J1406=1,K1406=1),AND(J1406=1,I1406="SBJ"),AND(J1406=1,I1406=0)),"?IN_FOCUS",IF(J1406&lt;=2,"?ACTIVATED",IF(J1406&lt;&gt;"","?FAMILIAR",IF(F1406="NEW",IF(ISNA(VLOOKUP(E1406,#REF!,1,FALSE())),"?TYPE_IDENTIFIABLE","?REFERENTIAL"),"_")))))</f>
        <v/>
      </c>
      <c r="H1406" s="12" t="str">
        <f aca="false">IF(J1406&lt;&gt;1,"",IF(I1406="SBJ","CB","?"))</f>
        <v/>
      </c>
      <c r="I1406" s="13" t="str">
        <f aca="false">IF(OR(E1406="",E1406="!!!",F1406="NEW"),"",INDEX(B$2:B1405,-1+SUMPRODUCT(MAX(ROW(E$2:E1405)*(E1406=E$2:E1405)))))</f>
        <v/>
      </c>
      <c r="J1406" s="14" t="str">
        <f aca="true">IF(OR(E1406="",E1406="!!!",F1406="NEW"),"",COUNTBLANK(OFFSET(A$1,,,SUMPRODUCT(MAX(ROW(E$2:E1406)*(E1406=E$2:E1406)))))-COUNTBLANK(OFFSET(A$1,,,SUMPRODUCT(MAX(ROW(E$1:E1405)*(E1406=E$1:E1405))))))</f>
        <v/>
      </c>
      <c r="K1406" s="14" t="str">
        <f aca="false">IF(OR(E1406="",E1406="!!!",F1406="NEW"),"",INDEX(J$1:J1405,SUMPRODUCT(MAX(ROW(E$1:E1405)*(E1406=E$1:E1405)))))</f>
        <v/>
      </c>
      <c r="L1406" s="15"/>
    </row>
    <row r="1407" customFormat="false" ht="12.75" hidden="false" customHeight="false" outlineLevel="0" collapsed="false">
      <c r="A1407" s="0" t="s">
        <v>635</v>
      </c>
      <c r="E1407" s="9" t="str">
        <f aca="false">IF(D1407="?OLD","!!!","")</f>
        <v/>
      </c>
      <c r="F1407" s="10" t="str">
        <f aca="false">IF(OR(E1407="",E1407="!!!"),"",IF(NOT(ISNA(VLOOKUP(E1407,E$1:E1406,1,FALSE()))),"OLD",IF(AND(E1407&lt;&gt;"",E1407&lt;&gt;"!!!"),"NEW","")))</f>
        <v/>
      </c>
      <c r="G1407" s="11" t="str">
        <f aca="false">IF(OR(E1407="",E1407="!!!"),"",IF(OR(J1407=0,AND(J1407=1,K1407=1),AND(J1407=1,I1407="SBJ"),AND(J1407=1,I1407=0)),"?IN_FOCUS",IF(J1407&lt;=2,"?ACTIVATED",IF(J1407&lt;&gt;"","?FAMILIAR",IF(F1407="NEW",IF(ISNA(VLOOKUP(E1407,#REF!,1,FALSE())),"?TYPE_IDENTIFIABLE","?REFERENTIAL"),"_")))))</f>
        <v/>
      </c>
      <c r="H1407" s="12" t="str">
        <f aca="false">IF(J1407&lt;&gt;1,"",IF(I1407="SBJ","CB","?"))</f>
        <v/>
      </c>
      <c r="I1407" s="13" t="str">
        <f aca="false">IF(OR(E1407="",E1407="!!!",F1407="NEW"),"",INDEX(B$2:B1406,-1+SUMPRODUCT(MAX(ROW(E$2:E1406)*(E1407=E$2:E1406)))))</f>
        <v/>
      </c>
      <c r="J1407" s="14" t="str">
        <f aca="true">IF(OR(E1407="",E1407="!!!",F1407="NEW"),"",COUNTBLANK(OFFSET(A$1,,,SUMPRODUCT(MAX(ROW(E$2:E1407)*(E1407=E$2:E1407)))))-COUNTBLANK(OFFSET(A$1,,,SUMPRODUCT(MAX(ROW(E$1:E1406)*(E1407=E$1:E1406))))))</f>
        <v/>
      </c>
      <c r="K1407" s="14" t="str">
        <f aca="false">IF(OR(E1407="",E1407="!!!",F1407="NEW"),"",INDEX(J$1:J1406,SUMPRODUCT(MAX(ROW(E$1:E1406)*(E1407=E$1:E1406)))))</f>
        <v/>
      </c>
      <c r="L1407" s="15"/>
    </row>
    <row r="1408" customFormat="false" ht="12.75" hidden="false" customHeight="false" outlineLevel="0" collapsed="false">
      <c r="A1408" s="0" t="s">
        <v>636</v>
      </c>
      <c r="B1408" s="0" t="s">
        <v>22</v>
      </c>
      <c r="C1408" s="0" t="s">
        <v>111</v>
      </c>
      <c r="D1408" s="0" t="s">
        <v>29</v>
      </c>
      <c r="E1408" s="9" t="str">
        <f aca="false">IF(D1408="?OLD","!!!","")</f>
        <v>!!!</v>
      </c>
      <c r="F1408" s="10" t="str">
        <f aca="false">IF(OR(E1408="",E1408="!!!"),"",IF(NOT(ISNA(VLOOKUP(E1408,E$1:E1407,1,FALSE()))),"OLD",IF(AND(E1408&lt;&gt;"",E1408&lt;&gt;"!!!"),"NEW","")))</f>
        <v/>
      </c>
      <c r="G1408" s="11" t="str">
        <f aca="false">IF(OR(E1408="",E1408="!!!"),"",IF(OR(J1408=0,AND(J1408=1,K1408=1),AND(J1408=1,I1408="SBJ"),AND(J1408=1,I1408=0)),"?IN_FOCUS",IF(J1408&lt;=2,"?ACTIVATED",IF(J1408&lt;&gt;"","?FAMILIAR",IF(F1408="NEW",IF(ISNA(VLOOKUP(E1408,#REF!,1,FALSE())),"?TYPE_IDENTIFIABLE","?REFERENTIAL"),"_")))))</f>
        <v/>
      </c>
      <c r="H1408" s="12" t="str">
        <f aca="false">IF(J1408&lt;&gt;1,"",IF(I1408="SBJ","CB","?"))</f>
        <v/>
      </c>
      <c r="I1408" s="13" t="str">
        <f aca="false">IF(OR(E1408="",E1408="!!!",F1408="NEW"),"",INDEX(B$2:B1407,-1+SUMPRODUCT(MAX(ROW(E$2:E1407)*(E1408=E$2:E1407)))))</f>
        <v/>
      </c>
      <c r="J1408" s="14" t="str">
        <f aca="true">IF(OR(E1408="",E1408="!!!",F1408="NEW"),"",COUNTBLANK(OFFSET(A$1,,,SUMPRODUCT(MAX(ROW(E$2:E1408)*(E1408=E$2:E1408)))))-COUNTBLANK(OFFSET(A$1,,,SUMPRODUCT(MAX(ROW(E$1:E1407)*(E1408=E$1:E1407))))))</f>
        <v/>
      </c>
      <c r="K1408" s="14" t="str">
        <f aca="false">IF(OR(E1408="",E1408="!!!",F1408="NEW"),"",INDEX(J$1:J1407,SUMPRODUCT(MAX(ROW(E$1:E1407)*(E1408=E$1:E1407)))))</f>
        <v/>
      </c>
      <c r="L1408" s="15"/>
    </row>
    <row r="1409" customFormat="false" ht="12.75" hidden="false" customHeight="false" outlineLevel="0" collapsed="false">
      <c r="A1409" s="0" t="s">
        <v>73</v>
      </c>
      <c r="E1409" s="9" t="str">
        <f aca="false">IF(D1409="?OLD","!!!","")</f>
        <v/>
      </c>
      <c r="F1409" s="10" t="str">
        <f aca="false">IF(OR(E1409="",E1409="!!!"),"",IF(NOT(ISNA(VLOOKUP(E1409,E$1:E1408,1,FALSE()))),"OLD",IF(AND(E1409&lt;&gt;"",E1409&lt;&gt;"!!!"),"NEW","")))</f>
        <v/>
      </c>
      <c r="G1409" s="11" t="str">
        <f aca="false">IF(OR(E1409="",E1409="!!!"),"",IF(OR(J1409=0,AND(J1409=1,K1409=1),AND(J1409=1,I1409="SBJ"),AND(J1409=1,I1409=0)),"?IN_FOCUS",IF(J1409&lt;=2,"?ACTIVATED",IF(J1409&lt;&gt;"","?FAMILIAR",IF(F1409="NEW",IF(ISNA(VLOOKUP(E1409,#REF!,1,FALSE())),"?TYPE_IDENTIFIABLE","?REFERENTIAL"),"_")))))</f>
        <v/>
      </c>
      <c r="H1409" s="12" t="str">
        <f aca="false">IF(J1409&lt;&gt;1,"",IF(I1409="SBJ","CB","?"))</f>
        <v/>
      </c>
      <c r="I1409" s="13" t="str">
        <f aca="false">IF(OR(E1409="",E1409="!!!",F1409="NEW"),"",INDEX(B$2:B1408,-1+SUMPRODUCT(MAX(ROW(E$2:E1408)*(E1409=E$2:E1408)))))</f>
        <v/>
      </c>
      <c r="J1409" s="14" t="str">
        <f aca="true">IF(OR(E1409="",E1409="!!!",F1409="NEW"),"",COUNTBLANK(OFFSET(A$1,,,SUMPRODUCT(MAX(ROW(E$2:E1409)*(E1409=E$2:E1409)))))-COUNTBLANK(OFFSET(A$1,,,SUMPRODUCT(MAX(ROW(E$1:E1408)*(E1409=E$1:E1408))))))</f>
        <v/>
      </c>
      <c r="K1409" s="14" t="str">
        <f aca="false">IF(OR(E1409="",E1409="!!!",F1409="NEW"),"",INDEX(J$1:J1408,SUMPRODUCT(MAX(ROW(E$1:E1408)*(E1409=E$1:E1408)))))</f>
        <v/>
      </c>
      <c r="L1409" s="15"/>
    </row>
    <row r="1410" customFormat="false" ht="12.75" hidden="false" customHeight="false" outlineLevel="0" collapsed="false">
      <c r="E1410" s="9" t="str">
        <f aca="false">IF(D1410="?OLD","!!!","")</f>
        <v/>
      </c>
      <c r="F1410" s="10" t="str">
        <f aca="false">IF(OR(E1410="",E1410="!!!"),"",IF(NOT(ISNA(VLOOKUP(E1410,E$1:E1409,1,FALSE()))),"OLD",IF(AND(E1410&lt;&gt;"",E1410&lt;&gt;"!!!"),"NEW","")))</f>
        <v/>
      </c>
      <c r="G1410" s="11" t="str">
        <f aca="false">IF(OR(E1410="",E1410="!!!"),"",IF(OR(J1410=0,AND(J1410=1,K1410=1),AND(J1410=1,I1410="SBJ"),AND(J1410=1,I1410=0)),"?IN_FOCUS",IF(J1410&lt;=2,"?ACTIVATED",IF(J1410&lt;&gt;"","?FAMILIAR",IF(F1410="NEW",IF(ISNA(VLOOKUP(E1410,#REF!,1,FALSE())),"?TYPE_IDENTIFIABLE","?REFERENTIAL"),"_")))))</f>
        <v/>
      </c>
      <c r="H1410" s="12" t="str">
        <f aca="false">IF(J1410&lt;&gt;1,"",IF(I1410="SBJ","CB","?"))</f>
        <v/>
      </c>
      <c r="I1410" s="13" t="str">
        <f aca="false">IF(OR(E1410="",E1410="!!!",F1410="NEW"),"",INDEX(B$2:B1409,-1+SUMPRODUCT(MAX(ROW(E$2:E1409)*(E1410=E$2:E1409)))))</f>
        <v/>
      </c>
      <c r="J1410" s="14" t="str">
        <f aca="true">IF(OR(E1410="",E1410="!!!",F1410="NEW"),"",COUNTBLANK(OFFSET(A$1,,,SUMPRODUCT(MAX(ROW(E$2:E1410)*(E1410=E$2:E1410)))))-COUNTBLANK(OFFSET(A$1,,,SUMPRODUCT(MAX(ROW(E$1:E1409)*(E1410=E$1:E1409))))))</f>
        <v/>
      </c>
      <c r="K1410" s="14" t="str">
        <f aca="false">IF(OR(E1410="",E1410="!!!",F1410="NEW"),"",INDEX(J$1:J1409,SUMPRODUCT(MAX(ROW(E$1:E1409)*(E1410=E$1:E1409)))))</f>
        <v/>
      </c>
      <c r="L1410" s="15"/>
    </row>
    <row r="1411" customFormat="false" ht="12.75" hidden="false" customHeight="false" outlineLevel="0" collapsed="false">
      <c r="A1411" s="0" t="s">
        <v>637</v>
      </c>
      <c r="E1411" s="9" t="str">
        <f aca="false">IF(D1411="?OLD","!!!","")</f>
        <v/>
      </c>
      <c r="F1411" s="10" t="str">
        <f aca="false">IF(OR(E1411="",E1411="!!!"),"",IF(NOT(ISNA(VLOOKUP(E1411,E$1:E1410,1,FALSE()))),"OLD",IF(AND(E1411&lt;&gt;"",E1411&lt;&gt;"!!!"),"NEW","")))</f>
        <v/>
      </c>
      <c r="G1411" s="11" t="str">
        <f aca="false">IF(OR(E1411="",E1411="!!!"),"",IF(OR(J1411=0,AND(J1411=1,K1411=1),AND(J1411=1,I1411="SBJ"),AND(J1411=1,I1411=0)),"?IN_FOCUS",IF(J1411&lt;=2,"?ACTIVATED",IF(J1411&lt;&gt;"","?FAMILIAR",IF(F1411="NEW",IF(ISNA(VLOOKUP(E1411,#REF!,1,FALSE())),"?TYPE_IDENTIFIABLE","?REFERENTIAL"),"_")))))</f>
        <v/>
      </c>
      <c r="H1411" s="12" t="str">
        <f aca="false">IF(J1411&lt;&gt;1,"",IF(I1411="SBJ","CB","?"))</f>
        <v/>
      </c>
      <c r="I1411" s="13" t="str">
        <f aca="false">IF(OR(E1411="",E1411="!!!",F1411="NEW"),"",INDEX(B$2:B1410,-1+SUMPRODUCT(MAX(ROW(E$2:E1410)*(E1411=E$2:E1410)))))</f>
        <v/>
      </c>
      <c r="J1411" s="14" t="str">
        <f aca="true">IF(OR(E1411="",E1411="!!!",F1411="NEW"),"",COUNTBLANK(OFFSET(A$1,,,SUMPRODUCT(MAX(ROW(E$2:E1411)*(E1411=E$2:E1411)))))-COUNTBLANK(OFFSET(A$1,,,SUMPRODUCT(MAX(ROW(E$1:E1410)*(E1411=E$1:E1410))))))</f>
        <v/>
      </c>
      <c r="K1411" s="14" t="str">
        <f aca="false">IF(OR(E1411="",E1411="!!!",F1411="NEW"),"",INDEX(J$1:J1410,SUMPRODUCT(MAX(ROW(E$1:E1410)*(E1411=E$1:E1410)))))</f>
        <v/>
      </c>
      <c r="L1411" s="15"/>
    </row>
    <row r="1412" customFormat="false" ht="12.75" hidden="false" customHeight="false" outlineLevel="0" collapsed="false">
      <c r="A1412" s="0" t="s">
        <v>638</v>
      </c>
      <c r="E1412" s="9" t="str">
        <f aca="false">IF(D1412="?OLD","!!!","")</f>
        <v/>
      </c>
      <c r="F1412" s="10" t="str">
        <f aca="false">IF(OR(E1412="",E1412="!!!"),"",IF(NOT(ISNA(VLOOKUP(E1412,E$1:E1411,1,FALSE()))),"OLD",IF(AND(E1412&lt;&gt;"",E1412&lt;&gt;"!!!"),"NEW","")))</f>
        <v/>
      </c>
      <c r="G1412" s="11" t="str">
        <f aca="false">IF(OR(E1412="",E1412="!!!"),"",IF(OR(J1412=0,AND(J1412=1,K1412=1),AND(J1412=1,I1412="SBJ"),AND(J1412=1,I1412=0)),"?IN_FOCUS",IF(J1412&lt;=2,"?ACTIVATED",IF(J1412&lt;&gt;"","?FAMILIAR",IF(F1412="NEW",IF(ISNA(VLOOKUP(E1412,#REF!,1,FALSE())),"?TYPE_IDENTIFIABLE","?REFERENTIAL"),"_")))))</f>
        <v/>
      </c>
      <c r="H1412" s="12" t="str">
        <f aca="false">IF(J1412&lt;&gt;1,"",IF(I1412="SBJ","CB","?"))</f>
        <v/>
      </c>
      <c r="I1412" s="13" t="str">
        <f aca="false">IF(OR(E1412="",E1412="!!!",F1412="NEW"),"",INDEX(B$2:B1411,-1+SUMPRODUCT(MAX(ROW(E$2:E1411)*(E1412=E$2:E1411)))))</f>
        <v/>
      </c>
      <c r="J1412" s="14" t="str">
        <f aca="true">IF(OR(E1412="",E1412="!!!",F1412="NEW"),"",COUNTBLANK(OFFSET(A$1,,,SUMPRODUCT(MAX(ROW(E$2:E1412)*(E1412=E$2:E1412)))))-COUNTBLANK(OFFSET(A$1,,,SUMPRODUCT(MAX(ROW(E$1:E1411)*(E1412=E$1:E1411))))))</f>
        <v/>
      </c>
      <c r="K1412" s="14" t="str">
        <f aca="false">IF(OR(E1412="",E1412="!!!",F1412="NEW"),"",INDEX(J$1:J1411,SUMPRODUCT(MAX(ROW(E$1:E1411)*(E1412=E$1:E1411)))))</f>
        <v/>
      </c>
      <c r="L1412" s="15"/>
    </row>
    <row r="1413" customFormat="false" ht="12.75" hidden="false" customHeight="false" outlineLevel="0" collapsed="false">
      <c r="A1413" s="0" t="s">
        <v>639</v>
      </c>
      <c r="B1413" s="0" t="s">
        <v>62</v>
      </c>
      <c r="C1413" s="0" t="s">
        <v>120</v>
      </c>
      <c r="E1413" s="9" t="str">
        <f aca="false">IF(D1413="?OLD","!!!","")</f>
        <v/>
      </c>
      <c r="F1413" s="10" t="str">
        <f aca="false">IF(OR(E1413="",E1413="!!!"),"",IF(NOT(ISNA(VLOOKUP(E1413,E$1:E1412,1,FALSE()))),"OLD",IF(AND(E1413&lt;&gt;"",E1413&lt;&gt;"!!!"),"NEW","")))</f>
        <v/>
      </c>
      <c r="G1413" s="11" t="str">
        <f aca="false">IF(OR(E1413="",E1413="!!!"),"",IF(OR(J1413=0,AND(J1413=1,K1413=1),AND(J1413=1,I1413="SBJ"),AND(J1413=1,I1413=0)),"?IN_FOCUS",IF(J1413&lt;=2,"?ACTIVATED",IF(J1413&lt;&gt;"","?FAMILIAR",IF(F1413="NEW",IF(ISNA(VLOOKUP(E1413,#REF!,1,FALSE())),"?TYPE_IDENTIFIABLE","?REFERENTIAL"),"_")))))</f>
        <v/>
      </c>
      <c r="H1413" s="12" t="str">
        <f aca="false">IF(J1413&lt;&gt;1,"",IF(I1413="SBJ","CB","?"))</f>
        <v/>
      </c>
      <c r="I1413" s="13" t="str">
        <f aca="false">IF(OR(E1413="",E1413="!!!",F1413="NEW"),"",INDEX(B$2:B1412,-1+SUMPRODUCT(MAX(ROW(E$2:E1412)*(E1413=E$2:E1412)))))</f>
        <v/>
      </c>
      <c r="J1413" s="14" t="str">
        <f aca="true">IF(OR(E1413="",E1413="!!!",F1413="NEW"),"",COUNTBLANK(OFFSET(A$1,,,SUMPRODUCT(MAX(ROW(E$2:E1413)*(E1413=E$2:E1413)))))-COUNTBLANK(OFFSET(A$1,,,SUMPRODUCT(MAX(ROW(E$1:E1412)*(E1413=E$1:E1412))))))</f>
        <v/>
      </c>
      <c r="K1413" s="14" t="str">
        <f aca="false">IF(OR(E1413="",E1413="!!!",F1413="NEW"),"",INDEX(J$1:J1412,SUMPRODUCT(MAX(ROW(E$1:E1412)*(E1413=E$1:E1412)))))</f>
        <v/>
      </c>
      <c r="L1413" s="15"/>
    </row>
    <row r="1414" customFormat="false" ht="12.75" hidden="false" customHeight="false" outlineLevel="0" collapsed="false">
      <c r="A1414" s="0" t="s">
        <v>19</v>
      </c>
      <c r="E1414" s="9" t="str">
        <f aca="false">IF(D1414="?OLD","!!!","")</f>
        <v/>
      </c>
      <c r="F1414" s="10" t="str">
        <f aca="false">IF(OR(E1414="",E1414="!!!"),"",IF(NOT(ISNA(VLOOKUP(E1414,E$1:E1413,1,FALSE()))),"OLD",IF(AND(E1414&lt;&gt;"",E1414&lt;&gt;"!!!"),"NEW","")))</f>
        <v/>
      </c>
      <c r="G1414" s="11" t="str">
        <f aca="false">IF(OR(E1414="",E1414="!!!"),"",IF(OR(J1414=0,AND(J1414=1,K1414=1),AND(J1414=1,I1414="SBJ"),AND(J1414=1,I1414=0)),"?IN_FOCUS",IF(J1414&lt;=2,"?ACTIVATED",IF(J1414&lt;&gt;"","?FAMILIAR",IF(F1414="NEW",IF(ISNA(VLOOKUP(E1414,#REF!,1,FALSE())),"?TYPE_IDENTIFIABLE","?REFERENTIAL"),"_")))))</f>
        <v/>
      </c>
      <c r="H1414" s="12" t="str">
        <f aca="false">IF(J1414&lt;&gt;1,"",IF(I1414="SBJ","CB","?"))</f>
        <v/>
      </c>
      <c r="I1414" s="13" t="str">
        <f aca="false">IF(OR(E1414="",E1414="!!!",F1414="NEW"),"",INDEX(B$2:B1413,-1+SUMPRODUCT(MAX(ROW(E$2:E1413)*(E1414=E$2:E1413)))))</f>
        <v/>
      </c>
      <c r="J1414" s="14" t="str">
        <f aca="true">IF(OR(E1414="",E1414="!!!",F1414="NEW"),"",COUNTBLANK(OFFSET(A$1,,,SUMPRODUCT(MAX(ROW(E$2:E1414)*(E1414=E$2:E1414)))))-COUNTBLANK(OFFSET(A$1,,,SUMPRODUCT(MAX(ROW(E$1:E1413)*(E1414=E$1:E1413))))))</f>
        <v/>
      </c>
      <c r="K1414" s="14" t="str">
        <f aca="false">IF(OR(E1414="",E1414="!!!",F1414="NEW"),"",INDEX(J$1:J1413,SUMPRODUCT(MAX(ROW(E$1:E1413)*(E1414=E$1:E1413)))))</f>
        <v/>
      </c>
      <c r="L1414" s="15"/>
    </row>
    <row r="1415" customFormat="false" ht="12.75" hidden="false" customHeight="false" outlineLevel="0" collapsed="false">
      <c r="A1415" s="0" t="s">
        <v>640</v>
      </c>
      <c r="E1415" s="9" t="str">
        <f aca="false">IF(D1415="?OLD","!!!","")</f>
        <v/>
      </c>
      <c r="F1415" s="10" t="str">
        <f aca="false">IF(OR(E1415="",E1415="!!!"),"",IF(NOT(ISNA(VLOOKUP(E1415,E$1:E1414,1,FALSE()))),"OLD",IF(AND(E1415&lt;&gt;"",E1415&lt;&gt;"!!!"),"NEW","")))</f>
        <v/>
      </c>
      <c r="G1415" s="11" t="str">
        <f aca="false">IF(OR(E1415="",E1415="!!!"),"",IF(OR(J1415=0,AND(J1415=1,K1415=1),AND(J1415=1,I1415="SBJ"),AND(J1415=1,I1415=0)),"?IN_FOCUS",IF(J1415&lt;=2,"?ACTIVATED",IF(J1415&lt;&gt;"","?FAMILIAR",IF(F1415="NEW",IF(ISNA(VLOOKUP(E1415,#REF!,1,FALSE())),"?TYPE_IDENTIFIABLE","?REFERENTIAL"),"_")))))</f>
        <v/>
      </c>
      <c r="H1415" s="12" t="str">
        <f aca="false">IF(J1415&lt;&gt;1,"",IF(I1415="SBJ","CB","?"))</f>
        <v/>
      </c>
      <c r="I1415" s="13" t="str">
        <f aca="false">IF(OR(E1415="",E1415="!!!",F1415="NEW"),"",INDEX(B$2:B1414,-1+SUMPRODUCT(MAX(ROW(E$2:E1414)*(E1415=E$2:E1414)))))</f>
        <v/>
      </c>
      <c r="J1415" s="14" t="str">
        <f aca="true">IF(OR(E1415="",E1415="!!!",F1415="NEW"),"",COUNTBLANK(OFFSET(A$1,,,SUMPRODUCT(MAX(ROW(E$2:E1415)*(E1415=E$2:E1415)))))-COUNTBLANK(OFFSET(A$1,,,SUMPRODUCT(MAX(ROW(E$1:E1414)*(E1415=E$1:E1414))))))</f>
        <v/>
      </c>
      <c r="K1415" s="14" t="str">
        <f aca="false">IF(OR(E1415="",E1415="!!!",F1415="NEW"),"",INDEX(J$1:J1414,SUMPRODUCT(MAX(ROW(E$1:E1414)*(E1415=E$1:E1414)))))</f>
        <v/>
      </c>
      <c r="L1415" s="15"/>
    </row>
    <row r="1416" customFormat="false" ht="12.75" hidden="false" customHeight="false" outlineLevel="0" collapsed="false">
      <c r="A1416" s="0" t="s">
        <v>552</v>
      </c>
      <c r="B1416" s="0" t="s">
        <v>62</v>
      </c>
      <c r="C1416" s="0" t="s">
        <v>120</v>
      </c>
      <c r="E1416" s="9" t="str">
        <f aca="false">IF(D1416="?OLD","!!!","")</f>
        <v/>
      </c>
      <c r="F1416" s="10" t="str">
        <f aca="false">IF(OR(E1416="",E1416="!!!"),"",IF(NOT(ISNA(VLOOKUP(E1416,E$1:E1415,1,FALSE()))),"OLD",IF(AND(E1416&lt;&gt;"",E1416&lt;&gt;"!!!"),"NEW","")))</f>
        <v/>
      </c>
      <c r="G1416" s="11" t="str">
        <f aca="false">IF(OR(E1416="",E1416="!!!"),"",IF(OR(J1416=0,AND(J1416=1,K1416=1),AND(J1416=1,I1416="SBJ"),AND(J1416=1,I1416=0)),"?IN_FOCUS",IF(J1416&lt;=2,"?ACTIVATED",IF(J1416&lt;&gt;"","?FAMILIAR",IF(F1416="NEW",IF(ISNA(VLOOKUP(E1416,#REF!,1,FALSE())),"?TYPE_IDENTIFIABLE","?REFERENTIAL"),"_")))))</f>
        <v/>
      </c>
      <c r="H1416" s="12" t="str">
        <f aca="false">IF(J1416&lt;&gt;1,"",IF(I1416="SBJ","CB","?"))</f>
        <v/>
      </c>
      <c r="I1416" s="13" t="str">
        <f aca="false">IF(OR(E1416="",E1416="!!!",F1416="NEW"),"",INDEX(B$2:B1415,-1+SUMPRODUCT(MAX(ROW(E$2:E1415)*(E1416=E$2:E1415)))))</f>
        <v/>
      </c>
      <c r="J1416" s="14" t="str">
        <f aca="true">IF(OR(E1416="",E1416="!!!",F1416="NEW"),"",COUNTBLANK(OFFSET(A$1,,,SUMPRODUCT(MAX(ROW(E$2:E1416)*(E1416=E$2:E1416)))))-COUNTBLANK(OFFSET(A$1,,,SUMPRODUCT(MAX(ROW(E$1:E1415)*(E1416=E$1:E1415))))))</f>
        <v/>
      </c>
      <c r="K1416" s="14" t="str">
        <f aca="false">IF(OR(E1416="",E1416="!!!",F1416="NEW"),"",INDEX(J$1:J1415,SUMPRODUCT(MAX(ROW(E$1:E1415)*(E1416=E$1:E1415)))))</f>
        <v/>
      </c>
      <c r="L1416" s="15"/>
    </row>
    <row r="1417" customFormat="false" ht="12.75" hidden="false" customHeight="false" outlineLevel="0" collapsed="false">
      <c r="A1417" s="0" t="s">
        <v>79</v>
      </c>
      <c r="E1417" s="9" t="str">
        <f aca="false">IF(D1417="?OLD","!!!","")</f>
        <v/>
      </c>
      <c r="F1417" s="10" t="str">
        <f aca="false">IF(OR(E1417="",E1417="!!!"),"",IF(NOT(ISNA(VLOOKUP(E1417,E$1:E1416,1,FALSE()))),"OLD",IF(AND(E1417&lt;&gt;"",E1417&lt;&gt;"!!!"),"NEW","")))</f>
        <v/>
      </c>
      <c r="G1417" s="11" t="str">
        <f aca="false">IF(OR(E1417="",E1417="!!!"),"",IF(OR(J1417=0,AND(J1417=1,K1417=1),AND(J1417=1,I1417="SBJ"),AND(J1417=1,I1417=0)),"?IN_FOCUS",IF(J1417&lt;=2,"?ACTIVATED",IF(J1417&lt;&gt;"","?FAMILIAR",IF(F1417="NEW",IF(ISNA(VLOOKUP(E1417,#REF!,1,FALSE())),"?TYPE_IDENTIFIABLE","?REFERENTIAL"),"_")))))</f>
        <v/>
      </c>
      <c r="H1417" s="12" t="str">
        <f aca="false">IF(J1417&lt;&gt;1,"",IF(I1417="SBJ","CB","?"))</f>
        <v/>
      </c>
      <c r="I1417" s="13" t="str">
        <f aca="false">IF(OR(E1417="",E1417="!!!",F1417="NEW"),"",INDEX(B$2:B1416,-1+SUMPRODUCT(MAX(ROW(E$2:E1416)*(E1417=E$2:E1416)))))</f>
        <v/>
      </c>
      <c r="J1417" s="14" t="str">
        <f aca="true">IF(OR(E1417="",E1417="!!!",F1417="NEW"),"",COUNTBLANK(OFFSET(A$1,,,SUMPRODUCT(MAX(ROW(E$2:E1417)*(E1417=E$2:E1417)))))-COUNTBLANK(OFFSET(A$1,,,SUMPRODUCT(MAX(ROW(E$1:E1416)*(E1417=E$1:E1416))))))</f>
        <v/>
      </c>
      <c r="K1417" s="14" t="str">
        <f aca="false">IF(OR(E1417="",E1417="!!!",F1417="NEW"),"",INDEX(J$1:J1416,SUMPRODUCT(MAX(ROW(E$1:E1416)*(E1417=E$1:E1416)))))</f>
        <v/>
      </c>
      <c r="L1417" s="15"/>
    </row>
    <row r="1418" customFormat="false" ht="12.75" hidden="false" customHeight="false" outlineLevel="0" collapsed="false">
      <c r="A1418" s="0" t="s">
        <v>66</v>
      </c>
      <c r="E1418" s="9" t="str">
        <f aca="false">IF(D1418="?OLD","!!!","")</f>
        <v/>
      </c>
      <c r="F1418" s="10" t="str">
        <f aca="false">IF(OR(E1418="",E1418="!!!"),"",IF(NOT(ISNA(VLOOKUP(E1418,E$1:E1417,1,FALSE()))),"OLD",IF(AND(E1418&lt;&gt;"",E1418&lt;&gt;"!!!"),"NEW","")))</f>
        <v/>
      </c>
      <c r="G1418" s="11" t="str">
        <f aca="false">IF(OR(E1418="",E1418="!!!"),"",IF(OR(J1418=0,AND(J1418=1,K1418=1),AND(J1418=1,I1418="SBJ"),AND(J1418=1,I1418=0)),"?IN_FOCUS",IF(J1418&lt;=2,"?ACTIVATED",IF(J1418&lt;&gt;"","?FAMILIAR",IF(F1418="NEW",IF(ISNA(VLOOKUP(E1418,#REF!,1,FALSE())),"?TYPE_IDENTIFIABLE","?REFERENTIAL"),"_")))))</f>
        <v/>
      </c>
      <c r="H1418" s="12" t="str">
        <f aca="false">IF(J1418&lt;&gt;1,"",IF(I1418="SBJ","CB","?"))</f>
        <v/>
      </c>
      <c r="I1418" s="13" t="str">
        <f aca="false">IF(OR(E1418="",E1418="!!!",F1418="NEW"),"",INDEX(B$2:B1417,-1+SUMPRODUCT(MAX(ROW(E$2:E1417)*(E1418=E$2:E1417)))))</f>
        <v/>
      </c>
      <c r="J1418" s="14" t="str">
        <f aca="true">IF(OR(E1418="",E1418="!!!",F1418="NEW"),"",COUNTBLANK(OFFSET(A$1,,,SUMPRODUCT(MAX(ROW(E$2:E1418)*(E1418=E$2:E1418)))))-COUNTBLANK(OFFSET(A$1,,,SUMPRODUCT(MAX(ROW(E$1:E1417)*(E1418=E$1:E1417))))))</f>
        <v/>
      </c>
      <c r="K1418" s="14" t="str">
        <f aca="false">IF(OR(E1418="",E1418="!!!",F1418="NEW"),"",INDEX(J$1:J1417,SUMPRODUCT(MAX(ROW(E$1:E1417)*(E1418=E$1:E1417)))))</f>
        <v/>
      </c>
      <c r="L1418" s="15"/>
    </row>
    <row r="1419" customFormat="false" ht="12.75" hidden="false" customHeight="false" outlineLevel="0" collapsed="false">
      <c r="A1419" s="0" t="s">
        <v>641</v>
      </c>
      <c r="E1419" s="9" t="str">
        <f aca="false">IF(D1419="?OLD","!!!","")</f>
        <v/>
      </c>
      <c r="F1419" s="10" t="str">
        <f aca="false">IF(OR(E1419="",E1419="!!!"),"",IF(NOT(ISNA(VLOOKUP(E1419,E$1:E1418,1,FALSE()))),"OLD",IF(AND(E1419&lt;&gt;"",E1419&lt;&gt;"!!!"),"NEW","")))</f>
        <v/>
      </c>
      <c r="G1419" s="11" t="str">
        <f aca="false">IF(OR(E1419="",E1419="!!!"),"",IF(OR(J1419=0,AND(J1419=1,K1419=1),AND(J1419=1,I1419="SBJ"),AND(J1419=1,I1419=0)),"?IN_FOCUS",IF(J1419&lt;=2,"?ACTIVATED",IF(J1419&lt;&gt;"","?FAMILIAR",IF(F1419="NEW",IF(ISNA(VLOOKUP(E1419,#REF!,1,FALSE())),"?TYPE_IDENTIFIABLE","?REFERENTIAL"),"_")))))</f>
        <v/>
      </c>
      <c r="H1419" s="12" t="str">
        <f aca="false">IF(J1419&lt;&gt;1,"",IF(I1419="SBJ","CB","?"))</f>
        <v/>
      </c>
      <c r="I1419" s="13" t="str">
        <f aca="false">IF(OR(E1419="",E1419="!!!",F1419="NEW"),"",INDEX(B$2:B1418,-1+SUMPRODUCT(MAX(ROW(E$2:E1418)*(E1419=E$2:E1418)))))</f>
        <v/>
      </c>
      <c r="J1419" s="14" t="str">
        <f aca="true">IF(OR(E1419="",E1419="!!!",F1419="NEW"),"",COUNTBLANK(OFFSET(A$1,,,SUMPRODUCT(MAX(ROW(E$2:E1419)*(E1419=E$2:E1419)))))-COUNTBLANK(OFFSET(A$1,,,SUMPRODUCT(MAX(ROW(E$1:E1418)*(E1419=E$1:E1418))))))</f>
        <v/>
      </c>
      <c r="K1419" s="14" t="str">
        <f aca="false">IF(OR(E1419="",E1419="!!!",F1419="NEW"),"",INDEX(J$1:J1418,SUMPRODUCT(MAX(ROW(E$1:E1418)*(E1419=E$1:E1418)))))</f>
        <v/>
      </c>
      <c r="L1419" s="15"/>
    </row>
    <row r="1420" customFormat="false" ht="12.75" hidden="false" customHeight="false" outlineLevel="0" collapsed="false">
      <c r="A1420" s="0" t="s">
        <v>397</v>
      </c>
      <c r="B1420" s="0" t="s">
        <v>62</v>
      </c>
      <c r="C1420" s="0" t="s">
        <v>111</v>
      </c>
      <c r="D1420" s="0" t="s">
        <v>29</v>
      </c>
      <c r="E1420" s="9" t="str">
        <f aca="false">IF(D1420="?OLD","!!!","")</f>
        <v>!!!</v>
      </c>
      <c r="F1420" s="10" t="str">
        <f aca="false">IF(OR(E1420="",E1420="!!!"),"",IF(NOT(ISNA(VLOOKUP(E1420,E$1:E1419,1,FALSE()))),"OLD",IF(AND(E1420&lt;&gt;"",E1420&lt;&gt;"!!!"),"NEW","")))</f>
        <v/>
      </c>
      <c r="G1420" s="11" t="str">
        <f aca="false">IF(OR(E1420="",E1420="!!!"),"",IF(OR(J1420=0,AND(J1420=1,K1420=1),AND(J1420=1,I1420="SBJ"),AND(J1420=1,I1420=0)),"?IN_FOCUS",IF(J1420&lt;=2,"?ACTIVATED",IF(J1420&lt;&gt;"","?FAMILIAR",IF(F1420="NEW",IF(ISNA(VLOOKUP(E1420,#REF!,1,FALSE())),"?TYPE_IDENTIFIABLE","?REFERENTIAL"),"_")))))</f>
        <v/>
      </c>
      <c r="H1420" s="12" t="str">
        <f aca="false">IF(J1420&lt;&gt;1,"",IF(I1420="SBJ","CB","?"))</f>
        <v/>
      </c>
      <c r="I1420" s="13" t="str">
        <f aca="false">IF(OR(E1420="",E1420="!!!",F1420="NEW"),"",INDEX(B$2:B1419,-1+SUMPRODUCT(MAX(ROW(E$2:E1419)*(E1420=E$2:E1419)))))</f>
        <v/>
      </c>
      <c r="J1420" s="14" t="str">
        <f aca="true">IF(OR(E1420="",E1420="!!!",F1420="NEW"),"",COUNTBLANK(OFFSET(A$1,,,SUMPRODUCT(MAX(ROW(E$2:E1420)*(E1420=E$2:E1420)))))-COUNTBLANK(OFFSET(A$1,,,SUMPRODUCT(MAX(ROW(E$1:E1419)*(E1420=E$1:E1419))))))</f>
        <v/>
      </c>
      <c r="K1420" s="14" t="str">
        <f aca="false">IF(OR(E1420="",E1420="!!!",F1420="NEW"),"",INDEX(J$1:J1419,SUMPRODUCT(MAX(ROW(E$1:E1419)*(E1420=E$1:E1419)))))</f>
        <v/>
      </c>
      <c r="L1420" s="15"/>
    </row>
    <row r="1421" customFormat="false" ht="12.75" hidden="false" customHeight="false" outlineLevel="0" collapsed="false">
      <c r="A1421" s="0" t="s">
        <v>642</v>
      </c>
      <c r="E1421" s="9" t="str">
        <f aca="false">IF(D1421="?OLD","!!!","")</f>
        <v/>
      </c>
      <c r="F1421" s="10" t="str">
        <f aca="false">IF(OR(E1421="",E1421="!!!"),"",IF(NOT(ISNA(VLOOKUP(E1421,E$1:E1420,1,FALSE()))),"OLD",IF(AND(E1421&lt;&gt;"",E1421&lt;&gt;"!!!"),"NEW","")))</f>
        <v/>
      </c>
      <c r="G1421" s="11" t="str">
        <f aca="false">IF(OR(E1421="",E1421="!!!"),"",IF(OR(J1421=0,AND(J1421=1,K1421=1),AND(J1421=1,I1421="SBJ"),AND(J1421=1,I1421=0)),"?IN_FOCUS",IF(J1421&lt;=2,"?ACTIVATED",IF(J1421&lt;&gt;"","?FAMILIAR",IF(F1421="NEW",IF(ISNA(VLOOKUP(E1421,#REF!,1,FALSE())),"?TYPE_IDENTIFIABLE","?REFERENTIAL"),"_")))))</f>
        <v/>
      </c>
      <c r="H1421" s="12" t="str">
        <f aca="false">IF(J1421&lt;&gt;1,"",IF(I1421="SBJ","CB","?"))</f>
        <v/>
      </c>
      <c r="I1421" s="13" t="str">
        <f aca="false">IF(OR(E1421="",E1421="!!!",F1421="NEW"),"",INDEX(B$2:B1420,-1+SUMPRODUCT(MAX(ROW(E$2:E1420)*(E1421=E$2:E1420)))))</f>
        <v/>
      </c>
      <c r="J1421" s="14" t="str">
        <f aca="true">IF(OR(E1421="",E1421="!!!",F1421="NEW"),"",COUNTBLANK(OFFSET(A$1,,,SUMPRODUCT(MAX(ROW(E$2:E1421)*(E1421=E$2:E1421)))))-COUNTBLANK(OFFSET(A$1,,,SUMPRODUCT(MAX(ROW(E$1:E1420)*(E1421=E$1:E1420))))))</f>
        <v/>
      </c>
      <c r="K1421" s="14" t="str">
        <f aca="false">IF(OR(E1421="",E1421="!!!",F1421="NEW"),"",INDEX(J$1:J1420,SUMPRODUCT(MAX(ROW(E$1:E1420)*(E1421=E$1:E1420)))))</f>
        <v/>
      </c>
      <c r="L1421" s="15"/>
    </row>
    <row r="1422" customFormat="false" ht="12.75" hidden="false" customHeight="false" outlineLevel="0" collapsed="false">
      <c r="A1422" s="0" t="s">
        <v>482</v>
      </c>
      <c r="E1422" s="9" t="str">
        <f aca="false">IF(D1422="?OLD","!!!","")</f>
        <v/>
      </c>
      <c r="F1422" s="10" t="str">
        <f aca="false">IF(OR(E1422="",E1422="!!!"),"",IF(NOT(ISNA(VLOOKUP(E1422,E$1:E1421,1,FALSE()))),"OLD",IF(AND(E1422&lt;&gt;"",E1422&lt;&gt;"!!!"),"NEW","")))</f>
        <v/>
      </c>
      <c r="G1422" s="11" t="str">
        <f aca="false">IF(OR(E1422="",E1422="!!!"),"",IF(OR(J1422=0,AND(J1422=1,K1422=1),AND(J1422=1,I1422="SBJ"),AND(J1422=1,I1422=0)),"?IN_FOCUS",IF(J1422&lt;=2,"?ACTIVATED",IF(J1422&lt;&gt;"","?FAMILIAR",IF(F1422="NEW",IF(ISNA(VLOOKUP(E1422,#REF!,1,FALSE())),"?TYPE_IDENTIFIABLE","?REFERENTIAL"),"_")))))</f>
        <v/>
      </c>
      <c r="H1422" s="12" t="str">
        <f aca="false">IF(J1422&lt;&gt;1,"",IF(I1422="SBJ","CB","?"))</f>
        <v/>
      </c>
      <c r="I1422" s="13" t="str">
        <f aca="false">IF(OR(E1422="",E1422="!!!",F1422="NEW"),"",INDEX(B$2:B1421,-1+SUMPRODUCT(MAX(ROW(E$2:E1421)*(E1422=E$2:E1421)))))</f>
        <v/>
      </c>
      <c r="J1422" s="14" t="str">
        <f aca="true">IF(OR(E1422="",E1422="!!!",F1422="NEW"),"",COUNTBLANK(OFFSET(A$1,,,SUMPRODUCT(MAX(ROW(E$2:E1422)*(E1422=E$2:E1422)))))-COUNTBLANK(OFFSET(A$1,,,SUMPRODUCT(MAX(ROW(E$1:E1421)*(E1422=E$1:E1421))))))</f>
        <v/>
      </c>
      <c r="K1422" s="14" t="str">
        <f aca="false">IF(OR(E1422="",E1422="!!!",F1422="NEW"),"",INDEX(J$1:J1421,SUMPRODUCT(MAX(ROW(E$1:E1421)*(E1422=E$1:E1421)))))</f>
        <v/>
      </c>
      <c r="L1422" s="15"/>
    </row>
    <row r="1423" customFormat="false" ht="12.75" hidden="false" customHeight="false" outlineLevel="0" collapsed="false">
      <c r="A1423" s="0" t="s">
        <v>66</v>
      </c>
      <c r="E1423" s="9" t="str">
        <f aca="false">IF(D1423="?OLD","!!!","")</f>
        <v/>
      </c>
      <c r="F1423" s="10" t="str">
        <f aca="false">IF(OR(E1423="",E1423="!!!"),"",IF(NOT(ISNA(VLOOKUP(E1423,E$1:E1422,1,FALSE()))),"OLD",IF(AND(E1423&lt;&gt;"",E1423&lt;&gt;"!!!"),"NEW","")))</f>
        <v/>
      </c>
      <c r="G1423" s="11" t="str">
        <f aca="false">IF(OR(E1423="",E1423="!!!"),"",IF(OR(J1423=0,AND(J1423=1,K1423=1),AND(J1423=1,I1423="SBJ"),AND(J1423=1,I1423=0)),"?IN_FOCUS",IF(J1423&lt;=2,"?ACTIVATED",IF(J1423&lt;&gt;"","?FAMILIAR",IF(F1423="NEW",IF(ISNA(VLOOKUP(E1423,#REF!,1,FALSE())),"?TYPE_IDENTIFIABLE","?REFERENTIAL"),"_")))))</f>
        <v/>
      </c>
      <c r="H1423" s="12" t="str">
        <f aca="false">IF(J1423&lt;&gt;1,"",IF(I1423="SBJ","CB","?"))</f>
        <v/>
      </c>
      <c r="I1423" s="13" t="str">
        <f aca="false">IF(OR(E1423="",E1423="!!!",F1423="NEW"),"",INDEX(B$2:B1422,-1+SUMPRODUCT(MAX(ROW(E$2:E1422)*(E1423=E$2:E1422)))))</f>
        <v/>
      </c>
      <c r="J1423" s="14" t="str">
        <f aca="true">IF(OR(E1423="",E1423="!!!",F1423="NEW"),"",COUNTBLANK(OFFSET(A$1,,,SUMPRODUCT(MAX(ROW(E$2:E1423)*(E1423=E$2:E1423)))))-COUNTBLANK(OFFSET(A$1,,,SUMPRODUCT(MAX(ROW(E$1:E1422)*(E1423=E$1:E1422))))))</f>
        <v/>
      </c>
      <c r="K1423" s="14" t="str">
        <f aca="false">IF(OR(E1423="",E1423="!!!",F1423="NEW"),"",INDEX(J$1:J1422,SUMPRODUCT(MAX(ROW(E$1:E1422)*(E1423=E$1:E1422)))))</f>
        <v/>
      </c>
      <c r="L1423" s="15"/>
    </row>
    <row r="1424" customFormat="false" ht="12.75" hidden="false" customHeight="false" outlineLevel="0" collapsed="false">
      <c r="A1424" s="0" t="s">
        <v>440</v>
      </c>
      <c r="B1424" s="0" t="s">
        <v>22</v>
      </c>
      <c r="C1424" s="0" t="s">
        <v>111</v>
      </c>
      <c r="D1424" s="0" t="s">
        <v>29</v>
      </c>
      <c r="E1424" s="9" t="str">
        <f aca="false">IF(D1424="?OLD","!!!","")</f>
        <v>!!!</v>
      </c>
      <c r="F1424" s="10" t="str">
        <f aca="false">IF(OR(E1424="",E1424="!!!"),"",IF(NOT(ISNA(VLOOKUP(E1424,E$1:E1423,1,FALSE()))),"OLD",IF(AND(E1424&lt;&gt;"",E1424&lt;&gt;"!!!"),"NEW","")))</f>
        <v/>
      </c>
      <c r="G1424" s="11" t="str">
        <f aca="false">IF(OR(E1424="",E1424="!!!"),"",IF(OR(J1424=0,AND(J1424=1,K1424=1),AND(J1424=1,I1424="SBJ"),AND(J1424=1,I1424=0)),"?IN_FOCUS",IF(J1424&lt;=2,"?ACTIVATED",IF(J1424&lt;&gt;"","?FAMILIAR",IF(F1424="NEW",IF(ISNA(VLOOKUP(E1424,#REF!,1,FALSE())),"?TYPE_IDENTIFIABLE","?REFERENTIAL"),"_")))))</f>
        <v/>
      </c>
      <c r="H1424" s="12" t="str">
        <f aca="false">IF(J1424&lt;&gt;1,"",IF(I1424="SBJ","CB","?"))</f>
        <v/>
      </c>
      <c r="I1424" s="13" t="str">
        <f aca="false">IF(OR(E1424="",E1424="!!!",F1424="NEW"),"",INDEX(B$2:B1423,-1+SUMPRODUCT(MAX(ROW(E$2:E1423)*(E1424=E$2:E1423)))))</f>
        <v/>
      </c>
      <c r="J1424" s="14" t="str">
        <f aca="true">IF(OR(E1424="",E1424="!!!",F1424="NEW"),"",COUNTBLANK(OFFSET(A$1,,,SUMPRODUCT(MAX(ROW(E$2:E1424)*(E1424=E$2:E1424)))))-COUNTBLANK(OFFSET(A$1,,,SUMPRODUCT(MAX(ROW(E$1:E1423)*(E1424=E$1:E1423))))))</f>
        <v/>
      </c>
      <c r="K1424" s="14" t="str">
        <f aca="false">IF(OR(E1424="",E1424="!!!",F1424="NEW"),"",INDEX(J$1:J1423,SUMPRODUCT(MAX(ROW(E$1:E1423)*(E1424=E$1:E1423)))))</f>
        <v/>
      </c>
      <c r="L1424" s="15"/>
    </row>
    <row r="1425" customFormat="false" ht="12.75" hidden="false" customHeight="false" outlineLevel="0" collapsed="false">
      <c r="A1425" s="0" t="s">
        <v>88</v>
      </c>
      <c r="E1425" s="9" t="str">
        <f aca="false">IF(D1425="?OLD","!!!","")</f>
        <v/>
      </c>
      <c r="F1425" s="10" t="str">
        <f aca="false">IF(OR(E1425="",E1425="!!!"),"",IF(NOT(ISNA(VLOOKUP(E1425,E$1:E1424,1,FALSE()))),"OLD",IF(AND(E1425&lt;&gt;"",E1425&lt;&gt;"!!!"),"NEW","")))</f>
        <v/>
      </c>
      <c r="G1425" s="11" t="str">
        <f aca="false">IF(OR(E1425="",E1425="!!!"),"",IF(OR(J1425=0,AND(J1425=1,K1425=1),AND(J1425=1,I1425="SBJ"),AND(J1425=1,I1425=0)),"?IN_FOCUS",IF(J1425&lt;=2,"?ACTIVATED",IF(J1425&lt;&gt;"","?FAMILIAR",IF(F1425="NEW",IF(ISNA(VLOOKUP(E1425,#REF!,1,FALSE())),"?TYPE_IDENTIFIABLE","?REFERENTIAL"),"_")))))</f>
        <v/>
      </c>
      <c r="H1425" s="12" t="str">
        <f aca="false">IF(J1425&lt;&gt;1,"",IF(I1425="SBJ","CB","?"))</f>
        <v/>
      </c>
      <c r="I1425" s="13" t="str">
        <f aca="false">IF(OR(E1425="",E1425="!!!",F1425="NEW"),"",INDEX(B$2:B1424,-1+SUMPRODUCT(MAX(ROW(E$2:E1424)*(E1425=E$2:E1424)))))</f>
        <v/>
      </c>
      <c r="J1425" s="14" t="str">
        <f aca="true">IF(OR(E1425="",E1425="!!!",F1425="NEW"),"",COUNTBLANK(OFFSET(A$1,,,SUMPRODUCT(MAX(ROW(E$2:E1425)*(E1425=E$2:E1425)))))-COUNTBLANK(OFFSET(A$1,,,SUMPRODUCT(MAX(ROW(E$1:E1424)*(E1425=E$1:E1424))))))</f>
        <v/>
      </c>
      <c r="K1425" s="14" t="str">
        <f aca="false">IF(OR(E1425="",E1425="!!!",F1425="NEW"),"",INDEX(J$1:J1424,SUMPRODUCT(MAX(ROW(E$1:E1424)*(E1425=E$1:E1424)))))</f>
        <v/>
      </c>
      <c r="L1425" s="15"/>
    </row>
    <row r="1426" customFormat="false" ht="12.75" hidden="false" customHeight="false" outlineLevel="0" collapsed="false">
      <c r="A1426" s="0" t="s">
        <v>66</v>
      </c>
      <c r="E1426" s="9" t="str">
        <f aca="false">IF(D1426="?OLD","!!!","")</f>
        <v/>
      </c>
      <c r="F1426" s="10" t="str">
        <f aca="false">IF(OR(E1426="",E1426="!!!"),"",IF(NOT(ISNA(VLOOKUP(E1426,E$1:E1425,1,FALSE()))),"OLD",IF(AND(E1426&lt;&gt;"",E1426&lt;&gt;"!!!"),"NEW","")))</f>
        <v/>
      </c>
      <c r="G1426" s="11" t="str">
        <f aca="false">IF(OR(E1426="",E1426="!!!"),"",IF(OR(J1426=0,AND(J1426=1,K1426=1),AND(J1426=1,I1426="SBJ"),AND(J1426=1,I1426=0)),"?IN_FOCUS",IF(J1426&lt;=2,"?ACTIVATED",IF(J1426&lt;&gt;"","?FAMILIAR",IF(F1426="NEW",IF(ISNA(VLOOKUP(E1426,#REF!,1,FALSE())),"?TYPE_IDENTIFIABLE","?REFERENTIAL"),"_")))))</f>
        <v/>
      </c>
      <c r="H1426" s="12" t="str">
        <f aca="false">IF(J1426&lt;&gt;1,"",IF(I1426="SBJ","CB","?"))</f>
        <v/>
      </c>
      <c r="I1426" s="13" t="str">
        <f aca="false">IF(OR(E1426="",E1426="!!!",F1426="NEW"),"",INDEX(B$2:B1425,-1+SUMPRODUCT(MAX(ROW(E$2:E1425)*(E1426=E$2:E1425)))))</f>
        <v/>
      </c>
      <c r="J1426" s="14" t="str">
        <f aca="true">IF(OR(E1426="",E1426="!!!",F1426="NEW"),"",COUNTBLANK(OFFSET(A$1,,,SUMPRODUCT(MAX(ROW(E$2:E1426)*(E1426=E$2:E1426)))))-COUNTBLANK(OFFSET(A$1,,,SUMPRODUCT(MAX(ROW(E$1:E1425)*(E1426=E$1:E1425))))))</f>
        <v/>
      </c>
      <c r="K1426" s="14" t="str">
        <f aca="false">IF(OR(E1426="",E1426="!!!",F1426="NEW"),"",INDEX(J$1:J1425,SUMPRODUCT(MAX(ROW(E$1:E1425)*(E1426=E$1:E1425)))))</f>
        <v/>
      </c>
      <c r="L1426" s="15"/>
    </row>
    <row r="1427" customFormat="false" ht="12.75" hidden="false" customHeight="false" outlineLevel="0" collapsed="false">
      <c r="A1427" s="0" t="s">
        <v>192</v>
      </c>
      <c r="B1427" s="0" t="s">
        <v>62</v>
      </c>
      <c r="C1427" s="0" t="s">
        <v>111</v>
      </c>
      <c r="D1427" s="0" t="s">
        <v>29</v>
      </c>
      <c r="E1427" s="9" t="str">
        <f aca="false">IF(D1427="?OLD","!!!","")</f>
        <v>!!!</v>
      </c>
      <c r="F1427" s="10" t="str">
        <f aca="false">IF(OR(E1427="",E1427="!!!"),"",IF(NOT(ISNA(VLOOKUP(E1427,E$1:E1426,1,FALSE()))),"OLD",IF(AND(E1427&lt;&gt;"",E1427&lt;&gt;"!!!"),"NEW","")))</f>
        <v/>
      </c>
      <c r="G1427" s="11" t="str">
        <f aca="false">IF(OR(E1427="",E1427="!!!"),"",IF(OR(J1427=0,AND(J1427=1,K1427=1),AND(J1427=1,I1427="SBJ"),AND(J1427=1,I1427=0)),"?IN_FOCUS",IF(J1427&lt;=2,"?ACTIVATED",IF(J1427&lt;&gt;"","?FAMILIAR",IF(F1427="NEW",IF(ISNA(VLOOKUP(E1427,#REF!,1,FALSE())),"?TYPE_IDENTIFIABLE","?REFERENTIAL"),"_")))))</f>
        <v/>
      </c>
      <c r="H1427" s="12" t="str">
        <f aca="false">IF(J1427&lt;&gt;1,"",IF(I1427="SBJ","CB","?"))</f>
        <v/>
      </c>
      <c r="I1427" s="13" t="str">
        <f aca="false">IF(OR(E1427="",E1427="!!!",F1427="NEW"),"",INDEX(B$2:B1426,-1+SUMPRODUCT(MAX(ROW(E$2:E1426)*(E1427=E$2:E1426)))))</f>
        <v/>
      </c>
      <c r="J1427" s="14" t="str">
        <f aca="true">IF(OR(E1427="",E1427="!!!",F1427="NEW"),"",COUNTBLANK(OFFSET(A$1,,,SUMPRODUCT(MAX(ROW(E$2:E1427)*(E1427=E$2:E1427)))))-COUNTBLANK(OFFSET(A$1,,,SUMPRODUCT(MAX(ROW(E$1:E1426)*(E1427=E$1:E1426))))))</f>
        <v/>
      </c>
      <c r="K1427" s="14" t="str">
        <f aca="false">IF(OR(E1427="",E1427="!!!",F1427="NEW"),"",INDEX(J$1:J1426,SUMPRODUCT(MAX(ROW(E$1:E1426)*(E1427=E$1:E1426)))))</f>
        <v/>
      </c>
      <c r="L1427" s="15"/>
    </row>
    <row r="1428" customFormat="false" ht="12.75" hidden="false" customHeight="false" outlineLevel="0" collapsed="false">
      <c r="A1428" s="0" t="s">
        <v>73</v>
      </c>
      <c r="E1428" s="9" t="str">
        <f aca="false">IF(D1428="?OLD","!!!","")</f>
        <v/>
      </c>
      <c r="F1428" s="10" t="str">
        <f aca="false">IF(OR(E1428="",E1428="!!!"),"",IF(NOT(ISNA(VLOOKUP(E1428,E$1:E1427,1,FALSE()))),"OLD",IF(AND(E1428&lt;&gt;"",E1428&lt;&gt;"!!!"),"NEW","")))</f>
        <v/>
      </c>
      <c r="G1428" s="11" t="str">
        <f aca="false">IF(OR(E1428="",E1428="!!!"),"",IF(OR(J1428=0,AND(J1428=1,K1428=1),AND(J1428=1,I1428="SBJ"),AND(J1428=1,I1428=0)),"?IN_FOCUS",IF(J1428&lt;=2,"?ACTIVATED",IF(J1428&lt;&gt;"","?FAMILIAR",IF(F1428="NEW",IF(ISNA(VLOOKUP(E1428,#REF!,1,FALSE())),"?TYPE_IDENTIFIABLE","?REFERENTIAL"),"_")))))</f>
        <v/>
      </c>
      <c r="H1428" s="12" t="str">
        <f aca="false">IF(J1428&lt;&gt;1,"",IF(I1428="SBJ","CB","?"))</f>
        <v/>
      </c>
      <c r="I1428" s="13" t="str">
        <f aca="false">IF(OR(E1428="",E1428="!!!",F1428="NEW"),"",INDEX(B$2:B1427,-1+SUMPRODUCT(MAX(ROW(E$2:E1427)*(E1428=E$2:E1427)))))</f>
        <v/>
      </c>
      <c r="J1428" s="14" t="str">
        <f aca="true">IF(OR(E1428="",E1428="!!!",F1428="NEW"),"",COUNTBLANK(OFFSET(A$1,,,SUMPRODUCT(MAX(ROW(E$2:E1428)*(E1428=E$2:E1428)))))-COUNTBLANK(OFFSET(A$1,,,SUMPRODUCT(MAX(ROW(E$1:E1427)*(E1428=E$1:E1427))))))</f>
        <v/>
      </c>
      <c r="K1428" s="14" t="str">
        <f aca="false">IF(OR(E1428="",E1428="!!!",F1428="NEW"),"",INDEX(J$1:J1427,SUMPRODUCT(MAX(ROW(E$1:E1427)*(E1428=E$1:E1427)))))</f>
        <v/>
      </c>
      <c r="L1428" s="15"/>
    </row>
    <row r="1429" customFormat="false" ht="12.75" hidden="false" customHeight="false" outlineLevel="0" collapsed="false">
      <c r="E1429" s="9" t="str">
        <f aca="false">IF(D1429="?OLD","!!!","")</f>
        <v/>
      </c>
      <c r="F1429" s="10" t="str">
        <f aca="false">IF(OR(E1429="",E1429="!!!"),"",IF(NOT(ISNA(VLOOKUP(E1429,E$1:E1428,1,FALSE()))),"OLD",IF(AND(E1429&lt;&gt;"",E1429&lt;&gt;"!!!"),"NEW","")))</f>
        <v/>
      </c>
      <c r="G1429" s="11" t="str">
        <f aca="false">IF(OR(E1429="",E1429="!!!"),"",IF(OR(J1429=0,AND(J1429=1,K1429=1),AND(J1429=1,I1429="SBJ"),AND(J1429=1,I1429=0)),"?IN_FOCUS",IF(J1429&lt;=2,"?ACTIVATED",IF(J1429&lt;&gt;"","?FAMILIAR",IF(F1429="NEW",IF(ISNA(VLOOKUP(E1429,#REF!,1,FALSE())),"?TYPE_IDENTIFIABLE","?REFERENTIAL"),"_")))))</f>
        <v/>
      </c>
      <c r="H1429" s="12" t="str">
        <f aca="false">IF(J1429&lt;&gt;1,"",IF(I1429="SBJ","CB","?"))</f>
        <v/>
      </c>
      <c r="I1429" s="13" t="str">
        <f aca="false">IF(OR(E1429="",E1429="!!!",F1429="NEW"),"",INDEX(B$2:B1428,-1+SUMPRODUCT(MAX(ROW(E$2:E1428)*(E1429=E$2:E1428)))))</f>
        <v/>
      </c>
      <c r="J1429" s="14" t="str">
        <f aca="true">IF(OR(E1429="",E1429="!!!",F1429="NEW"),"",COUNTBLANK(OFFSET(A$1,,,SUMPRODUCT(MAX(ROW(E$2:E1429)*(E1429=E$2:E1429)))))-COUNTBLANK(OFFSET(A$1,,,SUMPRODUCT(MAX(ROW(E$1:E1428)*(E1429=E$1:E1428))))))</f>
        <v/>
      </c>
      <c r="K1429" s="14" t="str">
        <f aca="false">IF(OR(E1429="",E1429="!!!",F1429="NEW"),"",INDEX(J$1:J1428,SUMPRODUCT(MAX(ROW(E$1:E1428)*(E1429=E$1:E1428)))))</f>
        <v/>
      </c>
      <c r="L1429" s="15"/>
    </row>
    <row r="1430" customFormat="false" ht="12.75" hidden="false" customHeight="false" outlineLevel="0" collapsed="false">
      <c r="A1430" s="0" t="s">
        <v>643</v>
      </c>
      <c r="E1430" s="9" t="str">
        <f aca="false">IF(D1430="?OLD","!!!","")</f>
        <v/>
      </c>
      <c r="F1430" s="10" t="str">
        <f aca="false">IF(OR(E1430="",E1430="!!!"),"",IF(NOT(ISNA(VLOOKUP(E1430,E$1:E1429,1,FALSE()))),"OLD",IF(AND(E1430&lt;&gt;"",E1430&lt;&gt;"!!!"),"NEW","")))</f>
        <v/>
      </c>
      <c r="G1430" s="11" t="str">
        <f aca="false">IF(OR(E1430="",E1430="!!!"),"",IF(OR(J1430=0,AND(J1430=1,K1430=1),AND(J1430=1,I1430="SBJ"),AND(J1430=1,I1430=0)),"?IN_FOCUS",IF(J1430&lt;=2,"?ACTIVATED",IF(J1430&lt;&gt;"","?FAMILIAR",IF(F1430="NEW",IF(ISNA(VLOOKUP(E1430,#REF!,1,FALSE())),"?TYPE_IDENTIFIABLE","?REFERENTIAL"),"_")))))</f>
        <v/>
      </c>
      <c r="H1430" s="12" t="str">
        <f aca="false">IF(J1430&lt;&gt;1,"",IF(I1430="SBJ","CB","?"))</f>
        <v/>
      </c>
      <c r="I1430" s="13" t="str">
        <f aca="false">IF(OR(E1430="",E1430="!!!",F1430="NEW"),"",INDEX(B$2:B1429,-1+SUMPRODUCT(MAX(ROW(E$2:E1429)*(E1430=E$2:E1429)))))</f>
        <v/>
      </c>
      <c r="J1430" s="14" t="str">
        <f aca="true">IF(OR(E1430="",E1430="!!!",F1430="NEW"),"",COUNTBLANK(OFFSET(A$1,,,SUMPRODUCT(MAX(ROW(E$2:E1430)*(E1430=E$2:E1430)))))-COUNTBLANK(OFFSET(A$1,,,SUMPRODUCT(MAX(ROW(E$1:E1429)*(E1430=E$1:E1429))))))</f>
        <v/>
      </c>
      <c r="K1430" s="14" t="str">
        <f aca="false">IF(OR(E1430="",E1430="!!!",F1430="NEW"),"",INDEX(J$1:J1429,SUMPRODUCT(MAX(ROW(E$1:E1429)*(E1430=E$1:E1429)))))</f>
        <v/>
      </c>
      <c r="L1430" s="15"/>
    </row>
    <row r="1431" customFormat="false" ht="12.75" hidden="false" customHeight="false" outlineLevel="0" collapsed="false">
      <c r="A1431" s="0" t="s">
        <v>13</v>
      </c>
      <c r="B1431" s="0" t="s">
        <v>14</v>
      </c>
      <c r="C1431" s="0" t="s">
        <v>15</v>
      </c>
      <c r="D1431" s="0" t="s">
        <v>29</v>
      </c>
      <c r="E1431" s="9" t="str">
        <f aca="false">IF(D1431="?OLD","!!!","")</f>
        <v>!!!</v>
      </c>
      <c r="F1431" s="10" t="str">
        <f aca="false">IF(OR(E1431="",E1431="!!!"),"",IF(NOT(ISNA(VLOOKUP(E1431,E$1:E1430,1,FALSE()))),"OLD",IF(AND(E1431&lt;&gt;"",E1431&lt;&gt;"!!!"),"NEW","")))</f>
        <v/>
      </c>
      <c r="G1431" s="11" t="str">
        <f aca="false">IF(OR(E1431="",E1431="!!!"),"",IF(OR(J1431=0,AND(J1431=1,K1431=1),AND(J1431=1,I1431="SBJ"),AND(J1431=1,I1431=0)),"?IN_FOCUS",IF(J1431&lt;=2,"?ACTIVATED",IF(J1431&lt;&gt;"","?FAMILIAR",IF(F1431="NEW",IF(ISNA(VLOOKUP(E1431,#REF!,1,FALSE())),"?TYPE_IDENTIFIABLE","?REFERENTIAL"),"_")))))</f>
        <v/>
      </c>
      <c r="H1431" s="12" t="str">
        <f aca="false">IF(J1431&lt;&gt;1,"",IF(I1431="SBJ","CB","?"))</f>
        <v/>
      </c>
      <c r="I1431" s="13" t="str">
        <f aca="false">IF(OR(E1431="",E1431="!!!",F1431="NEW"),"",INDEX(B$2:B1430,-1+SUMPRODUCT(MAX(ROW(E$2:E1430)*(E1431=E$2:E1430)))))</f>
        <v/>
      </c>
      <c r="J1431" s="14" t="str">
        <f aca="true">IF(OR(E1431="",E1431="!!!",F1431="NEW"),"",COUNTBLANK(OFFSET(A$1,,,SUMPRODUCT(MAX(ROW(E$2:E1431)*(E1431=E$2:E1431)))))-COUNTBLANK(OFFSET(A$1,,,SUMPRODUCT(MAX(ROW(E$1:E1430)*(E1431=E$1:E1430))))))</f>
        <v/>
      </c>
      <c r="K1431" s="14" t="str">
        <f aca="false">IF(OR(E1431="",E1431="!!!",F1431="NEW"),"",INDEX(J$1:J1430,SUMPRODUCT(MAX(ROW(E$1:E1430)*(E1431=E$1:E1430)))))</f>
        <v/>
      </c>
      <c r="L1431" s="15"/>
    </row>
    <row r="1432" customFormat="false" ht="12.75" hidden="false" customHeight="false" outlineLevel="0" collapsed="false">
      <c r="A1432" s="0" t="s">
        <v>19</v>
      </c>
      <c r="E1432" s="9" t="str">
        <f aca="false">IF(D1432="?OLD","!!!","")</f>
        <v/>
      </c>
      <c r="F1432" s="10" t="str">
        <f aca="false">IF(OR(E1432="",E1432="!!!"),"",IF(NOT(ISNA(VLOOKUP(E1432,E$1:E1431,1,FALSE()))),"OLD",IF(AND(E1432&lt;&gt;"",E1432&lt;&gt;"!!!"),"NEW","")))</f>
        <v/>
      </c>
      <c r="G1432" s="11" t="str">
        <f aca="false">IF(OR(E1432="",E1432="!!!"),"",IF(OR(J1432=0,AND(J1432=1,K1432=1),AND(J1432=1,I1432="SBJ"),AND(J1432=1,I1432=0)),"?IN_FOCUS",IF(J1432&lt;=2,"?ACTIVATED",IF(J1432&lt;&gt;"","?FAMILIAR",IF(F1432="NEW",IF(ISNA(VLOOKUP(E1432,#REF!,1,FALSE())),"?TYPE_IDENTIFIABLE","?REFERENTIAL"),"_")))))</f>
        <v/>
      </c>
      <c r="H1432" s="12" t="str">
        <f aca="false">IF(J1432&lt;&gt;1,"",IF(I1432="SBJ","CB","?"))</f>
        <v/>
      </c>
      <c r="I1432" s="13" t="str">
        <f aca="false">IF(OR(E1432="",E1432="!!!",F1432="NEW"),"",INDEX(B$2:B1431,-1+SUMPRODUCT(MAX(ROW(E$2:E1431)*(E1432=E$2:E1431)))))</f>
        <v/>
      </c>
      <c r="J1432" s="14" t="str">
        <f aca="true">IF(OR(E1432="",E1432="!!!",F1432="NEW"),"",COUNTBLANK(OFFSET(A$1,,,SUMPRODUCT(MAX(ROW(E$2:E1432)*(E1432=E$2:E1432)))))-COUNTBLANK(OFFSET(A$1,,,SUMPRODUCT(MAX(ROW(E$1:E1431)*(E1432=E$1:E1431))))))</f>
        <v/>
      </c>
      <c r="K1432" s="14" t="str">
        <f aca="false">IF(OR(E1432="",E1432="!!!",F1432="NEW"),"",INDEX(J$1:J1431,SUMPRODUCT(MAX(ROW(E$1:E1431)*(E1432=E$1:E1431)))))</f>
        <v/>
      </c>
      <c r="L1432" s="15"/>
    </row>
    <row r="1433" customFormat="false" ht="12.75" hidden="false" customHeight="false" outlineLevel="0" collapsed="false">
      <c r="A1433" s="0" t="s">
        <v>429</v>
      </c>
      <c r="B1433" s="0" t="s">
        <v>28</v>
      </c>
      <c r="C1433" s="0" t="s">
        <v>38</v>
      </c>
      <c r="D1433" s="0" t="s">
        <v>29</v>
      </c>
      <c r="E1433" s="9" t="str">
        <f aca="false">IF(D1433="?OLD","!!!","")</f>
        <v>!!!</v>
      </c>
      <c r="F1433" s="10" t="str">
        <f aca="false">IF(OR(E1433="",E1433="!!!"),"",IF(NOT(ISNA(VLOOKUP(E1433,E$1:E1432,1,FALSE()))),"OLD",IF(AND(E1433&lt;&gt;"",E1433&lt;&gt;"!!!"),"NEW","")))</f>
        <v/>
      </c>
      <c r="G1433" s="11" t="str">
        <f aca="false">IF(OR(E1433="",E1433="!!!"),"",IF(OR(J1433=0,AND(J1433=1,K1433=1),AND(J1433=1,I1433="SBJ"),AND(J1433=1,I1433=0)),"?IN_FOCUS",IF(J1433&lt;=2,"?ACTIVATED",IF(J1433&lt;&gt;"","?FAMILIAR",IF(F1433="NEW",IF(ISNA(VLOOKUP(E1433,#REF!,1,FALSE())),"?TYPE_IDENTIFIABLE","?REFERENTIAL"),"_")))))</f>
        <v/>
      </c>
      <c r="H1433" s="12" t="str">
        <f aca="false">IF(J1433&lt;&gt;1,"",IF(I1433="SBJ","CB","?"))</f>
        <v/>
      </c>
      <c r="I1433" s="13" t="str">
        <f aca="false">IF(OR(E1433="",E1433="!!!",F1433="NEW"),"",INDEX(B$2:B1432,-1+SUMPRODUCT(MAX(ROW(E$2:E1432)*(E1433=E$2:E1432)))))</f>
        <v/>
      </c>
      <c r="J1433" s="14" t="str">
        <f aca="true">IF(OR(E1433="",E1433="!!!",F1433="NEW"),"",COUNTBLANK(OFFSET(A$1,,,SUMPRODUCT(MAX(ROW(E$2:E1433)*(E1433=E$2:E1433)))))-COUNTBLANK(OFFSET(A$1,,,SUMPRODUCT(MAX(ROW(E$1:E1432)*(E1433=E$1:E1432))))))</f>
        <v/>
      </c>
      <c r="K1433" s="14" t="str">
        <f aca="false">IF(OR(E1433="",E1433="!!!",F1433="NEW"),"",INDEX(J$1:J1432,SUMPRODUCT(MAX(ROW(E$1:E1432)*(E1433=E$1:E1432)))))</f>
        <v/>
      </c>
      <c r="L1433" s="15"/>
    </row>
    <row r="1434" customFormat="false" ht="12.75" hidden="false" customHeight="false" outlineLevel="0" collapsed="false">
      <c r="A1434" s="0" t="s">
        <v>48</v>
      </c>
      <c r="E1434" s="9" t="str">
        <f aca="false">IF(D1434="?OLD","!!!","")</f>
        <v/>
      </c>
      <c r="F1434" s="10" t="str">
        <f aca="false">IF(OR(E1434="",E1434="!!!"),"",IF(NOT(ISNA(VLOOKUP(E1434,E$1:E1433,1,FALSE()))),"OLD",IF(AND(E1434&lt;&gt;"",E1434&lt;&gt;"!!!"),"NEW","")))</f>
        <v/>
      </c>
      <c r="G1434" s="11" t="str">
        <f aca="false">IF(OR(E1434="",E1434="!!!"),"",IF(OR(J1434=0,AND(J1434=1,K1434=1),AND(J1434=1,I1434="SBJ"),AND(J1434=1,I1434=0)),"?IN_FOCUS",IF(J1434&lt;=2,"?ACTIVATED",IF(J1434&lt;&gt;"","?FAMILIAR",IF(F1434="NEW",IF(ISNA(VLOOKUP(E1434,#REF!,1,FALSE())),"?TYPE_IDENTIFIABLE","?REFERENTIAL"),"_")))))</f>
        <v/>
      </c>
      <c r="H1434" s="12" t="str">
        <f aca="false">IF(J1434&lt;&gt;1,"",IF(I1434="SBJ","CB","?"))</f>
        <v/>
      </c>
      <c r="I1434" s="13" t="str">
        <f aca="false">IF(OR(E1434="",E1434="!!!",F1434="NEW"),"",INDEX(B$2:B1433,-1+SUMPRODUCT(MAX(ROW(E$2:E1433)*(E1434=E$2:E1433)))))</f>
        <v/>
      </c>
      <c r="J1434" s="14" t="str">
        <f aca="true">IF(OR(E1434="",E1434="!!!",F1434="NEW"),"",COUNTBLANK(OFFSET(A$1,,,SUMPRODUCT(MAX(ROW(E$2:E1434)*(E1434=E$2:E1434)))))-COUNTBLANK(OFFSET(A$1,,,SUMPRODUCT(MAX(ROW(E$1:E1433)*(E1434=E$1:E1433))))))</f>
        <v/>
      </c>
      <c r="K1434" s="14" t="str">
        <f aca="false">IF(OR(E1434="",E1434="!!!",F1434="NEW"),"",INDEX(J$1:J1433,SUMPRODUCT(MAX(ROW(E$1:E1433)*(E1434=E$1:E1433)))))</f>
        <v/>
      </c>
      <c r="L1434" s="15"/>
    </row>
    <row r="1435" customFormat="false" ht="12.75" hidden="false" customHeight="false" outlineLevel="0" collapsed="false">
      <c r="A1435" s="0" t="s">
        <v>644</v>
      </c>
      <c r="E1435" s="9" t="str">
        <f aca="false">IF(D1435="?OLD","!!!","")</f>
        <v/>
      </c>
      <c r="F1435" s="10" t="str">
        <f aca="false">IF(OR(E1435="",E1435="!!!"),"",IF(NOT(ISNA(VLOOKUP(E1435,E$1:E1434,1,FALSE()))),"OLD",IF(AND(E1435&lt;&gt;"",E1435&lt;&gt;"!!!"),"NEW","")))</f>
        <v/>
      </c>
      <c r="G1435" s="11" t="str">
        <f aca="false">IF(OR(E1435="",E1435="!!!"),"",IF(OR(J1435=0,AND(J1435=1,K1435=1),AND(J1435=1,I1435="SBJ"),AND(J1435=1,I1435=0)),"?IN_FOCUS",IF(J1435&lt;=2,"?ACTIVATED",IF(J1435&lt;&gt;"","?FAMILIAR",IF(F1435="NEW",IF(ISNA(VLOOKUP(E1435,#REF!,1,FALSE())),"?TYPE_IDENTIFIABLE","?REFERENTIAL"),"_")))))</f>
        <v/>
      </c>
      <c r="H1435" s="12" t="str">
        <f aca="false">IF(J1435&lt;&gt;1,"",IF(I1435="SBJ","CB","?"))</f>
        <v/>
      </c>
      <c r="I1435" s="13" t="str">
        <f aca="false">IF(OR(E1435="",E1435="!!!",F1435="NEW"),"",INDEX(B$2:B1434,-1+SUMPRODUCT(MAX(ROW(E$2:E1434)*(E1435=E$2:E1434)))))</f>
        <v/>
      </c>
      <c r="J1435" s="14" t="str">
        <f aca="true">IF(OR(E1435="",E1435="!!!",F1435="NEW"),"",COUNTBLANK(OFFSET(A$1,,,SUMPRODUCT(MAX(ROW(E$2:E1435)*(E1435=E$2:E1435)))))-COUNTBLANK(OFFSET(A$1,,,SUMPRODUCT(MAX(ROW(E$1:E1434)*(E1435=E$1:E1434))))))</f>
        <v/>
      </c>
      <c r="K1435" s="14" t="str">
        <f aca="false">IF(OR(E1435="",E1435="!!!",F1435="NEW"),"",INDEX(J$1:J1434,SUMPRODUCT(MAX(ROW(E$1:E1434)*(E1435=E$1:E1434)))))</f>
        <v/>
      </c>
      <c r="L1435" s="15"/>
    </row>
    <row r="1436" customFormat="false" ht="12.75" hidden="false" customHeight="false" outlineLevel="0" collapsed="false">
      <c r="A1436" s="0" t="s">
        <v>645</v>
      </c>
      <c r="E1436" s="9" t="str">
        <f aca="false">IF(D1436="?OLD","!!!","")</f>
        <v/>
      </c>
      <c r="F1436" s="10" t="str">
        <f aca="false">IF(OR(E1436="",E1436="!!!"),"",IF(NOT(ISNA(VLOOKUP(E1436,E$1:E1435,1,FALSE()))),"OLD",IF(AND(E1436&lt;&gt;"",E1436&lt;&gt;"!!!"),"NEW","")))</f>
        <v/>
      </c>
      <c r="G1436" s="11" t="str">
        <f aca="false">IF(OR(E1436="",E1436="!!!"),"",IF(OR(J1436=0,AND(J1436=1,K1436=1),AND(J1436=1,I1436="SBJ"),AND(J1436=1,I1436=0)),"?IN_FOCUS",IF(J1436&lt;=2,"?ACTIVATED",IF(J1436&lt;&gt;"","?FAMILIAR",IF(F1436="NEW",IF(ISNA(VLOOKUP(E1436,#REF!,1,FALSE())),"?TYPE_IDENTIFIABLE","?REFERENTIAL"),"_")))))</f>
        <v/>
      </c>
      <c r="H1436" s="12" t="str">
        <f aca="false">IF(J1436&lt;&gt;1,"",IF(I1436="SBJ","CB","?"))</f>
        <v/>
      </c>
      <c r="I1436" s="13" t="str">
        <f aca="false">IF(OR(E1436="",E1436="!!!",F1436="NEW"),"",INDEX(B$2:B1435,-1+SUMPRODUCT(MAX(ROW(E$2:E1435)*(E1436=E$2:E1435)))))</f>
        <v/>
      </c>
      <c r="J1436" s="14" t="str">
        <f aca="true">IF(OR(E1436="",E1436="!!!",F1436="NEW"),"",COUNTBLANK(OFFSET(A$1,,,SUMPRODUCT(MAX(ROW(E$2:E1436)*(E1436=E$2:E1436)))))-COUNTBLANK(OFFSET(A$1,,,SUMPRODUCT(MAX(ROW(E$1:E1435)*(E1436=E$1:E1435))))))</f>
        <v/>
      </c>
      <c r="K1436" s="14" t="str">
        <f aca="false">IF(OR(E1436="",E1436="!!!",F1436="NEW"),"",INDEX(J$1:J1435,SUMPRODUCT(MAX(ROW(E$1:E1435)*(E1436=E$1:E1435)))))</f>
        <v/>
      </c>
      <c r="L1436" s="15"/>
    </row>
    <row r="1437" customFormat="false" ht="12.75" hidden="false" customHeight="false" outlineLevel="0" collapsed="false">
      <c r="A1437" s="0" t="s">
        <v>249</v>
      </c>
      <c r="E1437" s="9" t="str">
        <f aca="false">IF(D1437="?OLD","!!!","")</f>
        <v/>
      </c>
      <c r="F1437" s="10" t="str">
        <f aca="false">IF(OR(E1437="",E1437="!!!"),"",IF(NOT(ISNA(VLOOKUP(E1437,E$1:E1436,1,FALSE()))),"OLD",IF(AND(E1437&lt;&gt;"",E1437&lt;&gt;"!!!"),"NEW","")))</f>
        <v/>
      </c>
      <c r="G1437" s="11" t="str">
        <f aca="false">IF(OR(E1437="",E1437="!!!"),"",IF(OR(J1437=0,AND(J1437=1,K1437=1),AND(J1437=1,I1437="SBJ"),AND(J1437=1,I1437=0)),"?IN_FOCUS",IF(J1437&lt;=2,"?ACTIVATED",IF(J1437&lt;&gt;"","?FAMILIAR",IF(F1437="NEW",IF(ISNA(VLOOKUP(E1437,#REF!,1,FALSE())),"?TYPE_IDENTIFIABLE","?REFERENTIAL"),"_")))))</f>
        <v/>
      </c>
      <c r="H1437" s="12" t="str">
        <f aca="false">IF(J1437&lt;&gt;1,"",IF(I1437="SBJ","CB","?"))</f>
        <v/>
      </c>
      <c r="I1437" s="13" t="str">
        <f aca="false">IF(OR(E1437="",E1437="!!!",F1437="NEW"),"",INDEX(B$2:B1436,-1+SUMPRODUCT(MAX(ROW(E$2:E1436)*(E1437=E$2:E1436)))))</f>
        <v/>
      </c>
      <c r="J1437" s="14" t="str">
        <f aca="true">IF(OR(E1437="",E1437="!!!",F1437="NEW"),"",COUNTBLANK(OFFSET(A$1,,,SUMPRODUCT(MAX(ROW(E$2:E1437)*(E1437=E$2:E1437)))))-COUNTBLANK(OFFSET(A$1,,,SUMPRODUCT(MAX(ROW(E$1:E1436)*(E1437=E$1:E1436))))))</f>
        <v/>
      </c>
      <c r="K1437" s="14" t="str">
        <f aca="false">IF(OR(E1437="",E1437="!!!",F1437="NEW"),"",INDEX(J$1:J1436,SUMPRODUCT(MAX(ROW(E$1:E1436)*(E1437=E$1:E1436)))))</f>
        <v/>
      </c>
      <c r="L1437" s="15"/>
    </row>
    <row r="1438" customFormat="false" ht="12.75" hidden="false" customHeight="false" outlineLevel="0" collapsed="false">
      <c r="A1438" s="0" t="s">
        <v>73</v>
      </c>
      <c r="E1438" s="9" t="str">
        <f aca="false">IF(D1438="?OLD","!!!","")</f>
        <v/>
      </c>
      <c r="F1438" s="10" t="str">
        <f aca="false">IF(OR(E1438="",E1438="!!!"),"",IF(NOT(ISNA(VLOOKUP(E1438,E$1:E1437,1,FALSE()))),"OLD",IF(AND(E1438&lt;&gt;"",E1438&lt;&gt;"!!!"),"NEW","")))</f>
        <v/>
      </c>
      <c r="G1438" s="11" t="str">
        <f aca="false">IF(OR(E1438="",E1438="!!!"),"",IF(OR(J1438=0,AND(J1438=1,K1438=1),AND(J1438=1,I1438="SBJ"),AND(J1438=1,I1438=0)),"?IN_FOCUS",IF(J1438&lt;=2,"?ACTIVATED",IF(J1438&lt;&gt;"","?FAMILIAR",IF(F1438="NEW",IF(ISNA(VLOOKUP(E1438,#REF!,1,FALSE())),"?TYPE_IDENTIFIABLE","?REFERENTIAL"),"_")))))</f>
        <v/>
      </c>
      <c r="H1438" s="12" t="str">
        <f aca="false">IF(J1438&lt;&gt;1,"",IF(I1438="SBJ","CB","?"))</f>
        <v/>
      </c>
      <c r="I1438" s="13" t="str">
        <f aca="false">IF(OR(E1438="",E1438="!!!",F1438="NEW"),"",INDEX(B$2:B1437,-1+SUMPRODUCT(MAX(ROW(E$2:E1437)*(E1438=E$2:E1437)))))</f>
        <v/>
      </c>
      <c r="J1438" s="14" t="str">
        <f aca="true">IF(OR(E1438="",E1438="!!!",F1438="NEW"),"",COUNTBLANK(OFFSET(A$1,,,SUMPRODUCT(MAX(ROW(E$2:E1438)*(E1438=E$2:E1438)))))-COUNTBLANK(OFFSET(A$1,,,SUMPRODUCT(MAX(ROW(E$1:E1437)*(E1438=E$1:E1437))))))</f>
        <v/>
      </c>
      <c r="K1438" s="14" t="str">
        <f aca="false">IF(OR(E1438="",E1438="!!!",F1438="NEW"),"",INDEX(J$1:J1437,SUMPRODUCT(MAX(ROW(E$1:E1437)*(E1438=E$1:E1437)))))</f>
        <v/>
      </c>
      <c r="L1438" s="15"/>
    </row>
    <row r="1439" customFormat="false" ht="12.75" hidden="false" customHeight="false" outlineLevel="0" collapsed="false">
      <c r="E1439" s="9" t="str">
        <f aca="false">IF(D1439="?OLD","!!!","")</f>
        <v/>
      </c>
      <c r="F1439" s="10" t="str">
        <f aca="false">IF(OR(E1439="",E1439="!!!"),"",IF(NOT(ISNA(VLOOKUP(E1439,E$1:E1438,1,FALSE()))),"OLD",IF(AND(E1439&lt;&gt;"",E1439&lt;&gt;"!!!"),"NEW","")))</f>
        <v/>
      </c>
      <c r="G1439" s="11" t="str">
        <f aca="false">IF(OR(E1439="",E1439="!!!"),"",IF(OR(J1439=0,AND(J1439=1,K1439=1),AND(J1439=1,I1439="SBJ"),AND(J1439=1,I1439=0)),"?IN_FOCUS",IF(J1439&lt;=2,"?ACTIVATED",IF(J1439&lt;&gt;"","?FAMILIAR",IF(F1439="NEW",IF(ISNA(VLOOKUP(E1439,#REF!,1,FALSE())),"?TYPE_IDENTIFIABLE","?REFERENTIAL"),"_")))))</f>
        <v/>
      </c>
      <c r="H1439" s="12" t="str">
        <f aca="false">IF(J1439&lt;&gt;1,"",IF(I1439="SBJ","CB","?"))</f>
        <v/>
      </c>
      <c r="I1439" s="13" t="str">
        <f aca="false">IF(OR(E1439="",E1439="!!!",F1439="NEW"),"",INDEX(B$2:B1438,-1+SUMPRODUCT(MAX(ROW(E$2:E1438)*(E1439=E$2:E1438)))))</f>
        <v/>
      </c>
      <c r="J1439" s="14" t="str">
        <f aca="true">IF(OR(E1439="",E1439="!!!",F1439="NEW"),"",COUNTBLANK(OFFSET(A$1,,,SUMPRODUCT(MAX(ROW(E$2:E1439)*(E1439=E$2:E1439)))))-COUNTBLANK(OFFSET(A$1,,,SUMPRODUCT(MAX(ROW(E$1:E1438)*(E1439=E$1:E1438))))))</f>
        <v/>
      </c>
      <c r="K1439" s="14" t="str">
        <f aca="false">IF(OR(E1439="",E1439="!!!",F1439="NEW"),"",INDEX(J$1:J1438,SUMPRODUCT(MAX(ROW(E$1:E1438)*(E1439=E$1:E1438)))))</f>
        <v/>
      </c>
      <c r="L1439" s="15"/>
    </row>
    <row r="1440" customFormat="false" ht="12.75" hidden="false" customHeight="false" outlineLevel="0" collapsed="false">
      <c r="A1440" s="0" t="s">
        <v>646</v>
      </c>
      <c r="E1440" s="9" t="str">
        <f aca="false">IF(D1440="?OLD","!!!","")</f>
        <v/>
      </c>
      <c r="F1440" s="10" t="str">
        <f aca="false">IF(OR(E1440="",E1440="!!!"),"",IF(NOT(ISNA(VLOOKUP(E1440,E$1:E1439,1,FALSE()))),"OLD",IF(AND(E1440&lt;&gt;"",E1440&lt;&gt;"!!!"),"NEW","")))</f>
        <v/>
      </c>
      <c r="G1440" s="11" t="str">
        <f aca="false">IF(OR(E1440="",E1440="!!!"),"",IF(OR(J1440=0,AND(J1440=1,K1440=1),AND(J1440=1,I1440="SBJ"),AND(J1440=1,I1440=0)),"?IN_FOCUS",IF(J1440&lt;=2,"?ACTIVATED",IF(J1440&lt;&gt;"","?FAMILIAR",IF(F1440="NEW",IF(ISNA(VLOOKUP(E1440,#REF!,1,FALSE())),"?TYPE_IDENTIFIABLE","?REFERENTIAL"),"_")))))</f>
        <v/>
      </c>
      <c r="H1440" s="12" t="str">
        <f aca="false">IF(J1440&lt;&gt;1,"",IF(I1440="SBJ","CB","?"))</f>
        <v/>
      </c>
      <c r="I1440" s="13" t="str">
        <f aca="false">IF(OR(E1440="",E1440="!!!",F1440="NEW"),"",INDEX(B$2:B1439,-1+SUMPRODUCT(MAX(ROW(E$2:E1439)*(E1440=E$2:E1439)))))</f>
        <v/>
      </c>
      <c r="J1440" s="14" t="str">
        <f aca="true">IF(OR(E1440="",E1440="!!!",F1440="NEW"),"",COUNTBLANK(OFFSET(A$1,,,SUMPRODUCT(MAX(ROW(E$2:E1440)*(E1440=E$2:E1440)))))-COUNTBLANK(OFFSET(A$1,,,SUMPRODUCT(MAX(ROW(E$1:E1439)*(E1440=E$1:E1439))))))</f>
        <v/>
      </c>
      <c r="K1440" s="14" t="str">
        <f aca="false">IF(OR(E1440="",E1440="!!!",F1440="NEW"),"",INDEX(J$1:J1439,SUMPRODUCT(MAX(ROW(E$1:E1439)*(E1440=E$1:E1439)))))</f>
        <v/>
      </c>
      <c r="L1440" s="15"/>
    </row>
    <row r="1441" customFormat="false" ht="12.75" hidden="false" customHeight="false" outlineLevel="0" collapsed="false">
      <c r="A1441" s="0" t="s">
        <v>109</v>
      </c>
      <c r="E1441" s="9" t="str">
        <f aca="false">IF(D1441="?OLD","!!!","")</f>
        <v/>
      </c>
      <c r="F1441" s="10" t="str">
        <f aca="false">IF(OR(E1441="",E1441="!!!"),"",IF(NOT(ISNA(VLOOKUP(E1441,E$1:E1440,1,FALSE()))),"OLD",IF(AND(E1441&lt;&gt;"",E1441&lt;&gt;"!!!"),"NEW","")))</f>
        <v/>
      </c>
      <c r="G1441" s="11" t="str">
        <f aca="false">IF(OR(E1441="",E1441="!!!"),"",IF(OR(J1441=0,AND(J1441=1,K1441=1),AND(J1441=1,I1441="SBJ"),AND(J1441=1,I1441=0)),"?IN_FOCUS",IF(J1441&lt;=2,"?ACTIVATED",IF(J1441&lt;&gt;"","?FAMILIAR",IF(F1441="NEW",IF(ISNA(VLOOKUP(E1441,#REF!,1,FALSE())),"?TYPE_IDENTIFIABLE","?REFERENTIAL"),"_")))))</f>
        <v/>
      </c>
      <c r="H1441" s="12" t="str">
        <f aca="false">IF(J1441&lt;&gt;1,"",IF(I1441="SBJ","CB","?"))</f>
        <v/>
      </c>
      <c r="I1441" s="13" t="str">
        <f aca="false">IF(OR(E1441="",E1441="!!!",F1441="NEW"),"",INDEX(B$2:B1440,-1+SUMPRODUCT(MAX(ROW(E$2:E1440)*(E1441=E$2:E1440)))))</f>
        <v/>
      </c>
      <c r="J1441" s="14" t="str">
        <f aca="true">IF(OR(E1441="",E1441="!!!",F1441="NEW"),"",COUNTBLANK(OFFSET(A$1,,,SUMPRODUCT(MAX(ROW(E$2:E1441)*(E1441=E$2:E1441)))))-COUNTBLANK(OFFSET(A$1,,,SUMPRODUCT(MAX(ROW(E$1:E1440)*(E1441=E$1:E1440))))))</f>
        <v/>
      </c>
      <c r="K1441" s="14" t="str">
        <f aca="false">IF(OR(E1441="",E1441="!!!",F1441="NEW"),"",INDEX(J$1:J1440,SUMPRODUCT(MAX(ROW(E$1:E1440)*(E1441=E$1:E1440)))))</f>
        <v/>
      </c>
      <c r="L1441" s="15"/>
    </row>
    <row r="1442" customFormat="false" ht="12.75" hidden="false" customHeight="false" outlineLevel="0" collapsed="false">
      <c r="A1442" s="0" t="s">
        <v>647</v>
      </c>
      <c r="B1442" s="0" t="s">
        <v>14</v>
      </c>
      <c r="C1442" s="0" t="s">
        <v>111</v>
      </c>
      <c r="D1442" s="0" t="s">
        <v>29</v>
      </c>
      <c r="E1442" s="9" t="str">
        <f aca="false">IF(D1442="?OLD","!!!","")</f>
        <v>!!!</v>
      </c>
      <c r="F1442" s="10" t="str">
        <f aca="false">IF(OR(E1442="",E1442="!!!"),"",IF(NOT(ISNA(VLOOKUP(E1442,E$1:E1441,1,FALSE()))),"OLD",IF(AND(E1442&lt;&gt;"",E1442&lt;&gt;"!!!"),"NEW","")))</f>
        <v/>
      </c>
      <c r="G1442" s="11" t="str">
        <f aca="false">IF(OR(E1442="",E1442="!!!"),"",IF(OR(J1442=0,AND(J1442=1,K1442=1),AND(J1442=1,I1442="SBJ"),AND(J1442=1,I1442=0)),"?IN_FOCUS",IF(J1442&lt;=2,"?ACTIVATED",IF(J1442&lt;&gt;"","?FAMILIAR",IF(F1442="NEW",IF(ISNA(VLOOKUP(E1442,#REF!,1,FALSE())),"?TYPE_IDENTIFIABLE","?REFERENTIAL"),"_")))))</f>
        <v/>
      </c>
      <c r="H1442" s="12" t="str">
        <f aca="false">IF(J1442&lt;&gt;1,"",IF(I1442="SBJ","CB","?"))</f>
        <v/>
      </c>
      <c r="I1442" s="13" t="str">
        <f aca="false">IF(OR(E1442="",E1442="!!!",F1442="NEW"),"",INDEX(B$2:B1441,-1+SUMPRODUCT(MAX(ROW(E$2:E1441)*(E1442=E$2:E1441)))))</f>
        <v/>
      </c>
      <c r="J1442" s="14" t="str">
        <f aca="true">IF(OR(E1442="",E1442="!!!",F1442="NEW"),"",COUNTBLANK(OFFSET(A$1,,,SUMPRODUCT(MAX(ROW(E$2:E1442)*(E1442=E$2:E1442)))))-COUNTBLANK(OFFSET(A$1,,,SUMPRODUCT(MAX(ROW(E$1:E1441)*(E1442=E$1:E1441))))))</f>
        <v/>
      </c>
      <c r="K1442" s="14" t="str">
        <f aca="false">IF(OR(E1442="",E1442="!!!",F1442="NEW"),"",INDEX(J$1:J1441,SUMPRODUCT(MAX(ROW(E$1:E1441)*(E1442=E$1:E1441)))))</f>
        <v/>
      </c>
      <c r="L1442" s="15"/>
    </row>
    <row r="1443" customFormat="false" ht="12.75" hidden="false" customHeight="false" outlineLevel="0" collapsed="false">
      <c r="A1443" s="0" t="s">
        <v>124</v>
      </c>
      <c r="E1443" s="9" t="str">
        <f aca="false">IF(D1443="?OLD","!!!","")</f>
        <v/>
      </c>
      <c r="F1443" s="10" t="str">
        <f aca="false">IF(OR(E1443="",E1443="!!!"),"",IF(NOT(ISNA(VLOOKUP(E1443,E$1:E1442,1,FALSE()))),"OLD",IF(AND(E1443&lt;&gt;"",E1443&lt;&gt;"!!!"),"NEW","")))</f>
        <v/>
      </c>
      <c r="G1443" s="11" t="str">
        <f aca="false">IF(OR(E1443="",E1443="!!!"),"",IF(OR(J1443=0,AND(J1443=1,K1443=1),AND(J1443=1,I1443="SBJ"),AND(J1443=1,I1443=0)),"?IN_FOCUS",IF(J1443&lt;=2,"?ACTIVATED",IF(J1443&lt;&gt;"","?FAMILIAR",IF(F1443="NEW",IF(ISNA(VLOOKUP(E1443,#REF!,1,FALSE())),"?TYPE_IDENTIFIABLE","?REFERENTIAL"),"_")))))</f>
        <v/>
      </c>
      <c r="H1443" s="12" t="str">
        <f aca="false">IF(J1443&lt;&gt;1,"",IF(I1443="SBJ","CB","?"))</f>
        <v/>
      </c>
      <c r="I1443" s="13" t="str">
        <f aca="false">IF(OR(E1443="",E1443="!!!",F1443="NEW"),"",INDEX(B$2:B1442,-1+SUMPRODUCT(MAX(ROW(E$2:E1442)*(E1443=E$2:E1442)))))</f>
        <v/>
      </c>
      <c r="J1443" s="14" t="str">
        <f aca="true">IF(OR(E1443="",E1443="!!!",F1443="NEW"),"",COUNTBLANK(OFFSET(A$1,,,SUMPRODUCT(MAX(ROW(E$2:E1443)*(E1443=E$2:E1443)))))-COUNTBLANK(OFFSET(A$1,,,SUMPRODUCT(MAX(ROW(E$1:E1442)*(E1443=E$1:E1442))))))</f>
        <v/>
      </c>
      <c r="K1443" s="14" t="str">
        <f aca="false">IF(OR(E1443="",E1443="!!!",F1443="NEW"),"",INDEX(J$1:J1442,SUMPRODUCT(MAX(ROW(E$1:E1442)*(E1443=E$1:E1442)))))</f>
        <v/>
      </c>
      <c r="L1443" s="15"/>
    </row>
    <row r="1444" customFormat="false" ht="12.75" hidden="false" customHeight="false" outlineLevel="0" collapsed="false">
      <c r="A1444" s="0" t="s">
        <v>490</v>
      </c>
      <c r="E1444" s="9" t="str">
        <f aca="false">IF(D1444="?OLD","!!!","")</f>
        <v/>
      </c>
      <c r="F1444" s="10" t="str">
        <f aca="false">IF(OR(E1444="",E1444="!!!"),"",IF(NOT(ISNA(VLOOKUP(E1444,E$1:E1443,1,FALSE()))),"OLD",IF(AND(E1444&lt;&gt;"",E1444&lt;&gt;"!!!"),"NEW","")))</f>
        <v/>
      </c>
      <c r="G1444" s="11" t="str">
        <f aca="false">IF(OR(E1444="",E1444="!!!"),"",IF(OR(J1444=0,AND(J1444=1,K1444=1),AND(J1444=1,I1444="SBJ"),AND(J1444=1,I1444=0)),"?IN_FOCUS",IF(J1444&lt;=2,"?ACTIVATED",IF(J1444&lt;&gt;"","?FAMILIAR",IF(F1444="NEW",IF(ISNA(VLOOKUP(E1444,#REF!,1,FALSE())),"?TYPE_IDENTIFIABLE","?REFERENTIAL"),"_")))))</f>
        <v/>
      </c>
      <c r="H1444" s="12" t="str">
        <f aca="false">IF(J1444&lt;&gt;1,"",IF(I1444="SBJ","CB","?"))</f>
        <v/>
      </c>
      <c r="I1444" s="13" t="str">
        <f aca="false">IF(OR(E1444="",E1444="!!!",F1444="NEW"),"",INDEX(B$2:B1443,-1+SUMPRODUCT(MAX(ROW(E$2:E1443)*(E1444=E$2:E1443)))))</f>
        <v/>
      </c>
      <c r="J1444" s="14" t="str">
        <f aca="true">IF(OR(E1444="",E1444="!!!",F1444="NEW"),"",COUNTBLANK(OFFSET(A$1,,,SUMPRODUCT(MAX(ROW(E$2:E1444)*(E1444=E$2:E1444)))))-COUNTBLANK(OFFSET(A$1,,,SUMPRODUCT(MAX(ROW(E$1:E1443)*(E1444=E$1:E1443))))))</f>
        <v/>
      </c>
      <c r="K1444" s="14" t="str">
        <f aca="false">IF(OR(E1444="",E1444="!!!",F1444="NEW"),"",INDEX(J$1:J1443,SUMPRODUCT(MAX(ROW(E$1:E1443)*(E1444=E$1:E1443)))))</f>
        <v/>
      </c>
      <c r="L1444" s="15"/>
    </row>
    <row r="1445" customFormat="false" ht="12.75" hidden="false" customHeight="false" outlineLevel="0" collapsed="false">
      <c r="A1445" s="0" t="s">
        <v>66</v>
      </c>
      <c r="E1445" s="9" t="str">
        <f aca="false">IF(D1445="?OLD","!!!","")</f>
        <v/>
      </c>
      <c r="F1445" s="10" t="str">
        <f aca="false">IF(OR(E1445="",E1445="!!!"),"",IF(NOT(ISNA(VLOOKUP(E1445,E$1:E1444,1,FALSE()))),"OLD",IF(AND(E1445&lt;&gt;"",E1445&lt;&gt;"!!!"),"NEW","")))</f>
        <v/>
      </c>
      <c r="G1445" s="11" t="str">
        <f aca="false">IF(OR(E1445="",E1445="!!!"),"",IF(OR(J1445=0,AND(J1445=1,K1445=1),AND(J1445=1,I1445="SBJ"),AND(J1445=1,I1445=0)),"?IN_FOCUS",IF(J1445&lt;=2,"?ACTIVATED",IF(J1445&lt;&gt;"","?FAMILIAR",IF(F1445="NEW",IF(ISNA(VLOOKUP(E1445,#REF!,1,FALSE())),"?TYPE_IDENTIFIABLE","?REFERENTIAL"),"_")))))</f>
        <v/>
      </c>
      <c r="H1445" s="12" t="str">
        <f aca="false">IF(J1445&lt;&gt;1,"",IF(I1445="SBJ","CB","?"))</f>
        <v/>
      </c>
      <c r="I1445" s="13" t="str">
        <f aca="false">IF(OR(E1445="",E1445="!!!",F1445="NEW"),"",INDEX(B$2:B1444,-1+SUMPRODUCT(MAX(ROW(E$2:E1444)*(E1445=E$2:E1444)))))</f>
        <v/>
      </c>
      <c r="J1445" s="14" t="str">
        <f aca="true">IF(OR(E1445="",E1445="!!!",F1445="NEW"),"",COUNTBLANK(OFFSET(A$1,,,SUMPRODUCT(MAX(ROW(E$2:E1445)*(E1445=E$2:E1445)))))-COUNTBLANK(OFFSET(A$1,,,SUMPRODUCT(MAX(ROW(E$1:E1444)*(E1445=E$1:E1444))))))</f>
        <v/>
      </c>
      <c r="K1445" s="14" t="str">
        <f aca="false">IF(OR(E1445="",E1445="!!!",F1445="NEW"),"",INDEX(J$1:J1444,SUMPRODUCT(MAX(ROW(E$1:E1444)*(E1445=E$1:E1444)))))</f>
        <v/>
      </c>
      <c r="L1445" s="15"/>
    </row>
    <row r="1446" customFormat="false" ht="12.75" hidden="false" customHeight="false" outlineLevel="0" collapsed="false">
      <c r="A1446" s="0" t="s">
        <v>401</v>
      </c>
      <c r="B1446" s="0" t="s">
        <v>37</v>
      </c>
      <c r="C1446" s="0" t="s">
        <v>111</v>
      </c>
      <c r="D1446" s="0" t="s">
        <v>29</v>
      </c>
      <c r="E1446" s="9" t="str">
        <f aca="false">IF(D1446="?OLD","!!!","")</f>
        <v>!!!</v>
      </c>
      <c r="F1446" s="10" t="str">
        <f aca="false">IF(OR(E1446="",E1446="!!!"),"",IF(NOT(ISNA(VLOOKUP(E1446,E$1:E1445,1,FALSE()))),"OLD",IF(AND(E1446&lt;&gt;"",E1446&lt;&gt;"!!!"),"NEW","")))</f>
        <v/>
      </c>
      <c r="G1446" s="11" t="str">
        <f aca="false">IF(OR(E1446="",E1446="!!!"),"",IF(OR(J1446=0,AND(J1446=1,K1446=1),AND(J1446=1,I1446="SBJ"),AND(J1446=1,I1446=0)),"?IN_FOCUS",IF(J1446&lt;=2,"?ACTIVATED",IF(J1446&lt;&gt;"","?FAMILIAR",IF(F1446="NEW",IF(ISNA(VLOOKUP(E1446,#REF!,1,FALSE())),"?TYPE_IDENTIFIABLE","?REFERENTIAL"),"_")))))</f>
        <v/>
      </c>
      <c r="H1446" s="12" t="str">
        <f aca="false">IF(J1446&lt;&gt;1,"",IF(I1446="SBJ","CB","?"))</f>
        <v/>
      </c>
      <c r="I1446" s="13" t="str">
        <f aca="false">IF(OR(E1446="",E1446="!!!",F1446="NEW"),"",INDEX(B$2:B1445,-1+SUMPRODUCT(MAX(ROW(E$2:E1445)*(E1446=E$2:E1445)))))</f>
        <v/>
      </c>
      <c r="J1446" s="14" t="str">
        <f aca="true">IF(OR(E1446="",E1446="!!!",F1446="NEW"),"",COUNTBLANK(OFFSET(A$1,,,SUMPRODUCT(MAX(ROW(E$2:E1446)*(E1446=E$2:E1446)))))-COUNTBLANK(OFFSET(A$1,,,SUMPRODUCT(MAX(ROW(E$1:E1445)*(E1446=E$1:E1445))))))</f>
        <v/>
      </c>
      <c r="K1446" s="14" t="str">
        <f aca="false">IF(OR(E1446="",E1446="!!!",F1446="NEW"),"",INDEX(J$1:J1445,SUMPRODUCT(MAX(ROW(E$1:E1445)*(E1446=E$1:E1445)))))</f>
        <v/>
      </c>
      <c r="L1446" s="15"/>
    </row>
    <row r="1447" customFormat="false" ht="12.75" hidden="false" customHeight="false" outlineLevel="0" collapsed="false">
      <c r="A1447" s="0" t="s">
        <v>73</v>
      </c>
      <c r="E1447" s="9" t="str">
        <f aca="false">IF(D1447="?OLD","!!!","")</f>
        <v/>
      </c>
      <c r="F1447" s="10" t="str">
        <f aca="false">IF(OR(E1447="",E1447="!!!"),"",IF(NOT(ISNA(VLOOKUP(E1447,E$1:E1446,1,FALSE()))),"OLD",IF(AND(E1447&lt;&gt;"",E1447&lt;&gt;"!!!"),"NEW","")))</f>
        <v/>
      </c>
      <c r="G1447" s="11" t="str">
        <f aca="false">IF(OR(E1447="",E1447="!!!"),"",IF(OR(J1447=0,AND(J1447=1,K1447=1),AND(J1447=1,I1447="SBJ"),AND(J1447=1,I1447=0)),"?IN_FOCUS",IF(J1447&lt;=2,"?ACTIVATED",IF(J1447&lt;&gt;"","?FAMILIAR",IF(F1447="NEW",IF(ISNA(VLOOKUP(E1447,#REF!,1,FALSE())),"?TYPE_IDENTIFIABLE","?REFERENTIAL"),"_")))))</f>
        <v/>
      </c>
      <c r="H1447" s="12" t="str">
        <f aca="false">IF(J1447&lt;&gt;1,"",IF(I1447="SBJ","CB","?"))</f>
        <v/>
      </c>
      <c r="I1447" s="13" t="str">
        <f aca="false">IF(OR(E1447="",E1447="!!!",F1447="NEW"),"",INDEX(B$2:B1446,-1+SUMPRODUCT(MAX(ROW(E$2:E1446)*(E1447=E$2:E1446)))))</f>
        <v/>
      </c>
      <c r="J1447" s="14" t="str">
        <f aca="true">IF(OR(E1447="",E1447="!!!",F1447="NEW"),"",COUNTBLANK(OFFSET(A$1,,,SUMPRODUCT(MAX(ROW(E$2:E1447)*(E1447=E$2:E1447)))))-COUNTBLANK(OFFSET(A$1,,,SUMPRODUCT(MAX(ROW(E$1:E1446)*(E1447=E$1:E1446))))))</f>
        <v/>
      </c>
      <c r="K1447" s="14" t="str">
        <f aca="false">IF(OR(E1447="",E1447="!!!",F1447="NEW"),"",INDEX(J$1:J1446,SUMPRODUCT(MAX(ROW(E$1:E1446)*(E1447=E$1:E1446)))))</f>
        <v/>
      </c>
      <c r="L1447" s="15"/>
    </row>
    <row r="1448" customFormat="false" ht="12.75" hidden="false" customHeight="false" outlineLevel="0" collapsed="false">
      <c r="E1448" s="9" t="str">
        <f aca="false">IF(D1448="?OLD","!!!","")</f>
        <v/>
      </c>
      <c r="F1448" s="10" t="str">
        <f aca="false">IF(OR(E1448="",E1448="!!!"),"",IF(NOT(ISNA(VLOOKUP(E1448,E$1:E1447,1,FALSE()))),"OLD",IF(AND(E1448&lt;&gt;"",E1448&lt;&gt;"!!!"),"NEW","")))</f>
        <v/>
      </c>
      <c r="G1448" s="11" t="str">
        <f aca="false">IF(OR(E1448="",E1448="!!!"),"",IF(OR(J1448=0,AND(J1448=1,K1448=1),AND(J1448=1,I1448="SBJ"),AND(J1448=1,I1448=0)),"?IN_FOCUS",IF(J1448&lt;=2,"?ACTIVATED",IF(J1448&lt;&gt;"","?FAMILIAR",IF(F1448="NEW",IF(ISNA(VLOOKUP(E1448,#REF!,1,FALSE())),"?TYPE_IDENTIFIABLE","?REFERENTIAL"),"_")))))</f>
        <v/>
      </c>
      <c r="H1448" s="12" t="str">
        <f aca="false">IF(J1448&lt;&gt;1,"",IF(I1448="SBJ","CB","?"))</f>
        <v/>
      </c>
      <c r="I1448" s="13" t="str">
        <f aca="false">IF(OR(E1448="",E1448="!!!",F1448="NEW"),"",INDEX(B$2:B1447,-1+SUMPRODUCT(MAX(ROW(E$2:E1447)*(E1448=E$2:E1447)))))</f>
        <v/>
      </c>
      <c r="J1448" s="14" t="str">
        <f aca="true">IF(OR(E1448="",E1448="!!!",F1448="NEW"),"",COUNTBLANK(OFFSET(A$1,,,SUMPRODUCT(MAX(ROW(E$2:E1448)*(E1448=E$2:E1448)))))-COUNTBLANK(OFFSET(A$1,,,SUMPRODUCT(MAX(ROW(E$1:E1447)*(E1448=E$1:E1447))))))</f>
        <v/>
      </c>
      <c r="K1448" s="14" t="str">
        <f aca="false">IF(OR(E1448="",E1448="!!!",F1448="NEW"),"",INDEX(J$1:J1447,SUMPRODUCT(MAX(ROW(E$1:E1447)*(E1448=E$1:E1447)))))</f>
        <v/>
      </c>
      <c r="L1448" s="15"/>
    </row>
    <row r="1449" customFormat="false" ht="12.75" hidden="false" customHeight="false" outlineLevel="0" collapsed="false">
      <c r="A1449" s="0" t="s">
        <v>648</v>
      </c>
      <c r="E1449" s="9" t="str">
        <f aca="false">IF(D1449="?OLD","!!!","")</f>
        <v/>
      </c>
      <c r="F1449" s="10" t="str">
        <f aca="false">IF(OR(E1449="",E1449="!!!"),"",IF(NOT(ISNA(VLOOKUP(E1449,E$1:E1448,1,FALSE()))),"OLD",IF(AND(E1449&lt;&gt;"",E1449&lt;&gt;"!!!"),"NEW","")))</f>
        <v/>
      </c>
      <c r="G1449" s="11" t="str">
        <f aca="false">IF(OR(E1449="",E1449="!!!"),"",IF(OR(J1449=0,AND(J1449=1,K1449=1),AND(J1449=1,I1449="SBJ"),AND(J1449=1,I1449=0)),"?IN_FOCUS",IF(J1449&lt;=2,"?ACTIVATED",IF(J1449&lt;&gt;"","?FAMILIAR",IF(F1449="NEW",IF(ISNA(VLOOKUP(E1449,#REF!,1,FALSE())),"?TYPE_IDENTIFIABLE","?REFERENTIAL"),"_")))))</f>
        <v/>
      </c>
      <c r="H1449" s="12" t="str">
        <f aca="false">IF(J1449&lt;&gt;1,"",IF(I1449="SBJ","CB","?"))</f>
        <v/>
      </c>
      <c r="I1449" s="13" t="str">
        <f aca="false">IF(OR(E1449="",E1449="!!!",F1449="NEW"),"",INDEX(B$2:B1448,-1+SUMPRODUCT(MAX(ROW(E$2:E1448)*(E1449=E$2:E1448)))))</f>
        <v/>
      </c>
      <c r="J1449" s="14" t="str">
        <f aca="true">IF(OR(E1449="",E1449="!!!",F1449="NEW"),"",COUNTBLANK(OFFSET(A$1,,,SUMPRODUCT(MAX(ROW(E$2:E1449)*(E1449=E$2:E1449)))))-COUNTBLANK(OFFSET(A$1,,,SUMPRODUCT(MAX(ROW(E$1:E1448)*(E1449=E$1:E1448))))))</f>
        <v/>
      </c>
      <c r="K1449" s="14" t="str">
        <f aca="false">IF(OR(E1449="",E1449="!!!",F1449="NEW"),"",INDEX(J$1:J1448,SUMPRODUCT(MAX(ROW(E$1:E1448)*(E1449=E$1:E1448)))))</f>
        <v/>
      </c>
      <c r="L1449" s="15"/>
    </row>
    <row r="1450" customFormat="false" ht="12.75" hidden="false" customHeight="false" outlineLevel="0" collapsed="false">
      <c r="A1450" s="0" t="s">
        <v>454</v>
      </c>
      <c r="E1450" s="9" t="str">
        <f aca="false">IF(D1450="?OLD","!!!","")</f>
        <v/>
      </c>
      <c r="F1450" s="10" t="str">
        <f aca="false">IF(OR(E1450="",E1450="!!!"),"",IF(NOT(ISNA(VLOOKUP(E1450,E$1:E1449,1,FALSE()))),"OLD",IF(AND(E1450&lt;&gt;"",E1450&lt;&gt;"!!!"),"NEW","")))</f>
        <v/>
      </c>
      <c r="G1450" s="11" t="str">
        <f aca="false">IF(OR(E1450="",E1450="!!!"),"",IF(OR(J1450=0,AND(J1450=1,K1450=1),AND(J1450=1,I1450="SBJ"),AND(J1450=1,I1450=0)),"?IN_FOCUS",IF(J1450&lt;=2,"?ACTIVATED",IF(J1450&lt;&gt;"","?FAMILIAR",IF(F1450="NEW",IF(ISNA(VLOOKUP(E1450,#REF!,1,FALSE())),"?TYPE_IDENTIFIABLE","?REFERENTIAL"),"_")))))</f>
        <v/>
      </c>
      <c r="H1450" s="12" t="str">
        <f aca="false">IF(J1450&lt;&gt;1,"",IF(I1450="SBJ","CB","?"))</f>
        <v/>
      </c>
      <c r="I1450" s="13" t="str">
        <f aca="false">IF(OR(E1450="",E1450="!!!",F1450="NEW"),"",INDEX(B$2:B1449,-1+SUMPRODUCT(MAX(ROW(E$2:E1449)*(E1450=E$2:E1449)))))</f>
        <v/>
      </c>
      <c r="J1450" s="14" t="str">
        <f aca="true">IF(OR(E1450="",E1450="!!!",F1450="NEW"),"",COUNTBLANK(OFFSET(A$1,,,SUMPRODUCT(MAX(ROW(E$2:E1450)*(E1450=E$2:E1450)))))-COUNTBLANK(OFFSET(A$1,,,SUMPRODUCT(MAX(ROW(E$1:E1449)*(E1450=E$1:E1449))))))</f>
        <v/>
      </c>
      <c r="K1450" s="14" t="str">
        <f aca="false">IF(OR(E1450="",E1450="!!!",F1450="NEW"),"",INDEX(J$1:J1449,SUMPRODUCT(MAX(ROW(E$1:E1449)*(E1450=E$1:E1449)))))</f>
        <v/>
      </c>
      <c r="L1450" s="15"/>
    </row>
    <row r="1451" customFormat="false" ht="12.75" hidden="false" customHeight="false" outlineLevel="0" collapsed="false">
      <c r="A1451" s="0" t="s">
        <v>159</v>
      </c>
      <c r="E1451" s="9" t="str">
        <f aca="false">IF(D1451="?OLD","!!!","")</f>
        <v/>
      </c>
      <c r="F1451" s="10" t="str">
        <f aca="false">IF(OR(E1451="",E1451="!!!"),"",IF(NOT(ISNA(VLOOKUP(E1451,E$1:E1450,1,FALSE()))),"OLD",IF(AND(E1451&lt;&gt;"",E1451&lt;&gt;"!!!"),"NEW","")))</f>
        <v/>
      </c>
      <c r="G1451" s="11" t="str">
        <f aca="false">IF(OR(E1451="",E1451="!!!"),"",IF(OR(J1451=0,AND(J1451=1,K1451=1),AND(J1451=1,I1451="SBJ"),AND(J1451=1,I1451=0)),"?IN_FOCUS",IF(J1451&lt;=2,"?ACTIVATED",IF(J1451&lt;&gt;"","?FAMILIAR",IF(F1451="NEW",IF(ISNA(VLOOKUP(E1451,#REF!,1,FALSE())),"?TYPE_IDENTIFIABLE","?REFERENTIAL"),"_")))))</f>
        <v/>
      </c>
      <c r="H1451" s="12" t="str">
        <f aca="false">IF(J1451&lt;&gt;1,"",IF(I1451="SBJ","CB","?"))</f>
        <v/>
      </c>
      <c r="I1451" s="13" t="str">
        <f aca="false">IF(OR(E1451="",E1451="!!!",F1451="NEW"),"",INDEX(B$2:B1450,-1+SUMPRODUCT(MAX(ROW(E$2:E1450)*(E1451=E$2:E1450)))))</f>
        <v/>
      </c>
      <c r="J1451" s="14" t="str">
        <f aca="true">IF(OR(E1451="",E1451="!!!",F1451="NEW"),"",COUNTBLANK(OFFSET(A$1,,,SUMPRODUCT(MAX(ROW(E$2:E1451)*(E1451=E$2:E1451)))))-COUNTBLANK(OFFSET(A$1,,,SUMPRODUCT(MAX(ROW(E$1:E1450)*(E1451=E$1:E1450))))))</f>
        <v/>
      </c>
      <c r="K1451" s="14" t="str">
        <f aca="false">IF(OR(E1451="",E1451="!!!",F1451="NEW"),"",INDEX(J$1:J1450,SUMPRODUCT(MAX(ROW(E$1:E1450)*(E1451=E$1:E1450)))))</f>
        <v/>
      </c>
      <c r="L1451" s="15"/>
    </row>
    <row r="1452" customFormat="false" ht="12.75" hidden="false" customHeight="false" outlineLevel="0" collapsed="false">
      <c r="A1452" s="0" t="s">
        <v>649</v>
      </c>
      <c r="E1452" s="9" t="str">
        <f aca="false">IF(D1452="?OLD","!!!","")</f>
        <v/>
      </c>
      <c r="F1452" s="10" t="str">
        <f aca="false">IF(OR(E1452="",E1452="!!!"),"",IF(NOT(ISNA(VLOOKUP(E1452,E$1:E1451,1,FALSE()))),"OLD",IF(AND(E1452&lt;&gt;"",E1452&lt;&gt;"!!!"),"NEW","")))</f>
        <v/>
      </c>
      <c r="G1452" s="11" t="str">
        <f aca="false">IF(OR(E1452="",E1452="!!!"),"",IF(OR(J1452=0,AND(J1452=1,K1452=1),AND(J1452=1,I1452="SBJ"),AND(J1452=1,I1452=0)),"?IN_FOCUS",IF(J1452&lt;=2,"?ACTIVATED",IF(J1452&lt;&gt;"","?FAMILIAR",IF(F1452="NEW",IF(ISNA(VLOOKUP(E1452,#REF!,1,FALSE())),"?TYPE_IDENTIFIABLE","?REFERENTIAL"),"_")))))</f>
        <v/>
      </c>
      <c r="H1452" s="12" t="str">
        <f aca="false">IF(J1452&lt;&gt;1,"",IF(I1452="SBJ","CB","?"))</f>
        <v/>
      </c>
      <c r="I1452" s="13" t="str">
        <f aca="false">IF(OR(E1452="",E1452="!!!",F1452="NEW"),"",INDEX(B$2:B1451,-1+SUMPRODUCT(MAX(ROW(E$2:E1451)*(E1452=E$2:E1451)))))</f>
        <v/>
      </c>
      <c r="J1452" s="14" t="str">
        <f aca="true">IF(OR(E1452="",E1452="!!!",F1452="NEW"),"",COUNTBLANK(OFFSET(A$1,,,SUMPRODUCT(MAX(ROW(E$2:E1452)*(E1452=E$2:E1452)))))-COUNTBLANK(OFFSET(A$1,,,SUMPRODUCT(MAX(ROW(E$1:E1451)*(E1452=E$1:E1451))))))</f>
        <v/>
      </c>
      <c r="K1452" s="14" t="str">
        <f aca="false">IF(OR(E1452="",E1452="!!!",F1452="NEW"),"",INDEX(J$1:J1451,SUMPRODUCT(MAX(ROW(E$1:E1451)*(E1452=E$1:E1451)))))</f>
        <v/>
      </c>
      <c r="L1452" s="15"/>
    </row>
    <row r="1453" customFormat="false" ht="12.75" hidden="false" customHeight="false" outlineLevel="0" collapsed="false">
      <c r="A1453" s="0" t="s">
        <v>66</v>
      </c>
      <c r="E1453" s="9" t="str">
        <f aca="false">IF(D1453="?OLD","!!!","")</f>
        <v/>
      </c>
      <c r="F1453" s="10" t="str">
        <f aca="false">IF(OR(E1453="",E1453="!!!"),"",IF(NOT(ISNA(VLOOKUP(E1453,E$1:E1452,1,FALSE()))),"OLD",IF(AND(E1453&lt;&gt;"",E1453&lt;&gt;"!!!"),"NEW","")))</f>
        <v/>
      </c>
      <c r="G1453" s="11" t="str">
        <f aca="false">IF(OR(E1453="",E1453="!!!"),"",IF(OR(J1453=0,AND(J1453=1,K1453=1),AND(J1453=1,I1453="SBJ"),AND(J1453=1,I1453=0)),"?IN_FOCUS",IF(J1453&lt;=2,"?ACTIVATED",IF(J1453&lt;&gt;"","?FAMILIAR",IF(F1453="NEW",IF(ISNA(VLOOKUP(E1453,#REF!,1,FALSE())),"?TYPE_IDENTIFIABLE","?REFERENTIAL"),"_")))))</f>
        <v/>
      </c>
      <c r="H1453" s="12" t="str">
        <f aca="false">IF(J1453&lt;&gt;1,"",IF(I1453="SBJ","CB","?"))</f>
        <v/>
      </c>
      <c r="I1453" s="13" t="str">
        <f aca="false">IF(OR(E1453="",E1453="!!!",F1453="NEW"),"",INDEX(B$2:B1452,-1+SUMPRODUCT(MAX(ROW(E$2:E1452)*(E1453=E$2:E1452)))))</f>
        <v/>
      </c>
      <c r="J1453" s="14" t="str">
        <f aca="true">IF(OR(E1453="",E1453="!!!",F1453="NEW"),"",COUNTBLANK(OFFSET(A$1,,,SUMPRODUCT(MAX(ROW(E$2:E1453)*(E1453=E$2:E1453)))))-COUNTBLANK(OFFSET(A$1,,,SUMPRODUCT(MAX(ROW(E$1:E1452)*(E1453=E$1:E1452))))))</f>
        <v/>
      </c>
      <c r="K1453" s="14" t="str">
        <f aca="false">IF(OR(E1453="",E1453="!!!",F1453="NEW"),"",INDEX(J$1:J1452,SUMPRODUCT(MAX(ROW(E$1:E1452)*(E1453=E$1:E1452)))))</f>
        <v/>
      </c>
      <c r="L1453" s="15"/>
    </row>
    <row r="1454" customFormat="false" ht="12.75" hidden="false" customHeight="false" outlineLevel="0" collapsed="false">
      <c r="A1454" s="0" t="s">
        <v>650</v>
      </c>
      <c r="B1454" s="0" t="s">
        <v>37</v>
      </c>
      <c r="C1454" s="0" t="s">
        <v>111</v>
      </c>
      <c r="D1454" s="0" t="s">
        <v>29</v>
      </c>
      <c r="E1454" s="9" t="str">
        <f aca="false">IF(D1454="?OLD","!!!","")</f>
        <v>!!!</v>
      </c>
      <c r="F1454" s="10" t="str">
        <f aca="false">IF(OR(E1454="",E1454="!!!"),"",IF(NOT(ISNA(VLOOKUP(E1454,E$1:E1453,1,FALSE()))),"OLD",IF(AND(E1454&lt;&gt;"",E1454&lt;&gt;"!!!"),"NEW","")))</f>
        <v/>
      </c>
      <c r="G1454" s="11" t="str">
        <f aca="false">IF(OR(E1454="",E1454="!!!"),"",IF(OR(J1454=0,AND(J1454=1,K1454=1),AND(J1454=1,I1454="SBJ"),AND(J1454=1,I1454=0)),"?IN_FOCUS",IF(J1454&lt;=2,"?ACTIVATED",IF(J1454&lt;&gt;"","?FAMILIAR",IF(F1454="NEW",IF(ISNA(VLOOKUP(E1454,#REF!,1,FALSE())),"?TYPE_IDENTIFIABLE","?REFERENTIAL"),"_")))))</f>
        <v/>
      </c>
      <c r="H1454" s="12" t="str">
        <f aca="false">IF(J1454&lt;&gt;1,"",IF(I1454="SBJ","CB","?"))</f>
        <v/>
      </c>
      <c r="I1454" s="13" t="str">
        <f aca="false">IF(OR(E1454="",E1454="!!!",F1454="NEW"),"",INDEX(B$2:B1453,-1+SUMPRODUCT(MAX(ROW(E$2:E1453)*(E1454=E$2:E1453)))))</f>
        <v/>
      </c>
      <c r="J1454" s="14" t="str">
        <f aca="true">IF(OR(E1454="",E1454="!!!",F1454="NEW"),"",COUNTBLANK(OFFSET(A$1,,,SUMPRODUCT(MAX(ROW(E$2:E1454)*(E1454=E$2:E1454)))))-COUNTBLANK(OFFSET(A$1,,,SUMPRODUCT(MAX(ROW(E$1:E1453)*(E1454=E$1:E1453))))))</f>
        <v/>
      </c>
      <c r="K1454" s="14" t="str">
        <f aca="false">IF(OR(E1454="",E1454="!!!",F1454="NEW"),"",INDEX(J$1:J1453,SUMPRODUCT(MAX(ROW(E$1:E1453)*(E1454=E$1:E1453)))))</f>
        <v/>
      </c>
      <c r="L1454" s="15"/>
    </row>
    <row r="1455" customFormat="false" ht="12.75" hidden="false" customHeight="false" outlineLevel="0" collapsed="false">
      <c r="A1455" s="0" t="s">
        <v>136</v>
      </c>
      <c r="E1455" s="9" t="str">
        <f aca="false">IF(D1455="?OLD","!!!","")</f>
        <v/>
      </c>
      <c r="F1455" s="10" t="str">
        <f aca="false">IF(OR(E1455="",E1455="!!!"),"",IF(NOT(ISNA(VLOOKUP(E1455,E$1:E1454,1,FALSE()))),"OLD",IF(AND(E1455&lt;&gt;"",E1455&lt;&gt;"!!!"),"NEW","")))</f>
        <v/>
      </c>
      <c r="G1455" s="11" t="str">
        <f aca="false">IF(OR(E1455="",E1455="!!!"),"",IF(OR(J1455=0,AND(J1455=1,K1455=1),AND(J1455=1,I1455="SBJ"),AND(J1455=1,I1455=0)),"?IN_FOCUS",IF(J1455&lt;=2,"?ACTIVATED",IF(J1455&lt;&gt;"","?FAMILIAR",IF(F1455="NEW",IF(ISNA(VLOOKUP(E1455,#REF!,1,FALSE())),"?TYPE_IDENTIFIABLE","?REFERENTIAL"),"_")))))</f>
        <v/>
      </c>
      <c r="H1455" s="12" t="str">
        <f aca="false">IF(J1455&lt;&gt;1,"",IF(I1455="SBJ","CB","?"))</f>
        <v/>
      </c>
      <c r="I1455" s="13" t="str">
        <f aca="false">IF(OR(E1455="",E1455="!!!",F1455="NEW"),"",INDEX(B$2:B1454,-1+SUMPRODUCT(MAX(ROW(E$2:E1454)*(E1455=E$2:E1454)))))</f>
        <v/>
      </c>
      <c r="J1455" s="14" t="str">
        <f aca="true">IF(OR(E1455="",E1455="!!!",F1455="NEW"),"",COUNTBLANK(OFFSET(A$1,,,SUMPRODUCT(MAX(ROW(E$2:E1455)*(E1455=E$2:E1455)))))-COUNTBLANK(OFFSET(A$1,,,SUMPRODUCT(MAX(ROW(E$1:E1454)*(E1455=E$1:E1454))))))</f>
        <v/>
      </c>
      <c r="K1455" s="14" t="str">
        <f aca="false">IF(OR(E1455="",E1455="!!!",F1455="NEW"),"",INDEX(J$1:J1454,SUMPRODUCT(MAX(ROW(E$1:E1454)*(E1455=E$1:E1454)))))</f>
        <v/>
      </c>
      <c r="L1455" s="15"/>
    </row>
    <row r="1456" customFormat="false" ht="12.75" hidden="false" customHeight="false" outlineLevel="0" collapsed="false">
      <c r="A1456" s="0" t="s">
        <v>66</v>
      </c>
      <c r="E1456" s="9" t="str">
        <f aca="false">IF(D1456="?OLD","!!!","")</f>
        <v/>
      </c>
      <c r="F1456" s="10" t="str">
        <f aca="false">IF(OR(E1456="",E1456="!!!"),"",IF(NOT(ISNA(VLOOKUP(E1456,E$1:E1455,1,FALSE()))),"OLD",IF(AND(E1456&lt;&gt;"",E1456&lt;&gt;"!!!"),"NEW","")))</f>
        <v/>
      </c>
      <c r="G1456" s="11" t="str">
        <f aca="false">IF(OR(E1456="",E1456="!!!"),"",IF(OR(J1456=0,AND(J1456=1,K1456=1),AND(J1456=1,I1456="SBJ"),AND(J1456=1,I1456=0)),"?IN_FOCUS",IF(J1456&lt;=2,"?ACTIVATED",IF(J1456&lt;&gt;"","?FAMILIAR",IF(F1456="NEW",IF(ISNA(VLOOKUP(E1456,#REF!,1,FALSE())),"?TYPE_IDENTIFIABLE","?REFERENTIAL"),"_")))))</f>
        <v/>
      </c>
      <c r="H1456" s="12" t="str">
        <f aca="false">IF(J1456&lt;&gt;1,"",IF(I1456="SBJ","CB","?"))</f>
        <v/>
      </c>
      <c r="I1456" s="13" t="str">
        <f aca="false">IF(OR(E1456="",E1456="!!!",F1456="NEW"),"",INDEX(B$2:B1455,-1+SUMPRODUCT(MAX(ROW(E$2:E1455)*(E1456=E$2:E1455)))))</f>
        <v/>
      </c>
      <c r="J1456" s="14" t="str">
        <f aca="true">IF(OR(E1456="",E1456="!!!",F1456="NEW"),"",COUNTBLANK(OFFSET(A$1,,,SUMPRODUCT(MAX(ROW(E$2:E1456)*(E1456=E$2:E1456)))))-COUNTBLANK(OFFSET(A$1,,,SUMPRODUCT(MAX(ROW(E$1:E1455)*(E1456=E$1:E1455))))))</f>
        <v/>
      </c>
      <c r="K1456" s="14" t="str">
        <f aca="false">IF(OR(E1456="",E1456="!!!",F1456="NEW"),"",INDEX(J$1:J1455,SUMPRODUCT(MAX(ROW(E$1:E1455)*(E1456=E$1:E1455)))))</f>
        <v/>
      </c>
      <c r="L1456" s="15"/>
    </row>
    <row r="1457" customFormat="false" ht="12.75" hidden="false" customHeight="false" outlineLevel="0" collapsed="false">
      <c r="A1457" s="0" t="s">
        <v>410</v>
      </c>
      <c r="E1457" s="9" t="str">
        <f aca="false">IF(D1457="?OLD","!!!","")</f>
        <v/>
      </c>
      <c r="F1457" s="10" t="str">
        <f aca="false">IF(OR(E1457="",E1457="!!!"),"",IF(NOT(ISNA(VLOOKUP(E1457,E$1:E1456,1,FALSE()))),"OLD",IF(AND(E1457&lt;&gt;"",E1457&lt;&gt;"!!!"),"NEW","")))</f>
        <v/>
      </c>
      <c r="G1457" s="11" t="str">
        <f aca="false">IF(OR(E1457="",E1457="!!!"),"",IF(OR(J1457=0,AND(J1457=1,K1457=1),AND(J1457=1,I1457="SBJ"),AND(J1457=1,I1457=0)),"?IN_FOCUS",IF(J1457&lt;=2,"?ACTIVATED",IF(J1457&lt;&gt;"","?FAMILIAR",IF(F1457="NEW",IF(ISNA(VLOOKUP(E1457,#REF!,1,FALSE())),"?TYPE_IDENTIFIABLE","?REFERENTIAL"),"_")))))</f>
        <v/>
      </c>
      <c r="H1457" s="12" t="str">
        <f aca="false">IF(J1457&lt;&gt;1,"",IF(I1457="SBJ","CB","?"))</f>
        <v/>
      </c>
      <c r="I1457" s="13" t="str">
        <f aca="false">IF(OR(E1457="",E1457="!!!",F1457="NEW"),"",INDEX(B$2:B1456,-1+SUMPRODUCT(MAX(ROW(E$2:E1456)*(E1457=E$2:E1456)))))</f>
        <v/>
      </c>
      <c r="J1457" s="14" t="str">
        <f aca="true">IF(OR(E1457="",E1457="!!!",F1457="NEW"),"",COUNTBLANK(OFFSET(A$1,,,SUMPRODUCT(MAX(ROW(E$2:E1457)*(E1457=E$2:E1457)))))-COUNTBLANK(OFFSET(A$1,,,SUMPRODUCT(MAX(ROW(E$1:E1456)*(E1457=E$1:E1456))))))</f>
        <v/>
      </c>
      <c r="K1457" s="14" t="str">
        <f aca="false">IF(OR(E1457="",E1457="!!!",F1457="NEW"),"",INDEX(J$1:J1456,SUMPRODUCT(MAX(ROW(E$1:E1456)*(E1457=E$1:E1456)))))</f>
        <v/>
      </c>
      <c r="L1457" s="15"/>
    </row>
    <row r="1458" customFormat="false" ht="12.75" hidden="false" customHeight="false" outlineLevel="0" collapsed="false">
      <c r="A1458" s="0" t="s">
        <v>68</v>
      </c>
      <c r="E1458" s="9" t="str">
        <f aca="false">IF(D1458="?OLD","!!!","")</f>
        <v/>
      </c>
      <c r="F1458" s="10" t="str">
        <f aca="false">IF(OR(E1458="",E1458="!!!"),"",IF(NOT(ISNA(VLOOKUP(E1458,E$1:E1457,1,FALSE()))),"OLD",IF(AND(E1458&lt;&gt;"",E1458&lt;&gt;"!!!"),"NEW","")))</f>
        <v/>
      </c>
      <c r="G1458" s="11" t="str">
        <f aca="false">IF(OR(E1458="",E1458="!!!"),"",IF(OR(J1458=0,AND(J1458=1,K1458=1),AND(J1458=1,I1458="SBJ"),AND(J1458=1,I1458=0)),"?IN_FOCUS",IF(J1458&lt;=2,"?ACTIVATED",IF(J1458&lt;&gt;"","?FAMILIAR",IF(F1458="NEW",IF(ISNA(VLOOKUP(E1458,#REF!,1,FALSE())),"?TYPE_IDENTIFIABLE","?REFERENTIAL"),"_")))))</f>
        <v/>
      </c>
      <c r="H1458" s="12" t="str">
        <f aca="false">IF(J1458&lt;&gt;1,"",IF(I1458="SBJ","CB","?"))</f>
        <v/>
      </c>
      <c r="I1458" s="13" t="str">
        <f aca="false">IF(OR(E1458="",E1458="!!!",F1458="NEW"),"",INDEX(B$2:B1457,-1+SUMPRODUCT(MAX(ROW(E$2:E1457)*(E1458=E$2:E1457)))))</f>
        <v/>
      </c>
      <c r="J1458" s="14" t="str">
        <f aca="true">IF(OR(E1458="",E1458="!!!",F1458="NEW"),"",COUNTBLANK(OFFSET(A$1,,,SUMPRODUCT(MAX(ROW(E$2:E1458)*(E1458=E$2:E1458)))))-COUNTBLANK(OFFSET(A$1,,,SUMPRODUCT(MAX(ROW(E$1:E1457)*(E1458=E$1:E1457))))))</f>
        <v/>
      </c>
      <c r="K1458" s="14" t="str">
        <f aca="false">IF(OR(E1458="",E1458="!!!",F1458="NEW"),"",INDEX(J$1:J1457,SUMPRODUCT(MAX(ROW(E$1:E1457)*(E1458=E$1:E1457)))))</f>
        <v/>
      </c>
      <c r="L1458" s="15"/>
    </row>
    <row r="1459" customFormat="false" ht="12.75" hidden="false" customHeight="false" outlineLevel="0" collapsed="false">
      <c r="A1459" s="0" t="s">
        <v>411</v>
      </c>
      <c r="B1459" s="0" t="s">
        <v>62</v>
      </c>
      <c r="C1459" s="0" t="s">
        <v>111</v>
      </c>
      <c r="D1459" s="0" t="s">
        <v>29</v>
      </c>
      <c r="E1459" s="9" t="str">
        <f aca="false">IF(D1459="?OLD","!!!","")</f>
        <v>!!!</v>
      </c>
      <c r="F1459" s="10" t="str">
        <f aca="false">IF(OR(E1459="",E1459="!!!"),"",IF(NOT(ISNA(VLOOKUP(E1459,E$1:E1458,1,FALSE()))),"OLD",IF(AND(E1459&lt;&gt;"",E1459&lt;&gt;"!!!"),"NEW","")))</f>
        <v/>
      </c>
      <c r="G1459" s="11" t="str">
        <f aca="false">IF(OR(E1459="",E1459="!!!"),"",IF(OR(J1459=0,AND(J1459=1,K1459=1),AND(J1459=1,I1459="SBJ"),AND(J1459=1,I1459=0)),"?IN_FOCUS",IF(J1459&lt;=2,"?ACTIVATED",IF(J1459&lt;&gt;"","?FAMILIAR",IF(F1459="NEW",IF(ISNA(VLOOKUP(E1459,#REF!,1,FALSE())),"?TYPE_IDENTIFIABLE","?REFERENTIAL"),"_")))))</f>
        <v/>
      </c>
      <c r="H1459" s="12" t="str">
        <f aca="false">IF(J1459&lt;&gt;1,"",IF(I1459="SBJ","CB","?"))</f>
        <v/>
      </c>
      <c r="I1459" s="13" t="str">
        <f aca="false">IF(OR(E1459="",E1459="!!!",F1459="NEW"),"",INDEX(B$2:B1458,-1+SUMPRODUCT(MAX(ROW(E$2:E1458)*(E1459=E$2:E1458)))))</f>
        <v/>
      </c>
      <c r="J1459" s="14" t="str">
        <f aca="true">IF(OR(E1459="",E1459="!!!",F1459="NEW"),"",COUNTBLANK(OFFSET(A$1,,,SUMPRODUCT(MAX(ROW(E$2:E1459)*(E1459=E$2:E1459)))))-COUNTBLANK(OFFSET(A$1,,,SUMPRODUCT(MAX(ROW(E$1:E1458)*(E1459=E$1:E1458))))))</f>
        <v/>
      </c>
      <c r="K1459" s="14" t="str">
        <f aca="false">IF(OR(E1459="",E1459="!!!",F1459="NEW"),"",INDEX(J$1:J1458,SUMPRODUCT(MAX(ROW(E$1:E1458)*(E1459=E$1:E1458)))))</f>
        <v/>
      </c>
      <c r="L1459" s="15"/>
    </row>
    <row r="1460" customFormat="false" ht="12.75" hidden="false" customHeight="false" outlineLevel="0" collapsed="false">
      <c r="A1460" s="0" t="s">
        <v>534</v>
      </c>
      <c r="E1460" s="9" t="str">
        <f aca="false">IF(D1460="?OLD","!!!","")</f>
        <v/>
      </c>
      <c r="F1460" s="10" t="str">
        <f aca="false">IF(OR(E1460="",E1460="!!!"),"",IF(NOT(ISNA(VLOOKUP(E1460,E$1:E1459,1,FALSE()))),"OLD",IF(AND(E1460&lt;&gt;"",E1460&lt;&gt;"!!!"),"NEW","")))</f>
        <v/>
      </c>
      <c r="G1460" s="11" t="str">
        <f aca="false">IF(OR(E1460="",E1460="!!!"),"",IF(OR(J1460=0,AND(J1460=1,K1460=1),AND(J1460=1,I1460="SBJ"),AND(J1460=1,I1460=0)),"?IN_FOCUS",IF(J1460&lt;=2,"?ACTIVATED",IF(J1460&lt;&gt;"","?FAMILIAR",IF(F1460="NEW",IF(ISNA(VLOOKUP(E1460,#REF!,1,FALSE())),"?TYPE_IDENTIFIABLE","?REFERENTIAL"),"_")))))</f>
        <v/>
      </c>
      <c r="H1460" s="12" t="str">
        <f aca="false">IF(J1460&lt;&gt;1,"",IF(I1460="SBJ","CB","?"))</f>
        <v/>
      </c>
      <c r="I1460" s="13" t="str">
        <f aca="false">IF(OR(E1460="",E1460="!!!",F1460="NEW"),"",INDEX(B$2:B1459,-1+SUMPRODUCT(MAX(ROW(E$2:E1459)*(E1460=E$2:E1459)))))</f>
        <v/>
      </c>
      <c r="J1460" s="14" t="str">
        <f aca="true">IF(OR(E1460="",E1460="!!!",F1460="NEW"),"",COUNTBLANK(OFFSET(A$1,,,SUMPRODUCT(MAX(ROW(E$2:E1460)*(E1460=E$2:E1460)))))-COUNTBLANK(OFFSET(A$1,,,SUMPRODUCT(MAX(ROW(E$1:E1459)*(E1460=E$1:E1459))))))</f>
        <v/>
      </c>
      <c r="K1460" s="14" t="str">
        <f aca="false">IF(OR(E1460="",E1460="!!!",F1460="NEW"),"",INDEX(J$1:J1459,SUMPRODUCT(MAX(ROW(E$1:E1459)*(E1460=E$1:E1459)))))</f>
        <v/>
      </c>
      <c r="L1460" s="15"/>
    </row>
    <row r="1461" customFormat="false" ht="12.75" hidden="false" customHeight="false" outlineLevel="0" collapsed="false">
      <c r="A1461" s="0" t="s">
        <v>66</v>
      </c>
      <c r="E1461" s="9" t="str">
        <f aca="false">IF(D1461="?OLD","!!!","")</f>
        <v/>
      </c>
      <c r="F1461" s="10" t="str">
        <f aca="false">IF(OR(E1461="",E1461="!!!"),"",IF(NOT(ISNA(VLOOKUP(E1461,E$1:E1460,1,FALSE()))),"OLD",IF(AND(E1461&lt;&gt;"",E1461&lt;&gt;"!!!"),"NEW","")))</f>
        <v/>
      </c>
      <c r="G1461" s="11" t="str">
        <f aca="false">IF(OR(E1461="",E1461="!!!"),"",IF(OR(J1461=0,AND(J1461=1,K1461=1),AND(J1461=1,I1461="SBJ"),AND(J1461=1,I1461=0)),"?IN_FOCUS",IF(J1461&lt;=2,"?ACTIVATED",IF(J1461&lt;&gt;"","?FAMILIAR",IF(F1461="NEW",IF(ISNA(VLOOKUP(E1461,#REF!,1,FALSE())),"?TYPE_IDENTIFIABLE","?REFERENTIAL"),"_")))))</f>
        <v/>
      </c>
      <c r="H1461" s="12" t="str">
        <f aca="false">IF(J1461&lt;&gt;1,"",IF(I1461="SBJ","CB","?"))</f>
        <v/>
      </c>
      <c r="I1461" s="13" t="str">
        <f aca="false">IF(OR(E1461="",E1461="!!!",F1461="NEW"),"",INDEX(B$2:B1460,-1+SUMPRODUCT(MAX(ROW(E$2:E1460)*(E1461=E$2:E1460)))))</f>
        <v/>
      </c>
      <c r="J1461" s="14" t="str">
        <f aca="true">IF(OR(E1461="",E1461="!!!",F1461="NEW"),"",COUNTBLANK(OFFSET(A$1,,,SUMPRODUCT(MAX(ROW(E$2:E1461)*(E1461=E$2:E1461)))))-COUNTBLANK(OFFSET(A$1,,,SUMPRODUCT(MAX(ROW(E$1:E1460)*(E1461=E$1:E1460))))))</f>
        <v/>
      </c>
      <c r="K1461" s="14" t="str">
        <f aca="false">IF(OR(E1461="",E1461="!!!",F1461="NEW"),"",INDEX(J$1:J1460,SUMPRODUCT(MAX(ROW(E$1:E1460)*(E1461=E$1:E1460)))))</f>
        <v/>
      </c>
      <c r="L1461" s="15"/>
    </row>
    <row r="1462" customFormat="false" ht="12.75" hidden="false" customHeight="false" outlineLevel="0" collapsed="false">
      <c r="A1462" s="0" t="s">
        <v>361</v>
      </c>
      <c r="E1462" s="9" t="str">
        <f aca="false">IF(D1462="?OLD","!!!","")</f>
        <v/>
      </c>
      <c r="F1462" s="10" t="str">
        <f aca="false">IF(OR(E1462="",E1462="!!!"),"",IF(NOT(ISNA(VLOOKUP(E1462,E$1:E1461,1,FALSE()))),"OLD",IF(AND(E1462&lt;&gt;"",E1462&lt;&gt;"!!!"),"NEW","")))</f>
        <v/>
      </c>
      <c r="G1462" s="11" t="str">
        <f aca="false">IF(OR(E1462="",E1462="!!!"),"",IF(OR(J1462=0,AND(J1462=1,K1462=1),AND(J1462=1,I1462="SBJ"),AND(J1462=1,I1462=0)),"?IN_FOCUS",IF(J1462&lt;=2,"?ACTIVATED",IF(J1462&lt;&gt;"","?FAMILIAR",IF(F1462="NEW",IF(ISNA(VLOOKUP(E1462,#REF!,1,FALSE())),"?TYPE_IDENTIFIABLE","?REFERENTIAL"),"_")))))</f>
        <v/>
      </c>
      <c r="H1462" s="12" t="str">
        <f aca="false">IF(J1462&lt;&gt;1,"",IF(I1462="SBJ","CB","?"))</f>
        <v/>
      </c>
      <c r="I1462" s="13" t="str">
        <f aca="false">IF(OR(E1462="",E1462="!!!",F1462="NEW"),"",INDEX(B$2:B1461,-1+SUMPRODUCT(MAX(ROW(E$2:E1461)*(E1462=E$2:E1461)))))</f>
        <v/>
      </c>
      <c r="J1462" s="14" t="str">
        <f aca="true">IF(OR(E1462="",E1462="!!!",F1462="NEW"),"",COUNTBLANK(OFFSET(A$1,,,SUMPRODUCT(MAX(ROW(E$2:E1462)*(E1462=E$2:E1462)))))-COUNTBLANK(OFFSET(A$1,,,SUMPRODUCT(MAX(ROW(E$1:E1461)*(E1462=E$1:E1461))))))</f>
        <v/>
      </c>
      <c r="K1462" s="14" t="str">
        <f aca="false">IF(OR(E1462="",E1462="!!!",F1462="NEW"),"",INDEX(J$1:J1461,SUMPRODUCT(MAX(ROW(E$1:E1461)*(E1462=E$1:E1461)))))</f>
        <v/>
      </c>
      <c r="L1462" s="15"/>
    </row>
    <row r="1463" customFormat="false" ht="12.75" hidden="false" customHeight="false" outlineLevel="0" collapsed="false">
      <c r="A1463" s="0" t="s">
        <v>455</v>
      </c>
      <c r="B1463" s="0" t="s">
        <v>47</v>
      </c>
      <c r="C1463" s="0" t="s">
        <v>405</v>
      </c>
      <c r="D1463" s="0" t="s">
        <v>29</v>
      </c>
      <c r="E1463" s="9" t="str">
        <f aca="false">IF(D1463="?OLD","!!!","")</f>
        <v>!!!</v>
      </c>
      <c r="F1463" s="10" t="str">
        <f aca="false">IF(OR(E1463="",E1463="!!!"),"",IF(NOT(ISNA(VLOOKUP(E1463,E$1:E1462,1,FALSE()))),"OLD",IF(AND(E1463&lt;&gt;"",E1463&lt;&gt;"!!!"),"NEW","")))</f>
        <v/>
      </c>
      <c r="G1463" s="11" t="str">
        <f aca="false">IF(OR(E1463="",E1463="!!!"),"",IF(OR(J1463=0,AND(J1463=1,K1463=1),AND(J1463=1,I1463="SBJ"),AND(J1463=1,I1463=0)),"?IN_FOCUS",IF(J1463&lt;=2,"?ACTIVATED",IF(J1463&lt;&gt;"","?FAMILIAR",IF(F1463="NEW",IF(ISNA(VLOOKUP(E1463,#REF!,1,FALSE())),"?TYPE_IDENTIFIABLE","?REFERENTIAL"),"_")))))</f>
        <v/>
      </c>
      <c r="H1463" s="12" t="str">
        <f aca="false">IF(J1463&lt;&gt;1,"",IF(I1463="SBJ","CB","?"))</f>
        <v/>
      </c>
      <c r="I1463" s="13" t="str">
        <f aca="false">IF(OR(E1463="",E1463="!!!",F1463="NEW"),"",INDEX(B$2:B1462,-1+SUMPRODUCT(MAX(ROW(E$2:E1462)*(E1463=E$2:E1462)))))</f>
        <v/>
      </c>
      <c r="J1463" s="14" t="str">
        <f aca="true">IF(OR(E1463="",E1463="!!!",F1463="NEW"),"",COUNTBLANK(OFFSET(A$1,,,SUMPRODUCT(MAX(ROW(E$2:E1463)*(E1463=E$2:E1463)))))-COUNTBLANK(OFFSET(A$1,,,SUMPRODUCT(MAX(ROW(E$1:E1462)*(E1463=E$1:E1462))))))</f>
        <v/>
      </c>
      <c r="K1463" s="14" t="str">
        <f aca="false">IF(OR(E1463="",E1463="!!!",F1463="NEW"),"",INDEX(J$1:J1462,SUMPRODUCT(MAX(ROW(E$1:E1462)*(E1463=E$1:E1462)))))</f>
        <v/>
      </c>
      <c r="L1463" s="15"/>
    </row>
    <row r="1464" customFormat="false" ht="12.75" hidden="false" customHeight="false" outlineLevel="0" collapsed="false">
      <c r="A1464" s="0" t="s">
        <v>31</v>
      </c>
      <c r="E1464" s="9" t="str">
        <f aca="false">IF(D1464="?OLD","!!!","")</f>
        <v/>
      </c>
      <c r="F1464" s="10" t="str">
        <f aca="false">IF(OR(E1464="",E1464="!!!"),"",IF(NOT(ISNA(VLOOKUP(E1464,E$1:E1463,1,FALSE()))),"OLD",IF(AND(E1464&lt;&gt;"",E1464&lt;&gt;"!!!"),"NEW","")))</f>
        <v/>
      </c>
      <c r="G1464" s="11" t="str">
        <f aca="false">IF(OR(E1464="",E1464="!!!"),"",IF(OR(J1464=0,AND(J1464=1,K1464=1),AND(J1464=1,I1464="SBJ"),AND(J1464=1,I1464=0)),"?IN_FOCUS",IF(J1464&lt;=2,"?ACTIVATED",IF(J1464&lt;&gt;"","?FAMILIAR",IF(F1464="NEW",IF(ISNA(VLOOKUP(E1464,#REF!,1,FALSE())),"?TYPE_IDENTIFIABLE","?REFERENTIAL"),"_")))))</f>
        <v/>
      </c>
      <c r="H1464" s="12" t="str">
        <f aca="false">IF(J1464&lt;&gt;1,"",IF(I1464="SBJ","CB","?"))</f>
        <v/>
      </c>
      <c r="I1464" s="13" t="str">
        <f aca="false">IF(OR(E1464="",E1464="!!!",F1464="NEW"),"",INDEX(B$2:B1463,-1+SUMPRODUCT(MAX(ROW(E$2:E1463)*(E1464=E$2:E1463)))))</f>
        <v/>
      </c>
      <c r="J1464" s="14" t="str">
        <f aca="true">IF(OR(E1464="",E1464="!!!",F1464="NEW"),"",COUNTBLANK(OFFSET(A$1,,,SUMPRODUCT(MAX(ROW(E$2:E1464)*(E1464=E$2:E1464)))))-COUNTBLANK(OFFSET(A$1,,,SUMPRODUCT(MAX(ROW(E$1:E1463)*(E1464=E$1:E1463))))))</f>
        <v/>
      </c>
      <c r="K1464" s="14" t="str">
        <f aca="false">IF(OR(E1464="",E1464="!!!",F1464="NEW"),"",INDEX(J$1:J1463,SUMPRODUCT(MAX(ROW(E$1:E1463)*(E1464=E$1:E1463)))))</f>
        <v/>
      </c>
      <c r="L1464" s="15"/>
    </row>
    <row r="1465" customFormat="false" ht="12.75" hidden="false" customHeight="false" outlineLevel="0" collapsed="false">
      <c r="A1465" s="0" t="s">
        <v>66</v>
      </c>
      <c r="E1465" s="9" t="str">
        <f aca="false">IF(D1465="?OLD","!!!","")</f>
        <v/>
      </c>
      <c r="F1465" s="10" t="str">
        <f aca="false">IF(OR(E1465="",E1465="!!!"),"",IF(NOT(ISNA(VLOOKUP(E1465,E$1:E1464,1,FALSE()))),"OLD",IF(AND(E1465&lt;&gt;"",E1465&lt;&gt;"!!!"),"NEW","")))</f>
        <v/>
      </c>
      <c r="G1465" s="11" t="str">
        <f aca="false">IF(OR(E1465="",E1465="!!!"),"",IF(OR(J1465=0,AND(J1465=1,K1465=1),AND(J1465=1,I1465="SBJ"),AND(J1465=1,I1465=0)),"?IN_FOCUS",IF(J1465&lt;=2,"?ACTIVATED",IF(J1465&lt;&gt;"","?FAMILIAR",IF(F1465="NEW",IF(ISNA(VLOOKUP(E1465,#REF!,1,FALSE())),"?TYPE_IDENTIFIABLE","?REFERENTIAL"),"_")))))</f>
        <v/>
      </c>
      <c r="H1465" s="12" t="str">
        <f aca="false">IF(J1465&lt;&gt;1,"",IF(I1465="SBJ","CB","?"))</f>
        <v/>
      </c>
      <c r="I1465" s="13" t="str">
        <f aca="false">IF(OR(E1465="",E1465="!!!",F1465="NEW"),"",INDEX(B$2:B1464,-1+SUMPRODUCT(MAX(ROW(E$2:E1464)*(E1465=E$2:E1464)))))</f>
        <v/>
      </c>
      <c r="J1465" s="14" t="str">
        <f aca="true">IF(OR(E1465="",E1465="!!!",F1465="NEW"),"",COUNTBLANK(OFFSET(A$1,,,SUMPRODUCT(MAX(ROW(E$2:E1465)*(E1465=E$2:E1465)))))-COUNTBLANK(OFFSET(A$1,,,SUMPRODUCT(MAX(ROW(E$1:E1464)*(E1465=E$1:E1464))))))</f>
        <v/>
      </c>
      <c r="K1465" s="14" t="str">
        <f aca="false">IF(OR(E1465="",E1465="!!!",F1465="NEW"),"",INDEX(J$1:J1464,SUMPRODUCT(MAX(ROW(E$1:E1464)*(E1465=E$1:E1464)))))</f>
        <v/>
      </c>
      <c r="L1465" s="15"/>
    </row>
    <row r="1466" customFormat="false" ht="12.75" hidden="false" customHeight="false" outlineLevel="0" collapsed="false">
      <c r="A1466" s="0" t="s">
        <v>651</v>
      </c>
      <c r="E1466" s="9" t="str">
        <f aca="false">IF(D1466="?OLD","!!!","")</f>
        <v/>
      </c>
      <c r="F1466" s="10" t="str">
        <f aca="false">IF(OR(E1466="",E1466="!!!"),"",IF(NOT(ISNA(VLOOKUP(E1466,E$1:E1465,1,FALSE()))),"OLD",IF(AND(E1466&lt;&gt;"",E1466&lt;&gt;"!!!"),"NEW","")))</f>
        <v/>
      </c>
      <c r="G1466" s="11" t="str">
        <f aca="false">IF(OR(E1466="",E1466="!!!"),"",IF(OR(J1466=0,AND(J1466=1,K1466=1),AND(J1466=1,I1466="SBJ"),AND(J1466=1,I1466=0)),"?IN_FOCUS",IF(J1466&lt;=2,"?ACTIVATED",IF(J1466&lt;&gt;"","?FAMILIAR",IF(F1466="NEW",IF(ISNA(VLOOKUP(E1466,#REF!,1,FALSE())),"?TYPE_IDENTIFIABLE","?REFERENTIAL"),"_")))))</f>
        <v/>
      </c>
      <c r="H1466" s="12" t="str">
        <f aca="false">IF(J1466&lt;&gt;1,"",IF(I1466="SBJ","CB","?"))</f>
        <v/>
      </c>
      <c r="I1466" s="13" t="str">
        <f aca="false">IF(OR(E1466="",E1466="!!!",F1466="NEW"),"",INDEX(B$2:B1465,-1+SUMPRODUCT(MAX(ROW(E$2:E1465)*(E1466=E$2:E1465)))))</f>
        <v/>
      </c>
      <c r="J1466" s="14" t="str">
        <f aca="true">IF(OR(E1466="",E1466="!!!",F1466="NEW"),"",COUNTBLANK(OFFSET(A$1,,,SUMPRODUCT(MAX(ROW(E$2:E1466)*(E1466=E$2:E1466)))))-COUNTBLANK(OFFSET(A$1,,,SUMPRODUCT(MAX(ROW(E$1:E1465)*(E1466=E$1:E1465))))))</f>
        <v/>
      </c>
      <c r="K1466" s="14" t="str">
        <f aca="false">IF(OR(E1466="",E1466="!!!",F1466="NEW"),"",INDEX(J$1:J1465,SUMPRODUCT(MAX(ROW(E$1:E1465)*(E1466=E$1:E1465)))))</f>
        <v/>
      </c>
      <c r="L1466" s="15"/>
    </row>
    <row r="1467" customFormat="false" ht="12.75" hidden="false" customHeight="false" outlineLevel="0" collapsed="false">
      <c r="A1467" s="0" t="s">
        <v>652</v>
      </c>
      <c r="B1467" s="0" t="s">
        <v>64</v>
      </c>
      <c r="C1467" s="0" t="s">
        <v>111</v>
      </c>
      <c r="D1467" s="0" t="s">
        <v>29</v>
      </c>
      <c r="E1467" s="9" t="str">
        <f aca="false">IF(D1467="?OLD","!!!","")</f>
        <v>!!!</v>
      </c>
      <c r="F1467" s="10" t="str">
        <f aca="false">IF(OR(E1467="",E1467="!!!"),"",IF(NOT(ISNA(VLOOKUP(E1467,E$1:E1466,1,FALSE()))),"OLD",IF(AND(E1467&lt;&gt;"",E1467&lt;&gt;"!!!"),"NEW","")))</f>
        <v/>
      </c>
      <c r="G1467" s="11" t="str">
        <f aca="false">IF(OR(E1467="",E1467="!!!"),"",IF(OR(J1467=0,AND(J1467=1,K1467=1),AND(J1467=1,I1467="SBJ"),AND(J1467=1,I1467=0)),"?IN_FOCUS",IF(J1467&lt;=2,"?ACTIVATED",IF(J1467&lt;&gt;"","?FAMILIAR",IF(F1467="NEW",IF(ISNA(VLOOKUP(E1467,#REF!,1,FALSE())),"?TYPE_IDENTIFIABLE","?REFERENTIAL"),"_")))))</f>
        <v/>
      </c>
      <c r="H1467" s="12" t="str">
        <f aca="false">IF(J1467&lt;&gt;1,"",IF(I1467="SBJ","CB","?"))</f>
        <v/>
      </c>
      <c r="I1467" s="13" t="str">
        <f aca="false">IF(OR(E1467="",E1467="!!!",F1467="NEW"),"",INDEX(B$2:B1466,-1+SUMPRODUCT(MAX(ROW(E$2:E1466)*(E1467=E$2:E1466)))))</f>
        <v/>
      </c>
      <c r="J1467" s="14" t="str">
        <f aca="true">IF(OR(E1467="",E1467="!!!",F1467="NEW"),"",COUNTBLANK(OFFSET(A$1,,,SUMPRODUCT(MAX(ROW(E$2:E1467)*(E1467=E$2:E1467)))))-COUNTBLANK(OFFSET(A$1,,,SUMPRODUCT(MAX(ROW(E$1:E1466)*(E1467=E$1:E1466))))))</f>
        <v/>
      </c>
      <c r="K1467" s="14" t="str">
        <f aca="false">IF(OR(E1467="",E1467="!!!",F1467="NEW"),"",INDEX(J$1:J1466,SUMPRODUCT(MAX(ROW(E$1:E1466)*(E1467=E$1:E1466)))))</f>
        <v/>
      </c>
      <c r="L1467" s="15"/>
    </row>
    <row r="1468" customFormat="false" ht="12.75" hidden="false" customHeight="false" outlineLevel="0" collapsed="false">
      <c r="A1468" s="0" t="s">
        <v>88</v>
      </c>
      <c r="E1468" s="9" t="str">
        <f aca="false">IF(D1468="?OLD","!!!","")</f>
        <v/>
      </c>
      <c r="F1468" s="10" t="str">
        <f aca="false">IF(OR(E1468="",E1468="!!!"),"",IF(NOT(ISNA(VLOOKUP(E1468,E$1:E1467,1,FALSE()))),"OLD",IF(AND(E1468&lt;&gt;"",E1468&lt;&gt;"!!!"),"NEW","")))</f>
        <v/>
      </c>
      <c r="G1468" s="11" t="str">
        <f aca="false">IF(OR(E1468="",E1468="!!!"),"",IF(OR(J1468=0,AND(J1468=1,K1468=1),AND(J1468=1,I1468="SBJ"),AND(J1468=1,I1468=0)),"?IN_FOCUS",IF(J1468&lt;=2,"?ACTIVATED",IF(J1468&lt;&gt;"","?FAMILIAR",IF(F1468="NEW",IF(ISNA(VLOOKUP(E1468,#REF!,1,FALSE())),"?TYPE_IDENTIFIABLE","?REFERENTIAL"),"_")))))</f>
        <v/>
      </c>
      <c r="H1468" s="12" t="str">
        <f aca="false">IF(J1468&lt;&gt;1,"",IF(I1468="SBJ","CB","?"))</f>
        <v/>
      </c>
      <c r="I1468" s="13" t="str">
        <f aca="false">IF(OR(E1468="",E1468="!!!",F1468="NEW"),"",INDEX(B$2:B1467,-1+SUMPRODUCT(MAX(ROW(E$2:E1467)*(E1468=E$2:E1467)))))</f>
        <v/>
      </c>
      <c r="J1468" s="14" t="str">
        <f aca="true">IF(OR(E1468="",E1468="!!!",F1468="NEW"),"",COUNTBLANK(OFFSET(A$1,,,SUMPRODUCT(MAX(ROW(E$2:E1468)*(E1468=E$2:E1468)))))-COUNTBLANK(OFFSET(A$1,,,SUMPRODUCT(MAX(ROW(E$1:E1467)*(E1468=E$1:E1467))))))</f>
        <v/>
      </c>
      <c r="K1468" s="14" t="str">
        <f aca="false">IF(OR(E1468="",E1468="!!!",F1468="NEW"),"",INDEX(J$1:J1467,SUMPRODUCT(MAX(ROW(E$1:E1467)*(E1468=E$1:E1467)))))</f>
        <v/>
      </c>
      <c r="L1468" s="15"/>
    </row>
    <row r="1469" customFormat="false" ht="12.75" hidden="false" customHeight="false" outlineLevel="0" collapsed="false">
      <c r="A1469" s="0" t="s">
        <v>66</v>
      </c>
      <c r="E1469" s="9" t="str">
        <f aca="false">IF(D1469="?OLD","!!!","")</f>
        <v/>
      </c>
      <c r="F1469" s="10" t="str">
        <f aca="false">IF(OR(E1469="",E1469="!!!"),"",IF(NOT(ISNA(VLOOKUP(E1469,E$1:E1468,1,FALSE()))),"OLD",IF(AND(E1469&lt;&gt;"",E1469&lt;&gt;"!!!"),"NEW","")))</f>
        <v/>
      </c>
      <c r="G1469" s="11" t="str">
        <f aca="false">IF(OR(E1469="",E1469="!!!"),"",IF(OR(J1469=0,AND(J1469=1,K1469=1),AND(J1469=1,I1469="SBJ"),AND(J1469=1,I1469=0)),"?IN_FOCUS",IF(J1469&lt;=2,"?ACTIVATED",IF(J1469&lt;&gt;"","?FAMILIAR",IF(F1469="NEW",IF(ISNA(VLOOKUP(E1469,#REF!,1,FALSE())),"?TYPE_IDENTIFIABLE","?REFERENTIAL"),"_")))))</f>
        <v/>
      </c>
      <c r="H1469" s="12" t="str">
        <f aca="false">IF(J1469&lt;&gt;1,"",IF(I1469="SBJ","CB","?"))</f>
        <v/>
      </c>
      <c r="I1469" s="13" t="str">
        <f aca="false">IF(OR(E1469="",E1469="!!!",F1469="NEW"),"",INDEX(B$2:B1468,-1+SUMPRODUCT(MAX(ROW(E$2:E1468)*(E1469=E$2:E1468)))))</f>
        <v/>
      </c>
      <c r="J1469" s="14" t="str">
        <f aca="true">IF(OR(E1469="",E1469="!!!",F1469="NEW"),"",COUNTBLANK(OFFSET(A$1,,,SUMPRODUCT(MAX(ROW(E$2:E1469)*(E1469=E$2:E1469)))))-COUNTBLANK(OFFSET(A$1,,,SUMPRODUCT(MAX(ROW(E$1:E1468)*(E1469=E$1:E1468))))))</f>
        <v/>
      </c>
      <c r="K1469" s="14" t="str">
        <f aca="false">IF(OR(E1469="",E1469="!!!",F1469="NEW"),"",INDEX(J$1:J1468,SUMPRODUCT(MAX(ROW(E$1:E1468)*(E1469=E$1:E1468)))))</f>
        <v/>
      </c>
      <c r="L1469" s="15"/>
    </row>
    <row r="1470" customFormat="false" ht="12.75" hidden="false" customHeight="false" outlineLevel="0" collapsed="false">
      <c r="A1470" s="0" t="s">
        <v>653</v>
      </c>
      <c r="E1470" s="9" t="str">
        <f aca="false">IF(D1470="?OLD","!!!","")</f>
        <v/>
      </c>
      <c r="F1470" s="10" t="str">
        <f aca="false">IF(OR(E1470="",E1470="!!!"),"",IF(NOT(ISNA(VLOOKUP(E1470,E$1:E1469,1,FALSE()))),"OLD",IF(AND(E1470&lt;&gt;"",E1470&lt;&gt;"!!!"),"NEW","")))</f>
        <v/>
      </c>
      <c r="G1470" s="11" t="str">
        <f aca="false">IF(OR(E1470="",E1470="!!!"),"",IF(OR(J1470=0,AND(J1470=1,K1470=1),AND(J1470=1,I1470="SBJ"),AND(J1470=1,I1470=0)),"?IN_FOCUS",IF(J1470&lt;=2,"?ACTIVATED",IF(J1470&lt;&gt;"","?FAMILIAR",IF(F1470="NEW",IF(ISNA(VLOOKUP(E1470,#REF!,1,FALSE())),"?TYPE_IDENTIFIABLE","?REFERENTIAL"),"_")))))</f>
        <v/>
      </c>
      <c r="H1470" s="12" t="str">
        <f aca="false">IF(J1470&lt;&gt;1,"",IF(I1470="SBJ","CB","?"))</f>
        <v/>
      </c>
      <c r="I1470" s="13" t="str">
        <f aca="false">IF(OR(E1470="",E1470="!!!",F1470="NEW"),"",INDEX(B$2:B1469,-1+SUMPRODUCT(MAX(ROW(E$2:E1469)*(E1470=E$2:E1469)))))</f>
        <v/>
      </c>
      <c r="J1470" s="14" t="str">
        <f aca="true">IF(OR(E1470="",E1470="!!!",F1470="NEW"),"",COUNTBLANK(OFFSET(A$1,,,SUMPRODUCT(MAX(ROW(E$2:E1470)*(E1470=E$2:E1470)))))-COUNTBLANK(OFFSET(A$1,,,SUMPRODUCT(MAX(ROW(E$1:E1469)*(E1470=E$1:E1469))))))</f>
        <v/>
      </c>
      <c r="K1470" s="14" t="str">
        <f aca="false">IF(OR(E1470="",E1470="!!!",F1470="NEW"),"",INDEX(J$1:J1469,SUMPRODUCT(MAX(ROW(E$1:E1469)*(E1470=E$1:E1469)))))</f>
        <v/>
      </c>
      <c r="L1470" s="15"/>
    </row>
    <row r="1471" customFormat="false" ht="12.75" hidden="false" customHeight="false" outlineLevel="0" collapsed="false">
      <c r="A1471" s="0" t="s">
        <v>532</v>
      </c>
      <c r="B1471" s="0" t="s">
        <v>54</v>
      </c>
      <c r="C1471" s="0" t="s">
        <v>111</v>
      </c>
      <c r="D1471" s="0" t="s">
        <v>29</v>
      </c>
      <c r="E1471" s="9" t="str">
        <f aca="false">IF(D1471="?OLD","!!!","")</f>
        <v>!!!</v>
      </c>
      <c r="F1471" s="10" t="str">
        <f aca="false">IF(OR(E1471="",E1471="!!!"),"",IF(NOT(ISNA(VLOOKUP(E1471,E$1:E1470,1,FALSE()))),"OLD",IF(AND(E1471&lt;&gt;"",E1471&lt;&gt;"!!!"),"NEW","")))</f>
        <v/>
      </c>
      <c r="G1471" s="11" t="str">
        <f aca="false">IF(OR(E1471="",E1471="!!!"),"",IF(OR(J1471=0,AND(J1471=1,K1471=1),AND(J1471=1,I1471="SBJ"),AND(J1471=1,I1471=0)),"?IN_FOCUS",IF(J1471&lt;=2,"?ACTIVATED",IF(J1471&lt;&gt;"","?FAMILIAR",IF(F1471="NEW",IF(ISNA(VLOOKUP(E1471,#REF!,1,FALSE())),"?TYPE_IDENTIFIABLE","?REFERENTIAL"),"_")))))</f>
        <v/>
      </c>
      <c r="H1471" s="12" t="str">
        <f aca="false">IF(J1471&lt;&gt;1,"",IF(I1471="SBJ","CB","?"))</f>
        <v/>
      </c>
      <c r="I1471" s="13" t="str">
        <f aca="false">IF(OR(E1471="",E1471="!!!",F1471="NEW"),"",INDEX(B$2:B1470,-1+SUMPRODUCT(MAX(ROW(E$2:E1470)*(E1471=E$2:E1470)))))</f>
        <v/>
      </c>
      <c r="J1471" s="14" t="str">
        <f aca="true">IF(OR(E1471="",E1471="!!!",F1471="NEW"),"",COUNTBLANK(OFFSET(A$1,,,SUMPRODUCT(MAX(ROW(E$2:E1471)*(E1471=E$2:E1471)))))-COUNTBLANK(OFFSET(A$1,,,SUMPRODUCT(MAX(ROW(E$1:E1470)*(E1471=E$1:E1470))))))</f>
        <v/>
      </c>
      <c r="K1471" s="14" t="str">
        <f aca="false">IF(OR(E1471="",E1471="!!!",F1471="NEW"),"",INDEX(J$1:J1470,SUMPRODUCT(MAX(ROW(E$1:E1470)*(E1471=E$1:E1470)))))</f>
        <v/>
      </c>
      <c r="L1471" s="15"/>
    </row>
    <row r="1472" customFormat="false" ht="12.75" hidden="false" customHeight="false" outlineLevel="0" collapsed="false">
      <c r="A1472" s="0" t="s">
        <v>31</v>
      </c>
      <c r="E1472" s="9" t="str">
        <f aca="false">IF(D1472="?OLD","!!!","")</f>
        <v/>
      </c>
      <c r="F1472" s="10" t="str">
        <f aca="false">IF(OR(E1472="",E1472="!!!"),"",IF(NOT(ISNA(VLOOKUP(E1472,E$1:E1471,1,FALSE()))),"OLD",IF(AND(E1472&lt;&gt;"",E1472&lt;&gt;"!!!"),"NEW","")))</f>
        <v/>
      </c>
      <c r="G1472" s="11" t="str">
        <f aca="false">IF(OR(E1472="",E1472="!!!"),"",IF(OR(J1472=0,AND(J1472=1,K1472=1),AND(J1472=1,I1472="SBJ"),AND(J1472=1,I1472=0)),"?IN_FOCUS",IF(J1472&lt;=2,"?ACTIVATED",IF(J1472&lt;&gt;"","?FAMILIAR",IF(F1472="NEW",IF(ISNA(VLOOKUP(E1472,#REF!,1,FALSE())),"?TYPE_IDENTIFIABLE","?REFERENTIAL"),"_")))))</f>
        <v/>
      </c>
      <c r="H1472" s="12" t="str">
        <f aca="false">IF(J1472&lt;&gt;1,"",IF(I1472="SBJ","CB","?"))</f>
        <v/>
      </c>
      <c r="I1472" s="13" t="str">
        <f aca="false">IF(OR(E1472="",E1472="!!!",F1472="NEW"),"",INDEX(B$2:B1471,-1+SUMPRODUCT(MAX(ROW(E$2:E1471)*(E1472=E$2:E1471)))))</f>
        <v/>
      </c>
      <c r="J1472" s="14" t="str">
        <f aca="true">IF(OR(E1472="",E1472="!!!",F1472="NEW"),"",COUNTBLANK(OFFSET(A$1,,,SUMPRODUCT(MAX(ROW(E$2:E1472)*(E1472=E$2:E1472)))))-COUNTBLANK(OFFSET(A$1,,,SUMPRODUCT(MAX(ROW(E$1:E1471)*(E1472=E$1:E1471))))))</f>
        <v/>
      </c>
      <c r="K1472" s="14" t="str">
        <f aca="false">IF(OR(E1472="",E1472="!!!",F1472="NEW"),"",INDEX(J$1:J1471,SUMPRODUCT(MAX(ROW(E$1:E1471)*(E1472=E$1:E1471)))))</f>
        <v/>
      </c>
      <c r="L1472" s="15"/>
    </row>
    <row r="1473" customFormat="false" ht="12.75" hidden="false" customHeight="false" outlineLevel="0" collapsed="false">
      <c r="A1473" s="0" t="s">
        <v>654</v>
      </c>
      <c r="E1473" s="9" t="str">
        <f aca="false">IF(D1473="?OLD","!!!","")</f>
        <v/>
      </c>
      <c r="F1473" s="10" t="str">
        <f aca="false">IF(OR(E1473="",E1473="!!!"),"",IF(NOT(ISNA(VLOOKUP(E1473,E$1:E1472,1,FALSE()))),"OLD",IF(AND(E1473&lt;&gt;"",E1473&lt;&gt;"!!!"),"NEW","")))</f>
        <v/>
      </c>
      <c r="G1473" s="11" t="str">
        <f aca="false">IF(OR(E1473="",E1473="!!!"),"",IF(OR(J1473=0,AND(J1473=1,K1473=1),AND(J1473=1,I1473="SBJ"),AND(J1473=1,I1473=0)),"?IN_FOCUS",IF(J1473&lt;=2,"?ACTIVATED",IF(J1473&lt;&gt;"","?FAMILIAR",IF(F1473="NEW",IF(ISNA(VLOOKUP(E1473,#REF!,1,FALSE())),"?TYPE_IDENTIFIABLE","?REFERENTIAL"),"_")))))</f>
        <v/>
      </c>
      <c r="H1473" s="12" t="str">
        <f aca="false">IF(J1473&lt;&gt;1,"",IF(I1473="SBJ","CB","?"))</f>
        <v/>
      </c>
      <c r="I1473" s="13" t="str">
        <f aca="false">IF(OR(E1473="",E1473="!!!",F1473="NEW"),"",INDEX(B$2:B1472,-1+SUMPRODUCT(MAX(ROW(E$2:E1472)*(E1473=E$2:E1472)))))</f>
        <v/>
      </c>
      <c r="J1473" s="14" t="str">
        <f aca="true">IF(OR(E1473="",E1473="!!!",F1473="NEW"),"",COUNTBLANK(OFFSET(A$1,,,SUMPRODUCT(MAX(ROW(E$2:E1473)*(E1473=E$2:E1473)))))-COUNTBLANK(OFFSET(A$1,,,SUMPRODUCT(MAX(ROW(E$1:E1472)*(E1473=E$1:E1472))))))</f>
        <v/>
      </c>
      <c r="K1473" s="14" t="str">
        <f aca="false">IF(OR(E1473="",E1473="!!!",F1473="NEW"),"",INDEX(J$1:J1472,SUMPRODUCT(MAX(ROW(E$1:E1472)*(E1473=E$1:E1472)))))</f>
        <v/>
      </c>
      <c r="L1473" s="15"/>
    </row>
    <row r="1474" customFormat="false" ht="12.75" hidden="false" customHeight="false" outlineLevel="0" collapsed="false">
      <c r="A1474" s="0" t="s">
        <v>655</v>
      </c>
      <c r="E1474" s="9" t="str">
        <f aca="false">IF(D1474="?OLD","!!!","")</f>
        <v/>
      </c>
      <c r="F1474" s="10" t="str">
        <f aca="false">IF(OR(E1474="",E1474="!!!"),"",IF(NOT(ISNA(VLOOKUP(E1474,E$1:E1473,1,FALSE()))),"OLD",IF(AND(E1474&lt;&gt;"",E1474&lt;&gt;"!!!"),"NEW","")))</f>
        <v/>
      </c>
      <c r="G1474" s="11" t="str">
        <f aca="false">IF(OR(E1474="",E1474="!!!"),"",IF(OR(J1474=0,AND(J1474=1,K1474=1),AND(J1474=1,I1474="SBJ"),AND(J1474=1,I1474=0)),"?IN_FOCUS",IF(J1474&lt;=2,"?ACTIVATED",IF(J1474&lt;&gt;"","?FAMILIAR",IF(F1474="NEW",IF(ISNA(VLOOKUP(E1474,#REF!,1,FALSE())),"?TYPE_IDENTIFIABLE","?REFERENTIAL"),"_")))))</f>
        <v/>
      </c>
      <c r="H1474" s="12" t="str">
        <f aca="false">IF(J1474&lt;&gt;1,"",IF(I1474="SBJ","CB","?"))</f>
        <v/>
      </c>
      <c r="I1474" s="13" t="str">
        <f aca="false">IF(OR(E1474="",E1474="!!!",F1474="NEW"),"",INDEX(B$2:B1473,-1+SUMPRODUCT(MAX(ROW(E$2:E1473)*(E1474=E$2:E1473)))))</f>
        <v/>
      </c>
      <c r="J1474" s="14" t="str">
        <f aca="true">IF(OR(E1474="",E1474="!!!",F1474="NEW"),"",COUNTBLANK(OFFSET(A$1,,,SUMPRODUCT(MAX(ROW(E$2:E1474)*(E1474=E$2:E1474)))))-COUNTBLANK(OFFSET(A$1,,,SUMPRODUCT(MAX(ROW(E$1:E1473)*(E1474=E$1:E1473))))))</f>
        <v/>
      </c>
      <c r="K1474" s="14" t="str">
        <f aca="false">IF(OR(E1474="",E1474="!!!",F1474="NEW"),"",INDEX(J$1:J1473,SUMPRODUCT(MAX(ROW(E$1:E1473)*(E1474=E$1:E1473)))))</f>
        <v/>
      </c>
      <c r="L1474" s="15"/>
    </row>
    <row r="1475" customFormat="false" ht="12.75" hidden="false" customHeight="false" outlineLevel="0" collapsed="false">
      <c r="A1475" s="0" t="s">
        <v>332</v>
      </c>
      <c r="E1475" s="9" t="str">
        <f aca="false">IF(D1475="?OLD","!!!","")</f>
        <v/>
      </c>
      <c r="F1475" s="10" t="str">
        <f aca="false">IF(OR(E1475="",E1475="!!!"),"",IF(NOT(ISNA(VLOOKUP(E1475,E$1:E1474,1,FALSE()))),"OLD",IF(AND(E1475&lt;&gt;"",E1475&lt;&gt;"!!!"),"NEW","")))</f>
        <v/>
      </c>
      <c r="G1475" s="11" t="str">
        <f aca="false">IF(OR(E1475="",E1475="!!!"),"",IF(OR(J1475=0,AND(J1475=1,K1475=1),AND(J1475=1,I1475="SBJ"),AND(J1475=1,I1475=0)),"?IN_FOCUS",IF(J1475&lt;=2,"?ACTIVATED",IF(J1475&lt;&gt;"","?FAMILIAR",IF(F1475="NEW",IF(ISNA(VLOOKUP(E1475,#REF!,1,FALSE())),"?TYPE_IDENTIFIABLE","?REFERENTIAL"),"_")))))</f>
        <v/>
      </c>
      <c r="H1475" s="12" t="str">
        <f aca="false">IF(J1475&lt;&gt;1,"",IF(I1475="SBJ","CB","?"))</f>
        <v/>
      </c>
      <c r="I1475" s="13" t="str">
        <f aca="false">IF(OR(E1475="",E1475="!!!",F1475="NEW"),"",INDEX(B$2:B1474,-1+SUMPRODUCT(MAX(ROW(E$2:E1474)*(E1475=E$2:E1474)))))</f>
        <v/>
      </c>
      <c r="J1475" s="14" t="str">
        <f aca="true">IF(OR(E1475="",E1475="!!!",F1475="NEW"),"",COUNTBLANK(OFFSET(A$1,,,SUMPRODUCT(MAX(ROW(E$2:E1475)*(E1475=E$2:E1475)))))-COUNTBLANK(OFFSET(A$1,,,SUMPRODUCT(MAX(ROW(E$1:E1474)*(E1475=E$1:E1474))))))</f>
        <v/>
      </c>
      <c r="K1475" s="14" t="str">
        <f aca="false">IF(OR(E1475="",E1475="!!!",F1475="NEW"),"",INDEX(J$1:J1474,SUMPRODUCT(MAX(ROW(E$1:E1474)*(E1475=E$1:E1474)))))</f>
        <v/>
      </c>
      <c r="L1475" s="15"/>
    </row>
    <row r="1476" customFormat="false" ht="12.75" hidden="false" customHeight="false" outlineLevel="0" collapsed="false">
      <c r="A1476" s="0" t="s">
        <v>70</v>
      </c>
      <c r="B1476" s="0" t="s">
        <v>64</v>
      </c>
      <c r="C1476" s="0" t="s">
        <v>55</v>
      </c>
      <c r="D1476" s="0" t="s">
        <v>29</v>
      </c>
      <c r="E1476" s="9" t="str">
        <f aca="false">IF(D1476="?OLD","!!!","")</f>
        <v>!!!</v>
      </c>
      <c r="F1476" s="10" t="str">
        <f aca="false">IF(OR(E1476="",E1476="!!!"),"",IF(NOT(ISNA(VLOOKUP(E1476,E$1:E1475,1,FALSE()))),"OLD",IF(AND(E1476&lt;&gt;"",E1476&lt;&gt;"!!!"),"NEW","")))</f>
        <v/>
      </c>
      <c r="G1476" s="11" t="str">
        <f aca="false">IF(OR(E1476="",E1476="!!!"),"",IF(OR(J1476=0,AND(J1476=1,K1476=1),AND(J1476=1,I1476="SBJ"),AND(J1476=1,I1476=0)),"?IN_FOCUS",IF(J1476&lt;=2,"?ACTIVATED",IF(J1476&lt;&gt;"","?FAMILIAR",IF(F1476="NEW",IF(ISNA(VLOOKUP(E1476,#REF!,1,FALSE())),"?TYPE_IDENTIFIABLE","?REFERENTIAL"),"_")))))</f>
        <v/>
      </c>
      <c r="H1476" s="12" t="str">
        <f aca="false">IF(J1476&lt;&gt;1,"",IF(I1476="SBJ","CB","?"))</f>
        <v/>
      </c>
      <c r="I1476" s="13" t="str">
        <f aca="false">IF(OR(E1476="",E1476="!!!",F1476="NEW"),"",INDEX(B$2:B1475,-1+SUMPRODUCT(MAX(ROW(E$2:E1475)*(E1476=E$2:E1475)))))</f>
        <v/>
      </c>
      <c r="J1476" s="14" t="str">
        <f aca="true">IF(OR(E1476="",E1476="!!!",F1476="NEW"),"",COUNTBLANK(OFFSET(A$1,,,SUMPRODUCT(MAX(ROW(E$2:E1476)*(E1476=E$2:E1476)))))-COUNTBLANK(OFFSET(A$1,,,SUMPRODUCT(MAX(ROW(E$1:E1475)*(E1476=E$1:E1475))))))</f>
        <v/>
      </c>
      <c r="K1476" s="14" t="str">
        <f aca="false">IF(OR(E1476="",E1476="!!!",F1476="NEW"),"",INDEX(J$1:J1475,SUMPRODUCT(MAX(ROW(E$1:E1475)*(E1476=E$1:E1475)))))</f>
        <v/>
      </c>
      <c r="L1476" s="15"/>
    </row>
    <row r="1477" customFormat="false" ht="12.75" hidden="false" customHeight="false" outlineLevel="0" collapsed="false">
      <c r="A1477" s="0" t="s">
        <v>468</v>
      </c>
      <c r="B1477" s="0" t="s">
        <v>22</v>
      </c>
      <c r="C1477" s="0" t="s">
        <v>15</v>
      </c>
      <c r="D1477" s="0" t="s">
        <v>29</v>
      </c>
      <c r="E1477" s="9" t="str">
        <f aca="false">IF(D1477="?OLD","!!!","")</f>
        <v>!!!</v>
      </c>
      <c r="F1477" s="10" t="str">
        <f aca="false">IF(OR(E1477="",E1477="!!!"),"",IF(NOT(ISNA(VLOOKUP(E1477,E$1:E1476,1,FALSE()))),"OLD",IF(AND(E1477&lt;&gt;"",E1477&lt;&gt;"!!!"),"NEW","")))</f>
        <v/>
      </c>
      <c r="G1477" s="11" t="str">
        <f aca="false">IF(OR(E1477="",E1477="!!!"),"",IF(OR(J1477=0,AND(J1477=1,K1477=1),AND(J1477=1,I1477="SBJ"),AND(J1477=1,I1477=0)),"?IN_FOCUS",IF(J1477&lt;=2,"?ACTIVATED",IF(J1477&lt;&gt;"","?FAMILIAR",IF(F1477="NEW",IF(ISNA(VLOOKUP(E1477,#REF!,1,FALSE())),"?TYPE_IDENTIFIABLE","?REFERENTIAL"),"_")))))</f>
        <v/>
      </c>
      <c r="H1477" s="12" t="str">
        <f aca="false">IF(J1477&lt;&gt;1,"",IF(I1477="SBJ","CB","?"))</f>
        <v/>
      </c>
      <c r="I1477" s="13" t="str">
        <f aca="false">IF(OR(E1477="",E1477="!!!",F1477="NEW"),"",INDEX(B$2:B1476,-1+SUMPRODUCT(MAX(ROW(E$2:E1476)*(E1477=E$2:E1476)))))</f>
        <v/>
      </c>
      <c r="J1477" s="14" t="str">
        <f aca="true">IF(OR(E1477="",E1477="!!!",F1477="NEW"),"",COUNTBLANK(OFFSET(A$1,,,SUMPRODUCT(MAX(ROW(E$2:E1477)*(E1477=E$2:E1477)))))-COUNTBLANK(OFFSET(A$1,,,SUMPRODUCT(MAX(ROW(E$1:E1476)*(E1477=E$1:E1476))))))</f>
        <v/>
      </c>
      <c r="K1477" s="14" t="str">
        <f aca="false">IF(OR(E1477="",E1477="!!!",F1477="NEW"),"",INDEX(J$1:J1476,SUMPRODUCT(MAX(ROW(E$1:E1476)*(E1477=E$1:E1476)))))</f>
        <v/>
      </c>
      <c r="L1477" s="15"/>
    </row>
    <row r="1478" customFormat="false" ht="12.75" hidden="false" customHeight="false" outlineLevel="0" collapsed="false">
      <c r="A1478" s="0" t="s">
        <v>73</v>
      </c>
      <c r="E1478" s="9" t="str">
        <f aca="false">IF(D1478="?OLD","!!!","")</f>
        <v/>
      </c>
      <c r="F1478" s="10" t="str">
        <f aca="false">IF(OR(E1478="",E1478="!!!"),"",IF(NOT(ISNA(VLOOKUP(E1478,E$1:E1477,1,FALSE()))),"OLD",IF(AND(E1478&lt;&gt;"",E1478&lt;&gt;"!!!"),"NEW","")))</f>
        <v/>
      </c>
      <c r="G1478" s="11" t="str">
        <f aca="false">IF(OR(E1478="",E1478="!!!"),"",IF(OR(J1478=0,AND(J1478=1,K1478=1),AND(J1478=1,I1478="SBJ"),AND(J1478=1,I1478=0)),"?IN_FOCUS",IF(J1478&lt;=2,"?ACTIVATED",IF(J1478&lt;&gt;"","?FAMILIAR",IF(F1478="NEW",IF(ISNA(VLOOKUP(E1478,#REF!,1,FALSE())),"?TYPE_IDENTIFIABLE","?REFERENTIAL"),"_")))))</f>
        <v/>
      </c>
      <c r="H1478" s="12" t="str">
        <f aca="false">IF(J1478&lt;&gt;1,"",IF(I1478="SBJ","CB","?"))</f>
        <v/>
      </c>
      <c r="I1478" s="13" t="str">
        <f aca="false">IF(OR(E1478="",E1478="!!!",F1478="NEW"),"",INDEX(B$2:B1477,-1+SUMPRODUCT(MAX(ROW(E$2:E1477)*(E1478=E$2:E1477)))))</f>
        <v/>
      </c>
      <c r="J1478" s="14" t="str">
        <f aca="true">IF(OR(E1478="",E1478="!!!",F1478="NEW"),"",COUNTBLANK(OFFSET(A$1,,,SUMPRODUCT(MAX(ROW(E$2:E1478)*(E1478=E$2:E1478)))))-COUNTBLANK(OFFSET(A$1,,,SUMPRODUCT(MAX(ROW(E$1:E1477)*(E1478=E$1:E1477))))))</f>
        <v/>
      </c>
      <c r="K1478" s="14" t="str">
        <f aca="false">IF(OR(E1478="",E1478="!!!",F1478="NEW"),"",INDEX(J$1:J1477,SUMPRODUCT(MAX(ROW(E$1:E1477)*(E1478=E$1:E1477)))))</f>
        <v/>
      </c>
      <c r="L1478" s="15"/>
    </row>
    <row r="1479" customFormat="false" ht="12.75" hidden="false" customHeight="false" outlineLevel="0" collapsed="false">
      <c r="E1479" s="9" t="str">
        <f aca="false">IF(D1479="?OLD","!!!","")</f>
        <v/>
      </c>
      <c r="F1479" s="10" t="str">
        <f aca="false">IF(OR(E1479="",E1479="!!!"),"",IF(NOT(ISNA(VLOOKUP(E1479,E$1:E1478,1,FALSE()))),"OLD",IF(AND(E1479&lt;&gt;"",E1479&lt;&gt;"!!!"),"NEW","")))</f>
        <v/>
      </c>
      <c r="G1479" s="11" t="str">
        <f aca="false">IF(OR(E1479="",E1479="!!!"),"",IF(OR(J1479=0,AND(J1479=1,K1479=1),AND(J1479=1,I1479="SBJ"),AND(J1479=1,I1479=0)),"?IN_FOCUS",IF(J1479&lt;=2,"?ACTIVATED",IF(J1479&lt;&gt;"","?FAMILIAR",IF(F1479="NEW",IF(ISNA(VLOOKUP(E1479,#REF!,1,FALSE())),"?TYPE_IDENTIFIABLE","?REFERENTIAL"),"_")))))</f>
        <v/>
      </c>
      <c r="H1479" s="12" t="str">
        <f aca="false">IF(J1479&lt;&gt;1,"",IF(I1479="SBJ","CB","?"))</f>
        <v/>
      </c>
      <c r="I1479" s="13" t="str">
        <f aca="false">IF(OR(E1479="",E1479="!!!",F1479="NEW"),"",INDEX(B$2:B1478,-1+SUMPRODUCT(MAX(ROW(E$2:E1478)*(E1479=E$2:E1478)))))</f>
        <v/>
      </c>
      <c r="J1479" s="14" t="str">
        <f aca="true">IF(OR(E1479="",E1479="!!!",F1479="NEW"),"",COUNTBLANK(OFFSET(A$1,,,SUMPRODUCT(MAX(ROW(E$2:E1479)*(E1479=E$2:E1479)))))-COUNTBLANK(OFFSET(A$1,,,SUMPRODUCT(MAX(ROW(E$1:E1478)*(E1479=E$1:E1478))))))</f>
        <v/>
      </c>
      <c r="K1479" s="14" t="str">
        <f aca="false">IF(OR(E1479="",E1479="!!!",F1479="NEW"),"",INDEX(J$1:J1478,SUMPRODUCT(MAX(ROW(E$1:E1478)*(E1479=E$1:E1478)))))</f>
        <v/>
      </c>
      <c r="L1479" s="15"/>
    </row>
    <row r="1480" customFormat="false" ht="12.75" hidden="false" customHeight="false" outlineLevel="0" collapsed="false">
      <c r="A1480" s="0" t="s">
        <v>656</v>
      </c>
      <c r="E1480" s="9" t="str">
        <f aca="false">IF(D1480="?OLD","!!!","")</f>
        <v/>
      </c>
      <c r="F1480" s="10" t="str">
        <f aca="false">IF(OR(E1480="",E1480="!!!"),"",IF(NOT(ISNA(VLOOKUP(E1480,E$1:E1479,1,FALSE()))),"OLD",IF(AND(E1480&lt;&gt;"",E1480&lt;&gt;"!!!"),"NEW","")))</f>
        <v/>
      </c>
      <c r="G1480" s="11" t="str">
        <f aca="false">IF(OR(E1480="",E1480="!!!"),"",IF(OR(J1480=0,AND(J1480=1,K1480=1),AND(J1480=1,I1480="SBJ"),AND(J1480=1,I1480=0)),"?IN_FOCUS",IF(J1480&lt;=2,"?ACTIVATED",IF(J1480&lt;&gt;"","?FAMILIAR",IF(F1480="NEW",IF(ISNA(VLOOKUP(E1480,#REF!,1,FALSE())),"?TYPE_IDENTIFIABLE","?REFERENTIAL"),"_")))))</f>
        <v/>
      </c>
      <c r="H1480" s="12" t="str">
        <f aca="false">IF(J1480&lt;&gt;1,"",IF(I1480="SBJ","CB","?"))</f>
        <v/>
      </c>
      <c r="I1480" s="13" t="str">
        <f aca="false">IF(OR(E1480="",E1480="!!!",F1480="NEW"),"",INDEX(B$2:B1479,-1+SUMPRODUCT(MAX(ROW(E$2:E1479)*(E1480=E$2:E1479)))))</f>
        <v/>
      </c>
      <c r="J1480" s="14" t="str">
        <f aca="true">IF(OR(E1480="",E1480="!!!",F1480="NEW"),"",COUNTBLANK(OFFSET(A$1,,,SUMPRODUCT(MAX(ROW(E$2:E1480)*(E1480=E$2:E1480)))))-COUNTBLANK(OFFSET(A$1,,,SUMPRODUCT(MAX(ROW(E$1:E1479)*(E1480=E$1:E1479))))))</f>
        <v/>
      </c>
      <c r="K1480" s="14" t="str">
        <f aca="false">IF(OR(E1480="",E1480="!!!",F1480="NEW"),"",INDEX(J$1:J1479,SUMPRODUCT(MAX(ROW(E$1:E1479)*(E1480=E$1:E1479)))))</f>
        <v/>
      </c>
      <c r="L1480" s="15"/>
    </row>
    <row r="1481" customFormat="false" ht="12.75" hidden="false" customHeight="false" outlineLevel="0" collapsed="false">
      <c r="A1481" s="0" t="s">
        <v>197</v>
      </c>
      <c r="E1481" s="9" t="str">
        <f aca="false">IF(D1481="?OLD","!!!","")</f>
        <v/>
      </c>
      <c r="F1481" s="10" t="str">
        <f aca="false">IF(OR(E1481="",E1481="!!!"),"",IF(NOT(ISNA(VLOOKUP(E1481,E$1:E1480,1,FALSE()))),"OLD",IF(AND(E1481&lt;&gt;"",E1481&lt;&gt;"!!!"),"NEW","")))</f>
        <v/>
      </c>
      <c r="G1481" s="11" t="str">
        <f aca="false">IF(OR(E1481="",E1481="!!!"),"",IF(OR(J1481=0,AND(J1481=1,K1481=1),AND(J1481=1,I1481="SBJ"),AND(J1481=1,I1481=0)),"?IN_FOCUS",IF(J1481&lt;=2,"?ACTIVATED",IF(J1481&lt;&gt;"","?FAMILIAR",IF(F1481="NEW",IF(ISNA(VLOOKUP(E1481,#REF!,1,FALSE())),"?TYPE_IDENTIFIABLE","?REFERENTIAL"),"_")))))</f>
        <v/>
      </c>
      <c r="H1481" s="12" t="str">
        <f aca="false">IF(J1481&lt;&gt;1,"",IF(I1481="SBJ","CB","?"))</f>
        <v/>
      </c>
      <c r="I1481" s="13" t="str">
        <f aca="false">IF(OR(E1481="",E1481="!!!",F1481="NEW"),"",INDEX(B$2:B1480,-1+SUMPRODUCT(MAX(ROW(E$2:E1480)*(E1481=E$2:E1480)))))</f>
        <v/>
      </c>
      <c r="J1481" s="14" t="str">
        <f aca="true">IF(OR(E1481="",E1481="!!!",F1481="NEW"),"",COUNTBLANK(OFFSET(A$1,,,SUMPRODUCT(MAX(ROW(E$2:E1481)*(E1481=E$2:E1481)))))-COUNTBLANK(OFFSET(A$1,,,SUMPRODUCT(MAX(ROW(E$1:E1480)*(E1481=E$1:E1480))))))</f>
        <v/>
      </c>
      <c r="K1481" s="14" t="str">
        <f aca="false">IF(OR(E1481="",E1481="!!!",F1481="NEW"),"",INDEX(J$1:J1480,SUMPRODUCT(MAX(ROW(E$1:E1480)*(E1481=E$1:E1480)))))</f>
        <v/>
      </c>
      <c r="L1481" s="15"/>
    </row>
    <row r="1482" customFormat="false" ht="12.75" hidden="false" customHeight="false" outlineLevel="0" collapsed="false">
      <c r="A1482" s="0" t="s">
        <v>526</v>
      </c>
      <c r="B1482" s="0" t="s">
        <v>62</v>
      </c>
      <c r="C1482" s="0" t="s">
        <v>186</v>
      </c>
      <c r="E1482" s="9" t="str">
        <f aca="false">IF(D1482="?OLD","!!!","")</f>
        <v/>
      </c>
      <c r="F1482" s="10" t="str">
        <f aca="false">IF(OR(E1482="",E1482="!!!"),"",IF(NOT(ISNA(VLOOKUP(E1482,E$1:E1481,1,FALSE()))),"OLD",IF(AND(E1482&lt;&gt;"",E1482&lt;&gt;"!!!"),"NEW","")))</f>
        <v/>
      </c>
      <c r="G1482" s="11" t="str">
        <f aca="false">IF(OR(E1482="",E1482="!!!"),"",IF(OR(J1482=0,AND(J1482=1,K1482=1),AND(J1482=1,I1482="SBJ"),AND(J1482=1,I1482=0)),"?IN_FOCUS",IF(J1482&lt;=2,"?ACTIVATED",IF(J1482&lt;&gt;"","?FAMILIAR",IF(F1482="NEW",IF(ISNA(VLOOKUP(E1482,#REF!,1,FALSE())),"?TYPE_IDENTIFIABLE","?REFERENTIAL"),"_")))))</f>
        <v/>
      </c>
      <c r="H1482" s="12" t="str">
        <f aca="false">IF(J1482&lt;&gt;1,"",IF(I1482="SBJ","CB","?"))</f>
        <v/>
      </c>
      <c r="I1482" s="13" t="str">
        <f aca="false">IF(OR(E1482="",E1482="!!!",F1482="NEW"),"",INDEX(B$2:B1481,-1+SUMPRODUCT(MAX(ROW(E$2:E1481)*(E1482=E$2:E1481)))))</f>
        <v/>
      </c>
      <c r="J1482" s="14" t="str">
        <f aca="true">IF(OR(E1482="",E1482="!!!",F1482="NEW"),"",COUNTBLANK(OFFSET(A$1,,,SUMPRODUCT(MAX(ROW(E$2:E1482)*(E1482=E$2:E1482)))))-COUNTBLANK(OFFSET(A$1,,,SUMPRODUCT(MAX(ROW(E$1:E1481)*(E1482=E$1:E1481))))))</f>
        <v/>
      </c>
      <c r="K1482" s="14" t="str">
        <f aca="false">IF(OR(E1482="",E1482="!!!",F1482="NEW"),"",INDEX(J$1:J1481,SUMPRODUCT(MAX(ROW(E$1:E1481)*(E1482=E$1:E1481)))))</f>
        <v/>
      </c>
      <c r="L1482" s="15"/>
    </row>
    <row r="1483" customFormat="false" ht="12.75" hidden="false" customHeight="false" outlineLevel="0" collapsed="false">
      <c r="A1483" s="0" t="s">
        <v>45</v>
      </c>
      <c r="E1483" s="9" t="str">
        <f aca="false">IF(D1483="?OLD","!!!","")</f>
        <v/>
      </c>
      <c r="F1483" s="10" t="str">
        <f aca="false">IF(OR(E1483="",E1483="!!!"),"",IF(NOT(ISNA(VLOOKUP(E1483,E$1:E1482,1,FALSE()))),"OLD",IF(AND(E1483&lt;&gt;"",E1483&lt;&gt;"!!!"),"NEW","")))</f>
        <v/>
      </c>
      <c r="G1483" s="11" t="str">
        <f aca="false">IF(OR(E1483="",E1483="!!!"),"",IF(OR(J1483=0,AND(J1483=1,K1483=1),AND(J1483=1,I1483="SBJ"),AND(J1483=1,I1483=0)),"?IN_FOCUS",IF(J1483&lt;=2,"?ACTIVATED",IF(J1483&lt;&gt;"","?FAMILIAR",IF(F1483="NEW",IF(ISNA(VLOOKUP(E1483,#REF!,1,FALSE())),"?TYPE_IDENTIFIABLE","?REFERENTIAL"),"_")))))</f>
        <v/>
      </c>
      <c r="H1483" s="12" t="str">
        <f aca="false">IF(J1483&lt;&gt;1,"",IF(I1483="SBJ","CB","?"))</f>
        <v/>
      </c>
      <c r="I1483" s="13" t="str">
        <f aca="false">IF(OR(E1483="",E1483="!!!",F1483="NEW"),"",INDEX(B$2:B1482,-1+SUMPRODUCT(MAX(ROW(E$2:E1482)*(E1483=E$2:E1482)))))</f>
        <v/>
      </c>
      <c r="J1483" s="14" t="str">
        <f aca="true">IF(OR(E1483="",E1483="!!!",F1483="NEW"),"",COUNTBLANK(OFFSET(A$1,,,SUMPRODUCT(MAX(ROW(E$2:E1483)*(E1483=E$2:E1483)))))-COUNTBLANK(OFFSET(A$1,,,SUMPRODUCT(MAX(ROW(E$1:E1482)*(E1483=E$1:E1482))))))</f>
        <v/>
      </c>
      <c r="K1483" s="14" t="str">
        <f aca="false">IF(OR(E1483="",E1483="!!!",F1483="NEW"),"",INDEX(J$1:J1482,SUMPRODUCT(MAX(ROW(E$1:E1482)*(E1483=E$1:E1482)))))</f>
        <v/>
      </c>
      <c r="L1483" s="15"/>
    </row>
    <row r="1484" customFormat="false" ht="12.75" hidden="false" customHeight="false" outlineLevel="0" collapsed="false">
      <c r="A1484" s="0" t="s">
        <v>558</v>
      </c>
      <c r="E1484" s="9" t="str">
        <f aca="false">IF(D1484="?OLD","!!!","")</f>
        <v/>
      </c>
      <c r="F1484" s="10" t="str">
        <f aca="false">IF(OR(E1484="",E1484="!!!"),"",IF(NOT(ISNA(VLOOKUP(E1484,E$1:E1483,1,FALSE()))),"OLD",IF(AND(E1484&lt;&gt;"",E1484&lt;&gt;"!!!"),"NEW","")))</f>
        <v/>
      </c>
      <c r="G1484" s="11" t="str">
        <f aca="false">IF(OR(E1484="",E1484="!!!"),"",IF(OR(J1484=0,AND(J1484=1,K1484=1),AND(J1484=1,I1484="SBJ"),AND(J1484=1,I1484=0)),"?IN_FOCUS",IF(J1484&lt;=2,"?ACTIVATED",IF(J1484&lt;&gt;"","?FAMILIAR",IF(F1484="NEW",IF(ISNA(VLOOKUP(E1484,#REF!,1,FALSE())),"?TYPE_IDENTIFIABLE","?REFERENTIAL"),"_")))))</f>
        <v/>
      </c>
      <c r="H1484" s="12" t="str">
        <f aca="false">IF(J1484&lt;&gt;1,"",IF(I1484="SBJ","CB","?"))</f>
        <v/>
      </c>
      <c r="I1484" s="13" t="str">
        <f aca="false">IF(OR(E1484="",E1484="!!!",F1484="NEW"),"",INDEX(B$2:B1483,-1+SUMPRODUCT(MAX(ROW(E$2:E1483)*(E1484=E$2:E1483)))))</f>
        <v/>
      </c>
      <c r="J1484" s="14" t="str">
        <f aca="true">IF(OR(E1484="",E1484="!!!",F1484="NEW"),"",COUNTBLANK(OFFSET(A$1,,,SUMPRODUCT(MAX(ROW(E$2:E1484)*(E1484=E$2:E1484)))))-COUNTBLANK(OFFSET(A$1,,,SUMPRODUCT(MAX(ROW(E$1:E1483)*(E1484=E$1:E1483))))))</f>
        <v/>
      </c>
      <c r="K1484" s="14" t="str">
        <f aca="false">IF(OR(E1484="",E1484="!!!",F1484="NEW"),"",INDEX(J$1:J1483,SUMPRODUCT(MAX(ROW(E$1:E1483)*(E1484=E$1:E1483)))))</f>
        <v/>
      </c>
      <c r="L1484" s="15"/>
    </row>
    <row r="1485" customFormat="false" ht="12.75" hidden="false" customHeight="false" outlineLevel="0" collapsed="false">
      <c r="A1485" s="0" t="s">
        <v>657</v>
      </c>
      <c r="E1485" s="9" t="str">
        <f aca="false">IF(D1485="?OLD","!!!","")</f>
        <v/>
      </c>
      <c r="F1485" s="10" t="str">
        <f aca="false">IF(OR(E1485="",E1485="!!!"),"",IF(NOT(ISNA(VLOOKUP(E1485,E$1:E1484,1,FALSE()))),"OLD",IF(AND(E1485&lt;&gt;"",E1485&lt;&gt;"!!!"),"NEW","")))</f>
        <v/>
      </c>
      <c r="G1485" s="11" t="str">
        <f aca="false">IF(OR(E1485="",E1485="!!!"),"",IF(OR(J1485=0,AND(J1485=1,K1485=1),AND(J1485=1,I1485="SBJ"),AND(J1485=1,I1485=0)),"?IN_FOCUS",IF(J1485&lt;=2,"?ACTIVATED",IF(J1485&lt;&gt;"","?FAMILIAR",IF(F1485="NEW",IF(ISNA(VLOOKUP(E1485,#REF!,1,FALSE())),"?TYPE_IDENTIFIABLE","?REFERENTIAL"),"_")))))</f>
        <v/>
      </c>
      <c r="H1485" s="12" t="str">
        <f aca="false">IF(J1485&lt;&gt;1,"",IF(I1485="SBJ","CB","?"))</f>
        <v/>
      </c>
      <c r="I1485" s="13" t="str">
        <f aca="false">IF(OR(E1485="",E1485="!!!",F1485="NEW"),"",INDEX(B$2:B1484,-1+SUMPRODUCT(MAX(ROW(E$2:E1484)*(E1485=E$2:E1484)))))</f>
        <v/>
      </c>
      <c r="J1485" s="14" t="str">
        <f aca="true">IF(OR(E1485="",E1485="!!!",F1485="NEW"),"",COUNTBLANK(OFFSET(A$1,,,SUMPRODUCT(MAX(ROW(E$2:E1485)*(E1485=E$2:E1485)))))-COUNTBLANK(OFFSET(A$1,,,SUMPRODUCT(MAX(ROW(E$1:E1484)*(E1485=E$1:E1484))))))</f>
        <v/>
      </c>
      <c r="K1485" s="14" t="str">
        <f aca="false">IF(OR(E1485="",E1485="!!!",F1485="NEW"),"",INDEX(J$1:J1484,SUMPRODUCT(MAX(ROW(E$1:E1484)*(E1485=E$1:E1484)))))</f>
        <v/>
      </c>
      <c r="L1485" s="15"/>
    </row>
    <row r="1486" customFormat="false" ht="12.75" hidden="false" customHeight="false" outlineLevel="0" collapsed="false">
      <c r="A1486" s="0" t="s">
        <v>658</v>
      </c>
      <c r="B1486" s="0" t="s">
        <v>42</v>
      </c>
      <c r="C1486" s="0" t="s">
        <v>120</v>
      </c>
      <c r="E1486" s="9" t="str">
        <f aca="false">IF(D1486="?OLD","!!!","")</f>
        <v/>
      </c>
      <c r="F1486" s="10" t="str">
        <f aca="false">IF(OR(E1486="",E1486="!!!"),"",IF(NOT(ISNA(VLOOKUP(E1486,E$1:E1485,1,FALSE()))),"OLD",IF(AND(E1486&lt;&gt;"",E1486&lt;&gt;"!!!"),"NEW","")))</f>
        <v/>
      </c>
      <c r="G1486" s="11" t="str">
        <f aca="false">IF(OR(E1486="",E1486="!!!"),"",IF(OR(J1486=0,AND(J1486=1,K1486=1),AND(J1486=1,I1486="SBJ"),AND(J1486=1,I1486=0)),"?IN_FOCUS",IF(J1486&lt;=2,"?ACTIVATED",IF(J1486&lt;&gt;"","?FAMILIAR",IF(F1486="NEW",IF(ISNA(VLOOKUP(E1486,#REF!,1,FALSE())),"?TYPE_IDENTIFIABLE","?REFERENTIAL"),"_")))))</f>
        <v/>
      </c>
      <c r="H1486" s="12" t="str">
        <f aca="false">IF(J1486&lt;&gt;1,"",IF(I1486="SBJ","CB","?"))</f>
        <v/>
      </c>
      <c r="I1486" s="13" t="str">
        <f aca="false">IF(OR(E1486="",E1486="!!!",F1486="NEW"),"",INDEX(B$2:B1485,-1+SUMPRODUCT(MAX(ROW(E$2:E1485)*(E1486=E$2:E1485)))))</f>
        <v/>
      </c>
      <c r="J1486" s="14" t="str">
        <f aca="true">IF(OR(E1486="",E1486="!!!",F1486="NEW"),"",COUNTBLANK(OFFSET(A$1,,,SUMPRODUCT(MAX(ROW(E$2:E1486)*(E1486=E$2:E1486)))))-COUNTBLANK(OFFSET(A$1,,,SUMPRODUCT(MAX(ROW(E$1:E1485)*(E1486=E$1:E1485))))))</f>
        <v/>
      </c>
      <c r="K1486" s="14" t="str">
        <f aca="false">IF(OR(E1486="",E1486="!!!",F1486="NEW"),"",INDEX(J$1:J1485,SUMPRODUCT(MAX(ROW(E$1:E1485)*(E1486=E$1:E1485)))))</f>
        <v/>
      </c>
      <c r="L1486" s="15"/>
    </row>
    <row r="1487" customFormat="false" ht="12.75" hidden="false" customHeight="false" outlineLevel="0" collapsed="false">
      <c r="A1487" s="0" t="s">
        <v>85</v>
      </c>
      <c r="B1487" s="0" t="s">
        <v>157</v>
      </c>
      <c r="E1487" s="9" t="str">
        <f aca="false">IF(D1487="?OLD","!!!","")</f>
        <v/>
      </c>
      <c r="F1487" s="10" t="str">
        <f aca="false">IF(OR(E1487="",E1487="!!!"),"",IF(NOT(ISNA(VLOOKUP(E1487,E$1:E1486,1,FALSE()))),"OLD",IF(AND(E1487&lt;&gt;"",E1487&lt;&gt;"!!!"),"NEW","")))</f>
        <v/>
      </c>
      <c r="G1487" s="11" t="str">
        <f aca="false">IF(OR(E1487="",E1487="!!!"),"",IF(OR(J1487=0,AND(J1487=1,K1487=1),AND(J1487=1,I1487="SBJ"),AND(J1487=1,I1487=0)),"?IN_FOCUS",IF(J1487&lt;=2,"?ACTIVATED",IF(J1487&lt;&gt;"","?FAMILIAR",IF(F1487="NEW",IF(ISNA(VLOOKUP(E1487,#REF!,1,FALSE())),"?TYPE_IDENTIFIABLE","?REFERENTIAL"),"_")))))</f>
        <v/>
      </c>
      <c r="H1487" s="12" t="str">
        <f aca="false">IF(J1487&lt;&gt;1,"",IF(I1487="SBJ","CB","?"))</f>
        <v/>
      </c>
      <c r="I1487" s="13" t="str">
        <f aca="false">IF(OR(E1487="",E1487="!!!",F1487="NEW"),"",INDEX(B$2:B1486,-1+SUMPRODUCT(MAX(ROW(E$2:E1486)*(E1487=E$2:E1486)))))</f>
        <v/>
      </c>
      <c r="J1487" s="14" t="str">
        <f aca="true">IF(OR(E1487="",E1487="!!!",F1487="NEW"),"",COUNTBLANK(OFFSET(A$1,,,SUMPRODUCT(MAX(ROW(E$2:E1487)*(E1487=E$2:E1487)))))-COUNTBLANK(OFFSET(A$1,,,SUMPRODUCT(MAX(ROW(E$1:E1486)*(E1487=E$1:E1486))))))</f>
        <v/>
      </c>
      <c r="K1487" s="14" t="str">
        <f aca="false">IF(OR(E1487="",E1487="!!!",F1487="NEW"),"",INDEX(J$1:J1486,SUMPRODUCT(MAX(ROW(E$1:E1486)*(E1487=E$1:E1486)))))</f>
        <v/>
      </c>
      <c r="L1487" s="15"/>
    </row>
    <row r="1488" customFormat="false" ht="12.75" hidden="false" customHeight="false" outlineLevel="0" collapsed="false">
      <c r="A1488" s="0" t="s">
        <v>659</v>
      </c>
      <c r="E1488" s="9" t="str">
        <f aca="false">IF(D1488="?OLD","!!!","")</f>
        <v/>
      </c>
      <c r="F1488" s="10" t="str">
        <f aca="false">IF(OR(E1488="",E1488="!!!"),"",IF(NOT(ISNA(VLOOKUP(E1488,E$1:E1487,1,FALSE()))),"OLD",IF(AND(E1488&lt;&gt;"",E1488&lt;&gt;"!!!"),"NEW","")))</f>
        <v/>
      </c>
      <c r="G1488" s="11" t="str">
        <f aca="false">IF(OR(E1488="",E1488="!!!"),"",IF(OR(J1488=0,AND(J1488=1,K1488=1),AND(J1488=1,I1488="SBJ"),AND(J1488=1,I1488=0)),"?IN_FOCUS",IF(J1488&lt;=2,"?ACTIVATED",IF(J1488&lt;&gt;"","?FAMILIAR",IF(F1488="NEW",IF(ISNA(VLOOKUP(E1488,#REF!,1,FALSE())),"?TYPE_IDENTIFIABLE","?REFERENTIAL"),"_")))))</f>
        <v/>
      </c>
      <c r="H1488" s="12" t="str">
        <f aca="false">IF(J1488&lt;&gt;1,"",IF(I1488="SBJ","CB","?"))</f>
        <v/>
      </c>
      <c r="I1488" s="13" t="str">
        <f aca="false">IF(OR(E1488="",E1488="!!!",F1488="NEW"),"",INDEX(B$2:B1487,-1+SUMPRODUCT(MAX(ROW(E$2:E1487)*(E1488=E$2:E1487)))))</f>
        <v/>
      </c>
      <c r="J1488" s="14" t="str">
        <f aca="true">IF(OR(E1488="",E1488="!!!",F1488="NEW"),"",COUNTBLANK(OFFSET(A$1,,,SUMPRODUCT(MAX(ROW(E$2:E1488)*(E1488=E$2:E1488)))))-COUNTBLANK(OFFSET(A$1,,,SUMPRODUCT(MAX(ROW(E$1:E1487)*(E1488=E$1:E1487))))))</f>
        <v/>
      </c>
      <c r="K1488" s="14" t="str">
        <f aca="false">IF(OR(E1488="",E1488="!!!",F1488="NEW"),"",INDEX(J$1:J1487,SUMPRODUCT(MAX(ROW(E$1:E1487)*(E1488=E$1:E1487)))))</f>
        <v/>
      </c>
      <c r="L1488" s="15"/>
    </row>
    <row r="1489" customFormat="false" ht="12.75" hidden="false" customHeight="false" outlineLevel="0" collapsed="false">
      <c r="A1489" s="0" t="s">
        <v>33</v>
      </c>
      <c r="E1489" s="9" t="str">
        <f aca="false">IF(D1489="?OLD","!!!","")</f>
        <v/>
      </c>
      <c r="F1489" s="10" t="str">
        <f aca="false">IF(OR(E1489="",E1489="!!!"),"",IF(NOT(ISNA(VLOOKUP(E1489,E$1:E1488,1,FALSE()))),"OLD",IF(AND(E1489&lt;&gt;"",E1489&lt;&gt;"!!!"),"NEW","")))</f>
        <v/>
      </c>
      <c r="G1489" s="11" t="str">
        <f aca="false">IF(OR(E1489="",E1489="!!!"),"",IF(OR(J1489=0,AND(J1489=1,K1489=1),AND(J1489=1,I1489="SBJ"),AND(J1489=1,I1489=0)),"?IN_FOCUS",IF(J1489&lt;=2,"?ACTIVATED",IF(J1489&lt;&gt;"","?FAMILIAR",IF(F1489="NEW",IF(ISNA(VLOOKUP(E1489,#REF!,1,FALSE())),"?TYPE_IDENTIFIABLE","?REFERENTIAL"),"_")))))</f>
        <v/>
      </c>
      <c r="H1489" s="12" t="str">
        <f aca="false">IF(J1489&lt;&gt;1,"",IF(I1489="SBJ","CB","?"))</f>
        <v/>
      </c>
      <c r="I1489" s="13" t="str">
        <f aca="false">IF(OR(E1489="",E1489="!!!",F1489="NEW"),"",INDEX(B$2:B1488,-1+SUMPRODUCT(MAX(ROW(E$2:E1488)*(E1489=E$2:E1488)))))</f>
        <v/>
      </c>
      <c r="J1489" s="14" t="str">
        <f aca="true">IF(OR(E1489="",E1489="!!!",F1489="NEW"),"",COUNTBLANK(OFFSET(A$1,,,SUMPRODUCT(MAX(ROW(E$2:E1489)*(E1489=E$2:E1489)))))-COUNTBLANK(OFFSET(A$1,,,SUMPRODUCT(MAX(ROW(E$1:E1488)*(E1489=E$1:E1488))))))</f>
        <v/>
      </c>
      <c r="K1489" s="14" t="str">
        <f aca="false">IF(OR(E1489="",E1489="!!!",F1489="NEW"),"",INDEX(J$1:J1488,SUMPRODUCT(MAX(ROW(E$1:E1488)*(E1489=E$1:E1488)))))</f>
        <v/>
      </c>
      <c r="L1489" s="15"/>
    </row>
    <row r="1490" customFormat="false" ht="12.75" hidden="false" customHeight="false" outlineLevel="0" collapsed="false">
      <c r="A1490" s="0" t="s">
        <v>619</v>
      </c>
      <c r="B1490" s="0" t="s">
        <v>59</v>
      </c>
      <c r="C1490" s="0" t="s">
        <v>364</v>
      </c>
      <c r="E1490" s="9" t="str">
        <f aca="false">IF(D1490="?OLD","!!!","")</f>
        <v/>
      </c>
      <c r="F1490" s="10" t="str">
        <f aca="false">IF(OR(E1490="",E1490="!!!"),"",IF(NOT(ISNA(VLOOKUP(E1490,E$1:E1489,1,FALSE()))),"OLD",IF(AND(E1490&lt;&gt;"",E1490&lt;&gt;"!!!"),"NEW","")))</f>
        <v/>
      </c>
      <c r="G1490" s="11" t="str">
        <f aca="false">IF(OR(E1490="",E1490="!!!"),"",IF(OR(J1490=0,AND(J1490=1,K1490=1),AND(J1490=1,I1490="SBJ"),AND(J1490=1,I1490=0)),"?IN_FOCUS",IF(J1490&lt;=2,"?ACTIVATED",IF(J1490&lt;&gt;"","?FAMILIAR",IF(F1490="NEW",IF(ISNA(VLOOKUP(E1490,#REF!,1,FALSE())),"?TYPE_IDENTIFIABLE","?REFERENTIAL"),"_")))))</f>
        <v/>
      </c>
      <c r="H1490" s="12" t="str">
        <f aca="false">IF(J1490&lt;&gt;1,"",IF(I1490="SBJ","CB","?"))</f>
        <v/>
      </c>
      <c r="I1490" s="13" t="str">
        <f aca="false">IF(OR(E1490="",E1490="!!!",F1490="NEW"),"",INDEX(B$2:B1489,-1+SUMPRODUCT(MAX(ROW(E$2:E1489)*(E1490=E$2:E1489)))))</f>
        <v/>
      </c>
      <c r="J1490" s="14" t="str">
        <f aca="true">IF(OR(E1490="",E1490="!!!",F1490="NEW"),"",COUNTBLANK(OFFSET(A$1,,,SUMPRODUCT(MAX(ROW(E$2:E1490)*(E1490=E$2:E1490)))))-COUNTBLANK(OFFSET(A$1,,,SUMPRODUCT(MAX(ROW(E$1:E1489)*(E1490=E$1:E1489))))))</f>
        <v/>
      </c>
      <c r="K1490" s="14" t="str">
        <f aca="false">IF(OR(E1490="",E1490="!!!",F1490="NEW"),"",INDEX(J$1:J1489,SUMPRODUCT(MAX(ROW(E$1:E1489)*(E1490=E$1:E1489)))))</f>
        <v/>
      </c>
      <c r="L1490" s="15"/>
    </row>
    <row r="1491" customFormat="false" ht="12.75" hidden="false" customHeight="false" outlineLevel="0" collapsed="false">
      <c r="A1491" s="0" t="s">
        <v>19</v>
      </c>
      <c r="E1491" s="9" t="str">
        <f aca="false">IF(D1491="?OLD","!!!","")</f>
        <v/>
      </c>
      <c r="F1491" s="10" t="str">
        <f aca="false">IF(OR(E1491="",E1491="!!!"),"",IF(NOT(ISNA(VLOOKUP(E1491,E$1:E1490,1,FALSE()))),"OLD",IF(AND(E1491&lt;&gt;"",E1491&lt;&gt;"!!!"),"NEW","")))</f>
        <v/>
      </c>
      <c r="G1491" s="11" t="str">
        <f aca="false">IF(OR(E1491="",E1491="!!!"),"",IF(OR(J1491=0,AND(J1491=1,K1491=1),AND(J1491=1,I1491="SBJ"),AND(J1491=1,I1491=0)),"?IN_FOCUS",IF(J1491&lt;=2,"?ACTIVATED",IF(J1491&lt;&gt;"","?FAMILIAR",IF(F1491="NEW",IF(ISNA(VLOOKUP(E1491,#REF!,1,FALSE())),"?TYPE_IDENTIFIABLE","?REFERENTIAL"),"_")))))</f>
        <v/>
      </c>
      <c r="H1491" s="12" t="str">
        <f aca="false">IF(J1491&lt;&gt;1,"",IF(I1491="SBJ","CB","?"))</f>
        <v/>
      </c>
      <c r="I1491" s="13" t="str">
        <f aca="false">IF(OR(E1491="",E1491="!!!",F1491="NEW"),"",INDEX(B$2:B1490,-1+SUMPRODUCT(MAX(ROW(E$2:E1490)*(E1491=E$2:E1490)))))</f>
        <v/>
      </c>
      <c r="J1491" s="14" t="str">
        <f aca="true">IF(OR(E1491="",E1491="!!!",F1491="NEW"),"",COUNTBLANK(OFFSET(A$1,,,SUMPRODUCT(MAX(ROW(E$2:E1491)*(E1491=E$2:E1491)))))-COUNTBLANK(OFFSET(A$1,,,SUMPRODUCT(MAX(ROW(E$1:E1490)*(E1491=E$1:E1490))))))</f>
        <v/>
      </c>
      <c r="K1491" s="14" t="str">
        <f aca="false">IF(OR(E1491="",E1491="!!!",F1491="NEW"),"",INDEX(J$1:J1490,SUMPRODUCT(MAX(ROW(E$1:E1490)*(E1491=E$1:E1490)))))</f>
        <v/>
      </c>
      <c r="L1491" s="15"/>
    </row>
    <row r="1492" customFormat="false" ht="12.75" hidden="false" customHeight="false" outlineLevel="0" collapsed="false">
      <c r="A1492" s="0" t="s">
        <v>66</v>
      </c>
      <c r="E1492" s="9" t="str">
        <f aca="false">IF(D1492="?OLD","!!!","")</f>
        <v/>
      </c>
      <c r="F1492" s="10" t="str">
        <f aca="false">IF(OR(E1492="",E1492="!!!"),"",IF(NOT(ISNA(VLOOKUP(E1492,E$1:E1491,1,FALSE()))),"OLD",IF(AND(E1492&lt;&gt;"",E1492&lt;&gt;"!!!"),"NEW","")))</f>
        <v/>
      </c>
      <c r="G1492" s="11" t="str">
        <f aca="false">IF(OR(E1492="",E1492="!!!"),"",IF(OR(J1492=0,AND(J1492=1,K1492=1),AND(J1492=1,I1492="SBJ"),AND(J1492=1,I1492=0)),"?IN_FOCUS",IF(J1492&lt;=2,"?ACTIVATED",IF(J1492&lt;&gt;"","?FAMILIAR",IF(F1492="NEW",IF(ISNA(VLOOKUP(E1492,#REF!,1,FALSE())),"?TYPE_IDENTIFIABLE","?REFERENTIAL"),"_")))))</f>
        <v/>
      </c>
      <c r="H1492" s="12" t="str">
        <f aca="false">IF(J1492&lt;&gt;1,"",IF(I1492="SBJ","CB","?"))</f>
        <v/>
      </c>
      <c r="I1492" s="13" t="str">
        <f aca="false">IF(OR(E1492="",E1492="!!!",F1492="NEW"),"",INDEX(B$2:B1491,-1+SUMPRODUCT(MAX(ROW(E$2:E1491)*(E1492=E$2:E1491)))))</f>
        <v/>
      </c>
      <c r="J1492" s="14" t="str">
        <f aca="true">IF(OR(E1492="",E1492="!!!",F1492="NEW"),"",COUNTBLANK(OFFSET(A$1,,,SUMPRODUCT(MAX(ROW(E$2:E1492)*(E1492=E$2:E1492)))))-COUNTBLANK(OFFSET(A$1,,,SUMPRODUCT(MAX(ROW(E$1:E1491)*(E1492=E$1:E1491))))))</f>
        <v/>
      </c>
      <c r="K1492" s="14" t="str">
        <f aca="false">IF(OR(E1492="",E1492="!!!",F1492="NEW"),"",INDEX(J$1:J1491,SUMPRODUCT(MAX(ROW(E$1:E1491)*(E1492=E$1:E1491)))))</f>
        <v/>
      </c>
      <c r="L1492" s="15"/>
    </row>
    <row r="1493" customFormat="false" ht="12.75" hidden="false" customHeight="false" outlineLevel="0" collapsed="false">
      <c r="A1493" s="0" t="s">
        <v>192</v>
      </c>
      <c r="B1493" s="0" t="s">
        <v>54</v>
      </c>
      <c r="C1493" s="0" t="s">
        <v>111</v>
      </c>
      <c r="D1493" s="0" t="s">
        <v>29</v>
      </c>
      <c r="E1493" s="9" t="str">
        <f aca="false">IF(D1493="?OLD","!!!","")</f>
        <v>!!!</v>
      </c>
      <c r="F1493" s="10" t="str">
        <f aca="false">IF(OR(E1493="",E1493="!!!"),"",IF(NOT(ISNA(VLOOKUP(E1493,E$1:E1492,1,FALSE()))),"OLD",IF(AND(E1493&lt;&gt;"",E1493&lt;&gt;"!!!"),"NEW","")))</f>
        <v/>
      </c>
      <c r="G1493" s="11" t="str">
        <f aca="false">IF(OR(E1493="",E1493="!!!"),"",IF(OR(J1493=0,AND(J1493=1,K1493=1),AND(J1493=1,I1493="SBJ"),AND(J1493=1,I1493=0)),"?IN_FOCUS",IF(J1493&lt;=2,"?ACTIVATED",IF(J1493&lt;&gt;"","?FAMILIAR",IF(F1493="NEW",IF(ISNA(VLOOKUP(E1493,#REF!,1,FALSE())),"?TYPE_IDENTIFIABLE","?REFERENTIAL"),"_")))))</f>
        <v/>
      </c>
      <c r="H1493" s="12" t="str">
        <f aca="false">IF(J1493&lt;&gt;1,"",IF(I1493="SBJ","CB","?"))</f>
        <v/>
      </c>
      <c r="I1493" s="13" t="str">
        <f aca="false">IF(OR(E1493="",E1493="!!!",F1493="NEW"),"",INDEX(B$2:B1492,-1+SUMPRODUCT(MAX(ROW(E$2:E1492)*(E1493=E$2:E1492)))))</f>
        <v/>
      </c>
      <c r="J1493" s="14" t="str">
        <f aca="true">IF(OR(E1493="",E1493="!!!",F1493="NEW"),"",COUNTBLANK(OFFSET(A$1,,,SUMPRODUCT(MAX(ROW(E$2:E1493)*(E1493=E$2:E1493)))))-COUNTBLANK(OFFSET(A$1,,,SUMPRODUCT(MAX(ROW(E$1:E1492)*(E1493=E$1:E1492))))))</f>
        <v/>
      </c>
      <c r="K1493" s="14" t="str">
        <f aca="false">IF(OR(E1493="",E1493="!!!",F1493="NEW"),"",INDEX(J$1:J1492,SUMPRODUCT(MAX(ROW(E$1:E1492)*(E1493=E$1:E1492)))))</f>
        <v/>
      </c>
      <c r="L1493" s="15"/>
    </row>
    <row r="1494" customFormat="false" ht="12.75" hidden="false" customHeight="false" outlineLevel="0" collapsed="false">
      <c r="A1494" s="0" t="s">
        <v>48</v>
      </c>
      <c r="E1494" s="9" t="str">
        <f aca="false">IF(D1494="?OLD","!!!","")</f>
        <v/>
      </c>
      <c r="F1494" s="10" t="str">
        <f aca="false">IF(OR(E1494="",E1494="!!!"),"",IF(NOT(ISNA(VLOOKUP(E1494,E$1:E1493,1,FALSE()))),"OLD",IF(AND(E1494&lt;&gt;"",E1494&lt;&gt;"!!!"),"NEW","")))</f>
        <v/>
      </c>
      <c r="G1494" s="11" t="str">
        <f aca="false">IF(OR(E1494="",E1494="!!!"),"",IF(OR(J1494=0,AND(J1494=1,K1494=1),AND(J1494=1,I1494="SBJ"),AND(J1494=1,I1494=0)),"?IN_FOCUS",IF(J1494&lt;=2,"?ACTIVATED",IF(J1494&lt;&gt;"","?FAMILIAR",IF(F1494="NEW",IF(ISNA(VLOOKUP(E1494,#REF!,1,FALSE())),"?TYPE_IDENTIFIABLE","?REFERENTIAL"),"_")))))</f>
        <v/>
      </c>
      <c r="H1494" s="12" t="str">
        <f aca="false">IF(J1494&lt;&gt;1,"",IF(I1494="SBJ","CB","?"))</f>
        <v/>
      </c>
      <c r="I1494" s="13" t="str">
        <f aca="false">IF(OR(E1494="",E1494="!!!",F1494="NEW"),"",INDEX(B$2:B1493,-1+SUMPRODUCT(MAX(ROW(E$2:E1493)*(E1494=E$2:E1493)))))</f>
        <v/>
      </c>
      <c r="J1494" s="14" t="str">
        <f aca="true">IF(OR(E1494="",E1494="!!!",F1494="NEW"),"",COUNTBLANK(OFFSET(A$1,,,SUMPRODUCT(MAX(ROW(E$2:E1494)*(E1494=E$2:E1494)))))-COUNTBLANK(OFFSET(A$1,,,SUMPRODUCT(MAX(ROW(E$1:E1493)*(E1494=E$1:E1493))))))</f>
        <v/>
      </c>
      <c r="K1494" s="14" t="str">
        <f aca="false">IF(OR(E1494="",E1494="!!!",F1494="NEW"),"",INDEX(J$1:J1493,SUMPRODUCT(MAX(ROW(E$1:E1493)*(E1494=E$1:E1493)))))</f>
        <v/>
      </c>
      <c r="L1494" s="15"/>
    </row>
    <row r="1495" customFormat="false" ht="12.75" hidden="false" customHeight="false" outlineLevel="0" collapsed="false">
      <c r="A1495" s="0" t="s">
        <v>560</v>
      </c>
      <c r="E1495" s="9" t="str">
        <f aca="false">IF(D1495="?OLD","!!!","")</f>
        <v/>
      </c>
      <c r="F1495" s="10" t="str">
        <f aca="false">IF(OR(E1495="",E1495="!!!"),"",IF(NOT(ISNA(VLOOKUP(E1495,E$1:E1494,1,FALSE()))),"OLD",IF(AND(E1495&lt;&gt;"",E1495&lt;&gt;"!!!"),"NEW","")))</f>
        <v/>
      </c>
      <c r="G1495" s="11" t="str">
        <f aca="false">IF(OR(E1495="",E1495="!!!"),"",IF(OR(J1495=0,AND(J1495=1,K1495=1),AND(J1495=1,I1495="SBJ"),AND(J1495=1,I1495=0)),"?IN_FOCUS",IF(J1495&lt;=2,"?ACTIVATED",IF(J1495&lt;&gt;"","?FAMILIAR",IF(F1495="NEW",IF(ISNA(VLOOKUP(E1495,#REF!,1,FALSE())),"?TYPE_IDENTIFIABLE","?REFERENTIAL"),"_")))))</f>
        <v/>
      </c>
      <c r="H1495" s="12" t="str">
        <f aca="false">IF(J1495&lt;&gt;1,"",IF(I1495="SBJ","CB","?"))</f>
        <v/>
      </c>
      <c r="I1495" s="13" t="str">
        <f aca="false">IF(OR(E1495="",E1495="!!!",F1495="NEW"),"",INDEX(B$2:B1494,-1+SUMPRODUCT(MAX(ROW(E$2:E1494)*(E1495=E$2:E1494)))))</f>
        <v/>
      </c>
      <c r="J1495" s="14" t="str">
        <f aca="true">IF(OR(E1495="",E1495="!!!",F1495="NEW"),"",COUNTBLANK(OFFSET(A$1,,,SUMPRODUCT(MAX(ROW(E$2:E1495)*(E1495=E$2:E1495)))))-COUNTBLANK(OFFSET(A$1,,,SUMPRODUCT(MAX(ROW(E$1:E1494)*(E1495=E$1:E1494))))))</f>
        <v/>
      </c>
      <c r="K1495" s="14" t="str">
        <f aca="false">IF(OR(E1495="",E1495="!!!",F1495="NEW"),"",INDEX(J$1:J1494,SUMPRODUCT(MAX(ROW(E$1:E1494)*(E1495=E$1:E1494)))))</f>
        <v/>
      </c>
      <c r="L1495" s="15"/>
    </row>
    <row r="1496" customFormat="false" ht="12.75" hidden="false" customHeight="false" outlineLevel="0" collapsed="false">
      <c r="A1496" s="0" t="s">
        <v>660</v>
      </c>
      <c r="E1496" s="9" t="str">
        <f aca="false">IF(D1496="?OLD","!!!","")</f>
        <v/>
      </c>
      <c r="F1496" s="10" t="str">
        <f aca="false">IF(OR(E1496="",E1496="!!!"),"",IF(NOT(ISNA(VLOOKUP(E1496,E$1:E1495,1,FALSE()))),"OLD",IF(AND(E1496&lt;&gt;"",E1496&lt;&gt;"!!!"),"NEW","")))</f>
        <v/>
      </c>
      <c r="G1496" s="11" t="str">
        <f aca="false">IF(OR(E1496="",E1496="!!!"),"",IF(OR(J1496=0,AND(J1496=1,K1496=1),AND(J1496=1,I1496="SBJ"),AND(J1496=1,I1496=0)),"?IN_FOCUS",IF(J1496&lt;=2,"?ACTIVATED",IF(J1496&lt;&gt;"","?FAMILIAR",IF(F1496="NEW",IF(ISNA(VLOOKUP(E1496,#REF!,1,FALSE())),"?TYPE_IDENTIFIABLE","?REFERENTIAL"),"_")))))</f>
        <v/>
      </c>
      <c r="H1496" s="12" t="str">
        <f aca="false">IF(J1496&lt;&gt;1,"",IF(I1496="SBJ","CB","?"))</f>
        <v/>
      </c>
      <c r="I1496" s="13" t="str">
        <f aca="false">IF(OR(E1496="",E1496="!!!",F1496="NEW"),"",INDEX(B$2:B1495,-1+SUMPRODUCT(MAX(ROW(E$2:E1495)*(E1496=E$2:E1495)))))</f>
        <v/>
      </c>
      <c r="J1496" s="14" t="str">
        <f aca="true">IF(OR(E1496="",E1496="!!!",F1496="NEW"),"",COUNTBLANK(OFFSET(A$1,,,SUMPRODUCT(MAX(ROW(E$2:E1496)*(E1496=E$2:E1496)))))-COUNTBLANK(OFFSET(A$1,,,SUMPRODUCT(MAX(ROW(E$1:E1495)*(E1496=E$1:E1495))))))</f>
        <v/>
      </c>
      <c r="K1496" s="14" t="str">
        <f aca="false">IF(OR(E1496="",E1496="!!!",F1496="NEW"),"",INDEX(J$1:J1495,SUMPRODUCT(MAX(ROW(E$1:E1495)*(E1496=E$1:E1495)))))</f>
        <v/>
      </c>
      <c r="L1496" s="15"/>
    </row>
    <row r="1497" customFormat="false" ht="12.75" hidden="false" customHeight="false" outlineLevel="0" collapsed="false">
      <c r="A1497" s="0" t="s">
        <v>88</v>
      </c>
      <c r="E1497" s="9" t="str">
        <f aca="false">IF(D1497="?OLD","!!!","")</f>
        <v/>
      </c>
      <c r="F1497" s="10" t="str">
        <f aca="false">IF(OR(E1497="",E1497="!!!"),"",IF(NOT(ISNA(VLOOKUP(E1497,E$1:E1496,1,FALSE()))),"OLD",IF(AND(E1497&lt;&gt;"",E1497&lt;&gt;"!!!"),"NEW","")))</f>
        <v/>
      </c>
      <c r="G1497" s="11" t="str">
        <f aca="false">IF(OR(E1497="",E1497="!!!"),"",IF(OR(J1497=0,AND(J1497=1,K1497=1),AND(J1497=1,I1497="SBJ"),AND(J1497=1,I1497=0)),"?IN_FOCUS",IF(J1497&lt;=2,"?ACTIVATED",IF(J1497&lt;&gt;"","?FAMILIAR",IF(F1497="NEW",IF(ISNA(VLOOKUP(E1497,#REF!,1,FALSE())),"?TYPE_IDENTIFIABLE","?REFERENTIAL"),"_")))))</f>
        <v/>
      </c>
      <c r="H1497" s="12" t="str">
        <f aca="false">IF(J1497&lt;&gt;1,"",IF(I1497="SBJ","CB","?"))</f>
        <v/>
      </c>
      <c r="I1497" s="13" t="str">
        <f aca="false">IF(OR(E1497="",E1497="!!!",F1497="NEW"),"",INDEX(B$2:B1496,-1+SUMPRODUCT(MAX(ROW(E$2:E1496)*(E1497=E$2:E1496)))))</f>
        <v/>
      </c>
      <c r="J1497" s="14" t="str">
        <f aca="true">IF(OR(E1497="",E1497="!!!",F1497="NEW"),"",COUNTBLANK(OFFSET(A$1,,,SUMPRODUCT(MAX(ROW(E$2:E1497)*(E1497=E$2:E1497)))))-COUNTBLANK(OFFSET(A$1,,,SUMPRODUCT(MAX(ROW(E$1:E1496)*(E1497=E$1:E1496))))))</f>
        <v/>
      </c>
      <c r="K1497" s="14" t="str">
        <f aca="false">IF(OR(E1497="",E1497="!!!",F1497="NEW"),"",INDEX(J$1:J1496,SUMPRODUCT(MAX(ROW(E$1:E1496)*(E1497=E$1:E1496)))))</f>
        <v/>
      </c>
      <c r="L1497" s="15"/>
    </row>
    <row r="1498" customFormat="false" ht="12.75" hidden="false" customHeight="false" outlineLevel="0" collapsed="false">
      <c r="A1498" s="0" t="s">
        <v>660</v>
      </c>
      <c r="E1498" s="9" t="str">
        <f aca="false">IF(D1498="?OLD","!!!","")</f>
        <v/>
      </c>
      <c r="F1498" s="10" t="str">
        <f aca="false">IF(OR(E1498="",E1498="!!!"),"",IF(NOT(ISNA(VLOOKUP(E1498,E$1:E1497,1,FALSE()))),"OLD",IF(AND(E1498&lt;&gt;"",E1498&lt;&gt;"!!!"),"NEW","")))</f>
        <v/>
      </c>
      <c r="G1498" s="11" t="str">
        <f aca="false">IF(OR(E1498="",E1498="!!!"),"",IF(OR(J1498=0,AND(J1498=1,K1498=1),AND(J1498=1,I1498="SBJ"),AND(J1498=1,I1498=0)),"?IN_FOCUS",IF(J1498&lt;=2,"?ACTIVATED",IF(J1498&lt;&gt;"","?FAMILIAR",IF(F1498="NEW",IF(ISNA(VLOOKUP(E1498,#REF!,1,FALSE())),"?TYPE_IDENTIFIABLE","?REFERENTIAL"),"_")))))</f>
        <v/>
      </c>
      <c r="H1498" s="12" t="str">
        <f aca="false">IF(J1498&lt;&gt;1,"",IF(I1498="SBJ","CB","?"))</f>
        <v/>
      </c>
      <c r="I1498" s="13" t="str">
        <f aca="false">IF(OR(E1498="",E1498="!!!",F1498="NEW"),"",INDEX(B$2:B1497,-1+SUMPRODUCT(MAX(ROW(E$2:E1497)*(E1498=E$2:E1497)))))</f>
        <v/>
      </c>
      <c r="J1498" s="14" t="str">
        <f aca="true">IF(OR(E1498="",E1498="!!!",F1498="NEW"),"",COUNTBLANK(OFFSET(A$1,,,SUMPRODUCT(MAX(ROW(E$2:E1498)*(E1498=E$2:E1498)))))-COUNTBLANK(OFFSET(A$1,,,SUMPRODUCT(MAX(ROW(E$1:E1497)*(E1498=E$1:E1497))))))</f>
        <v/>
      </c>
      <c r="K1498" s="14" t="str">
        <f aca="false">IF(OR(E1498="",E1498="!!!",F1498="NEW"),"",INDEX(J$1:J1497,SUMPRODUCT(MAX(ROW(E$1:E1497)*(E1498=E$1:E1497)))))</f>
        <v/>
      </c>
      <c r="L1498" s="15"/>
    </row>
    <row r="1499" customFormat="false" ht="12.75" hidden="false" customHeight="false" outlineLevel="0" collapsed="false">
      <c r="A1499" s="0" t="s">
        <v>51</v>
      </c>
      <c r="E1499" s="9" t="str">
        <f aca="false">IF(D1499="?OLD","!!!","")</f>
        <v/>
      </c>
      <c r="F1499" s="10" t="str">
        <f aca="false">IF(OR(E1499="",E1499="!!!"),"",IF(NOT(ISNA(VLOOKUP(E1499,E$1:E1498,1,FALSE()))),"OLD",IF(AND(E1499&lt;&gt;"",E1499&lt;&gt;"!!!"),"NEW","")))</f>
        <v/>
      </c>
      <c r="G1499" s="11" t="str">
        <f aca="false">IF(OR(E1499="",E1499="!!!"),"",IF(OR(J1499=0,AND(J1499=1,K1499=1),AND(J1499=1,I1499="SBJ"),AND(J1499=1,I1499=0)),"?IN_FOCUS",IF(J1499&lt;=2,"?ACTIVATED",IF(J1499&lt;&gt;"","?FAMILIAR",IF(F1499="NEW",IF(ISNA(VLOOKUP(E1499,#REF!,1,FALSE())),"?TYPE_IDENTIFIABLE","?REFERENTIAL"),"_")))))</f>
        <v/>
      </c>
      <c r="H1499" s="12" t="str">
        <f aca="false">IF(J1499&lt;&gt;1,"",IF(I1499="SBJ","CB","?"))</f>
        <v/>
      </c>
      <c r="I1499" s="13" t="str">
        <f aca="false">IF(OR(E1499="",E1499="!!!",F1499="NEW"),"",INDEX(B$2:B1498,-1+SUMPRODUCT(MAX(ROW(E$2:E1498)*(E1499=E$2:E1498)))))</f>
        <v/>
      </c>
      <c r="J1499" s="14" t="str">
        <f aca="true">IF(OR(E1499="",E1499="!!!",F1499="NEW"),"",COUNTBLANK(OFFSET(A$1,,,SUMPRODUCT(MAX(ROW(E$2:E1499)*(E1499=E$2:E1499)))))-COUNTBLANK(OFFSET(A$1,,,SUMPRODUCT(MAX(ROW(E$1:E1498)*(E1499=E$1:E1498))))))</f>
        <v/>
      </c>
      <c r="K1499" s="14" t="str">
        <f aca="false">IF(OR(E1499="",E1499="!!!",F1499="NEW"),"",INDEX(J$1:J1498,SUMPRODUCT(MAX(ROW(E$1:E1498)*(E1499=E$1:E1498)))))</f>
        <v/>
      </c>
      <c r="L1499" s="15"/>
    </row>
    <row r="1500" customFormat="false" ht="12.75" hidden="false" customHeight="false" outlineLevel="0" collapsed="false">
      <c r="A1500" s="0" t="s">
        <v>66</v>
      </c>
      <c r="E1500" s="9" t="str">
        <f aca="false">IF(D1500="?OLD","!!!","")</f>
        <v/>
      </c>
      <c r="F1500" s="10" t="str">
        <f aca="false">IF(OR(E1500="",E1500="!!!"),"",IF(NOT(ISNA(VLOOKUP(E1500,E$1:E1499,1,FALSE()))),"OLD",IF(AND(E1500&lt;&gt;"",E1500&lt;&gt;"!!!"),"NEW","")))</f>
        <v/>
      </c>
      <c r="G1500" s="11" t="str">
        <f aca="false">IF(OR(E1500="",E1500="!!!"),"",IF(OR(J1500=0,AND(J1500=1,K1500=1),AND(J1500=1,I1500="SBJ"),AND(J1500=1,I1500=0)),"?IN_FOCUS",IF(J1500&lt;=2,"?ACTIVATED",IF(J1500&lt;&gt;"","?FAMILIAR",IF(F1500="NEW",IF(ISNA(VLOOKUP(E1500,#REF!,1,FALSE())),"?TYPE_IDENTIFIABLE","?REFERENTIAL"),"_")))))</f>
        <v/>
      </c>
      <c r="H1500" s="12" t="str">
        <f aca="false">IF(J1500&lt;&gt;1,"",IF(I1500="SBJ","CB","?"))</f>
        <v/>
      </c>
      <c r="I1500" s="13" t="str">
        <f aca="false">IF(OR(E1500="",E1500="!!!",F1500="NEW"),"",INDEX(B$2:B1499,-1+SUMPRODUCT(MAX(ROW(E$2:E1499)*(E1500=E$2:E1499)))))</f>
        <v/>
      </c>
      <c r="J1500" s="14" t="str">
        <f aca="true">IF(OR(E1500="",E1500="!!!",F1500="NEW"),"",COUNTBLANK(OFFSET(A$1,,,SUMPRODUCT(MAX(ROW(E$2:E1500)*(E1500=E$2:E1500)))))-COUNTBLANK(OFFSET(A$1,,,SUMPRODUCT(MAX(ROW(E$1:E1499)*(E1500=E$1:E1499))))))</f>
        <v/>
      </c>
      <c r="K1500" s="14" t="str">
        <f aca="false">IF(OR(E1500="",E1500="!!!",F1500="NEW"),"",INDEX(J$1:J1499,SUMPRODUCT(MAX(ROW(E$1:E1499)*(E1500=E$1:E1499)))))</f>
        <v/>
      </c>
      <c r="L1500" s="15"/>
    </row>
    <row r="1501" customFormat="false" ht="12.75" hidden="false" customHeight="false" outlineLevel="0" collapsed="false">
      <c r="A1501" s="0" t="s">
        <v>231</v>
      </c>
      <c r="B1501" s="0" t="s">
        <v>28</v>
      </c>
      <c r="C1501" s="0" t="s">
        <v>111</v>
      </c>
      <c r="D1501" s="0" t="s">
        <v>29</v>
      </c>
      <c r="E1501" s="9" t="str">
        <f aca="false">IF(D1501="?OLD","!!!","")</f>
        <v>!!!</v>
      </c>
      <c r="F1501" s="10" t="str">
        <f aca="false">IF(OR(E1501="",E1501="!!!"),"",IF(NOT(ISNA(VLOOKUP(E1501,E$1:E1500,1,FALSE()))),"OLD",IF(AND(E1501&lt;&gt;"",E1501&lt;&gt;"!!!"),"NEW","")))</f>
        <v/>
      </c>
      <c r="G1501" s="11" t="str">
        <f aca="false">IF(OR(E1501="",E1501="!!!"),"",IF(OR(J1501=0,AND(J1501=1,K1501=1),AND(J1501=1,I1501="SBJ"),AND(J1501=1,I1501=0)),"?IN_FOCUS",IF(J1501&lt;=2,"?ACTIVATED",IF(J1501&lt;&gt;"","?FAMILIAR",IF(F1501="NEW",IF(ISNA(VLOOKUP(E1501,#REF!,1,FALSE())),"?TYPE_IDENTIFIABLE","?REFERENTIAL"),"_")))))</f>
        <v/>
      </c>
      <c r="H1501" s="12" t="str">
        <f aca="false">IF(J1501&lt;&gt;1,"",IF(I1501="SBJ","CB","?"))</f>
        <v/>
      </c>
      <c r="I1501" s="13" t="str">
        <f aca="false">IF(OR(E1501="",E1501="!!!",F1501="NEW"),"",INDEX(B$2:B1500,-1+SUMPRODUCT(MAX(ROW(E$2:E1500)*(E1501=E$2:E1500)))))</f>
        <v/>
      </c>
      <c r="J1501" s="14" t="str">
        <f aca="true">IF(OR(E1501="",E1501="!!!",F1501="NEW"),"",COUNTBLANK(OFFSET(A$1,,,SUMPRODUCT(MAX(ROW(E$2:E1501)*(E1501=E$2:E1501)))))-COUNTBLANK(OFFSET(A$1,,,SUMPRODUCT(MAX(ROW(E$1:E1500)*(E1501=E$1:E1500))))))</f>
        <v/>
      </c>
      <c r="K1501" s="14" t="str">
        <f aca="false">IF(OR(E1501="",E1501="!!!",F1501="NEW"),"",INDEX(J$1:J1500,SUMPRODUCT(MAX(ROW(E$1:E1500)*(E1501=E$1:E1500)))))</f>
        <v/>
      </c>
      <c r="L1501" s="15"/>
    </row>
    <row r="1502" customFormat="false" ht="12.75" hidden="false" customHeight="false" outlineLevel="0" collapsed="false">
      <c r="A1502" s="0" t="s">
        <v>73</v>
      </c>
      <c r="E1502" s="9" t="str">
        <f aca="false">IF(D1502="?OLD","!!!","")</f>
        <v/>
      </c>
      <c r="F1502" s="10" t="str">
        <f aca="false">IF(OR(E1502="",E1502="!!!"),"",IF(NOT(ISNA(VLOOKUP(E1502,E$1:E1501,1,FALSE()))),"OLD",IF(AND(E1502&lt;&gt;"",E1502&lt;&gt;"!!!"),"NEW","")))</f>
        <v/>
      </c>
      <c r="G1502" s="11" t="str">
        <f aca="false">IF(OR(E1502="",E1502="!!!"),"",IF(OR(J1502=0,AND(J1502=1,K1502=1),AND(J1502=1,I1502="SBJ"),AND(J1502=1,I1502=0)),"?IN_FOCUS",IF(J1502&lt;=2,"?ACTIVATED",IF(J1502&lt;&gt;"","?FAMILIAR",IF(F1502="NEW",IF(ISNA(VLOOKUP(E1502,#REF!,1,FALSE())),"?TYPE_IDENTIFIABLE","?REFERENTIAL"),"_")))))</f>
        <v/>
      </c>
      <c r="H1502" s="12" t="str">
        <f aca="false">IF(J1502&lt;&gt;1,"",IF(I1502="SBJ","CB","?"))</f>
        <v/>
      </c>
      <c r="I1502" s="13" t="str">
        <f aca="false">IF(OR(E1502="",E1502="!!!",F1502="NEW"),"",INDEX(B$2:B1501,-1+SUMPRODUCT(MAX(ROW(E$2:E1501)*(E1502=E$2:E1501)))))</f>
        <v/>
      </c>
      <c r="J1502" s="14" t="str">
        <f aca="true">IF(OR(E1502="",E1502="!!!",F1502="NEW"),"",COUNTBLANK(OFFSET(A$1,,,SUMPRODUCT(MAX(ROW(E$2:E1502)*(E1502=E$2:E1502)))))-COUNTBLANK(OFFSET(A$1,,,SUMPRODUCT(MAX(ROW(E$1:E1501)*(E1502=E$1:E1501))))))</f>
        <v/>
      </c>
      <c r="K1502" s="14" t="str">
        <f aca="false">IF(OR(E1502="",E1502="!!!",F1502="NEW"),"",INDEX(J$1:J1501,SUMPRODUCT(MAX(ROW(E$1:E1501)*(E1502=E$1:E1501)))))</f>
        <v/>
      </c>
      <c r="L1502" s="15"/>
    </row>
    <row r="1503" customFormat="false" ht="12.75" hidden="false" customHeight="false" outlineLevel="0" collapsed="false">
      <c r="E1503" s="9" t="str">
        <f aca="false">IF(D1503="?OLD","!!!","")</f>
        <v/>
      </c>
      <c r="F1503" s="10" t="str">
        <f aca="false">IF(OR(E1503="",E1503="!!!"),"",IF(NOT(ISNA(VLOOKUP(E1503,E$1:E1502,1,FALSE()))),"OLD",IF(AND(E1503&lt;&gt;"",E1503&lt;&gt;"!!!"),"NEW","")))</f>
        <v/>
      </c>
      <c r="G1503" s="11" t="str">
        <f aca="false">IF(OR(E1503="",E1503="!!!"),"",IF(OR(J1503=0,AND(J1503=1,K1503=1),AND(J1503=1,I1503="SBJ"),AND(J1503=1,I1503=0)),"?IN_FOCUS",IF(J1503&lt;=2,"?ACTIVATED",IF(J1503&lt;&gt;"","?FAMILIAR",IF(F1503="NEW",IF(ISNA(VLOOKUP(E1503,#REF!,1,FALSE())),"?TYPE_IDENTIFIABLE","?REFERENTIAL"),"_")))))</f>
        <v/>
      </c>
      <c r="H1503" s="12" t="str">
        <f aca="false">IF(J1503&lt;&gt;1,"",IF(I1503="SBJ","CB","?"))</f>
        <v/>
      </c>
      <c r="I1503" s="13" t="str">
        <f aca="false">IF(OR(E1503="",E1503="!!!",F1503="NEW"),"",INDEX(B$2:B1502,-1+SUMPRODUCT(MAX(ROW(E$2:E1502)*(E1503=E$2:E1502)))))</f>
        <v/>
      </c>
      <c r="J1503" s="14" t="str">
        <f aca="true">IF(OR(E1503="",E1503="!!!",F1503="NEW"),"",COUNTBLANK(OFFSET(A$1,,,SUMPRODUCT(MAX(ROW(E$2:E1503)*(E1503=E$2:E1503)))))-COUNTBLANK(OFFSET(A$1,,,SUMPRODUCT(MAX(ROW(E$1:E1502)*(E1503=E$1:E1502))))))</f>
        <v/>
      </c>
      <c r="K1503" s="14" t="str">
        <f aca="false">IF(OR(E1503="",E1503="!!!",F1503="NEW"),"",INDEX(J$1:J1502,SUMPRODUCT(MAX(ROW(E$1:E1502)*(E1503=E$1:E1502)))))</f>
        <v/>
      </c>
      <c r="L1503" s="15"/>
    </row>
    <row r="1504" customFormat="false" ht="12.75" hidden="false" customHeight="false" outlineLevel="0" collapsed="false">
      <c r="A1504" s="0" t="s">
        <v>661</v>
      </c>
      <c r="E1504" s="9" t="str">
        <f aca="false">IF(D1504="?OLD","!!!","")</f>
        <v/>
      </c>
      <c r="F1504" s="10" t="str">
        <f aca="false">IF(OR(E1504="",E1504="!!!"),"",IF(NOT(ISNA(VLOOKUP(E1504,E$1:E1503,1,FALSE()))),"OLD",IF(AND(E1504&lt;&gt;"",E1504&lt;&gt;"!!!"),"NEW","")))</f>
        <v/>
      </c>
      <c r="G1504" s="11" t="str">
        <f aca="false">IF(OR(E1504="",E1504="!!!"),"",IF(OR(J1504=0,AND(J1504=1,K1504=1),AND(J1504=1,I1504="SBJ"),AND(J1504=1,I1504=0)),"?IN_FOCUS",IF(J1504&lt;=2,"?ACTIVATED",IF(J1504&lt;&gt;"","?FAMILIAR",IF(F1504="NEW",IF(ISNA(VLOOKUP(E1504,#REF!,1,FALSE())),"?TYPE_IDENTIFIABLE","?REFERENTIAL"),"_")))))</f>
        <v/>
      </c>
      <c r="H1504" s="12" t="str">
        <f aca="false">IF(J1504&lt;&gt;1,"",IF(I1504="SBJ","CB","?"))</f>
        <v/>
      </c>
      <c r="I1504" s="13" t="str">
        <f aca="false">IF(OR(E1504="",E1504="!!!",F1504="NEW"),"",INDEX(B$2:B1503,-1+SUMPRODUCT(MAX(ROW(E$2:E1503)*(E1504=E$2:E1503)))))</f>
        <v/>
      </c>
      <c r="J1504" s="14" t="str">
        <f aca="true">IF(OR(E1504="",E1504="!!!",F1504="NEW"),"",COUNTBLANK(OFFSET(A$1,,,SUMPRODUCT(MAX(ROW(E$2:E1504)*(E1504=E$2:E1504)))))-COUNTBLANK(OFFSET(A$1,,,SUMPRODUCT(MAX(ROW(E$1:E1503)*(E1504=E$1:E1503))))))</f>
        <v/>
      </c>
      <c r="K1504" s="14" t="str">
        <f aca="false">IF(OR(E1504="",E1504="!!!",F1504="NEW"),"",INDEX(J$1:J1503,SUMPRODUCT(MAX(ROW(E$1:E1503)*(E1504=E$1:E1503)))))</f>
        <v/>
      </c>
      <c r="L1504" s="15"/>
    </row>
    <row r="1505" customFormat="false" ht="12.75" hidden="false" customHeight="false" outlineLevel="0" collapsed="false">
      <c r="A1505" s="0" t="s">
        <v>662</v>
      </c>
      <c r="E1505" s="9" t="str">
        <f aca="false">IF(D1505="?OLD","!!!","")</f>
        <v/>
      </c>
      <c r="F1505" s="10" t="str">
        <f aca="false">IF(OR(E1505="",E1505="!!!"),"",IF(NOT(ISNA(VLOOKUP(E1505,E$1:E1504,1,FALSE()))),"OLD",IF(AND(E1505&lt;&gt;"",E1505&lt;&gt;"!!!"),"NEW","")))</f>
        <v/>
      </c>
      <c r="G1505" s="11" t="str">
        <f aca="false">IF(OR(E1505="",E1505="!!!"),"",IF(OR(J1505=0,AND(J1505=1,K1505=1),AND(J1505=1,I1505="SBJ"),AND(J1505=1,I1505=0)),"?IN_FOCUS",IF(J1505&lt;=2,"?ACTIVATED",IF(J1505&lt;&gt;"","?FAMILIAR",IF(F1505="NEW",IF(ISNA(VLOOKUP(E1505,#REF!,1,FALSE())),"?TYPE_IDENTIFIABLE","?REFERENTIAL"),"_")))))</f>
        <v/>
      </c>
      <c r="H1505" s="12" t="str">
        <f aca="false">IF(J1505&lt;&gt;1,"",IF(I1505="SBJ","CB","?"))</f>
        <v/>
      </c>
      <c r="I1505" s="13" t="str">
        <f aca="false">IF(OR(E1505="",E1505="!!!",F1505="NEW"),"",INDEX(B$2:B1504,-1+SUMPRODUCT(MAX(ROW(E$2:E1504)*(E1505=E$2:E1504)))))</f>
        <v/>
      </c>
      <c r="J1505" s="14" t="str">
        <f aca="true">IF(OR(E1505="",E1505="!!!",F1505="NEW"),"",COUNTBLANK(OFFSET(A$1,,,SUMPRODUCT(MAX(ROW(E$2:E1505)*(E1505=E$2:E1505)))))-COUNTBLANK(OFFSET(A$1,,,SUMPRODUCT(MAX(ROW(E$1:E1504)*(E1505=E$1:E1504))))))</f>
        <v/>
      </c>
      <c r="K1505" s="14" t="str">
        <f aca="false">IF(OR(E1505="",E1505="!!!",F1505="NEW"),"",INDEX(J$1:J1504,SUMPRODUCT(MAX(ROW(E$1:E1504)*(E1505=E$1:E1504)))))</f>
        <v/>
      </c>
      <c r="L1505" s="15"/>
    </row>
    <row r="1506" customFormat="false" ht="12.75" hidden="false" customHeight="false" outlineLevel="0" collapsed="false">
      <c r="A1506" s="0" t="s">
        <v>66</v>
      </c>
      <c r="E1506" s="9" t="str">
        <f aca="false">IF(D1506="?OLD","!!!","")</f>
        <v/>
      </c>
      <c r="F1506" s="10" t="str">
        <f aca="false">IF(OR(E1506="",E1506="!!!"),"",IF(NOT(ISNA(VLOOKUP(E1506,E$1:E1505,1,FALSE()))),"OLD",IF(AND(E1506&lt;&gt;"",E1506&lt;&gt;"!!!"),"NEW","")))</f>
        <v/>
      </c>
      <c r="G1506" s="11" t="str">
        <f aca="false">IF(OR(E1506="",E1506="!!!"),"",IF(OR(J1506=0,AND(J1506=1,K1506=1),AND(J1506=1,I1506="SBJ"),AND(J1506=1,I1506=0)),"?IN_FOCUS",IF(J1506&lt;=2,"?ACTIVATED",IF(J1506&lt;&gt;"","?FAMILIAR",IF(F1506="NEW",IF(ISNA(VLOOKUP(E1506,#REF!,1,FALSE())),"?TYPE_IDENTIFIABLE","?REFERENTIAL"),"_")))))</f>
        <v/>
      </c>
      <c r="H1506" s="12" t="str">
        <f aca="false">IF(J1506&lt;&gt;1,"",IF(I1506="SBJ","CB","?"))</f>
        <v/>
      </c>
      <c r="I1506" s="13" t="str">
        <f aca="false">IF(OR(E1506="",E1506="!!!",F1506="NEW"),"",INDEX(B$2:B1505,-1+SUMPRODUCT(MAX(ROW(E$2:E1505)*(E1506=E$2:E1505)))))</f>
        <v/>
      </c>
      <c r="J1506" s="14" t="str">
        <f aca="true">IF(OR(E1506="",E1506="!!!",F1506="NEW"),"",COUNTBLANK(OFFSET(A$1,,,SUMPRODUCT(MAX(ROW(E$2:E1506)*(E1506=E$2:E1506)))))-COUNTBLANK(OFFSET(A$1,,,SUMPRODUCT(MAX(ROW(E$1:E1505)*(E1506=E$1:E1505))))))</f>
        <v/>
      </c>
      <c r="K1506" s="14" t="str">
        <f aca="false">IF(OR(E1506="",E1506="!!!",F1506="NEW"),"",INDEX(J$1:J1505,SUMPRODUCT(MAX(ROW(E$1:E1505)*(E1506=E$1:E1505)))))</f>
        <v/>
      </c>
      <c r="L1506" s="15"/>
    </row>
    <row r="1507" customFormat="false" ht="12.75" hidden="false" customHeight="false" outlineLevel="0" collapsed="false">
      <c r="A1507" s="0" t="s">
        <v>663</v>
      </c>
      <c r="E1507" s="9" t="str">
        <f aca="false">IF(D1507="?OLD","!!!","")</f>
        <v/>
      </c>
      <c r="F1507" s="10" t="str">
        <f aca="false">IF(OR(E1507="",E1507="!!!"),"",IF(NOT(ISNA(VLOOKUP(E1507,E$1:E1506,1,FALSE()))),"OLD",IF(AND(E1507&lt;&gt;"",E1507&lt;&gt;"!!!"),"NEW","")))</f>
        <v/>
      </c>
      <c r="G1507" s="11" t="str">
        <f aca="false">IF(OR(E1507="",E1507="!!!"),"",IF(OR(J1507=0,AND(J1507=1,K1507=1),AND(J1507=1,I1507="SBJ"),AND(J1507=1,I1507=0)),"?IN_FOCUS",IF(J1507&lt;=2,"?ACTIVATED",IF(J1507&lt;&gt;"","?FAMILIAR",IF(F1507="NEW",IF(ISNA(VLOOKUP(E1507,#REF!,1,FALSE())),"?TYPE_IDENTIFIABLE","?REFERENTIAL"),"_")))))</f>
        <v/>
      </c>
      <c r="H1507" s="12" t="str">
        <f aca="false">IF(J1507&lt;&gt;1,"",IF(I1507="SBJ","CB","?"))</f>
        <v/>
      </c>
      <c r="I1507" s="13" t="str">
        <f aca="false">IF(OR(E1507="",E1507="!!!",F1507="NEW"),"",INDEX(B$2:B1506,-1+SUMPRODUCT(MAX(ROW(E$2:E1506)*(E1507=E$2:E1506)))))</f>
        <v/>
      </c>
      <c r="J1507" s="14" t="str">
        <f aca="true">IF(OR(E1507="",E1507="!!!",F1507="NEW"),"",COUNTBLANK(OFFSET(A$1,,,SUMPRODUCT(MAX(ROW(E$2:E1507)*(E1507=E$2:E1507)))))-COUNTBLANK(OFFSET(A$1,,,SUMPRODUCT(MAX(ROW(E$1:E1506)*(E1507=E$1:E1506))))))</f>
        <v/>
      </c>
      <c r="K1507" s="14" t="str">
        <f aca="false">IF(OR(E1507="",E1507="!!!",F1507="NEW"),"",INDEX(J$1:J1506,SUMPRODUCT(MAX(ROW(E$1:E1506)*(E1507=E$1:E1506)))))</f>
        <v/>
      </c>
      <c r="L1507" s="15"/>
    </row>
    <row r="1508" customFormat="false" ht="12.75" hidden="false" customHeight="false" outlineLevel="0" collapsed="false">
      <c r="A1508" s="0" t="s">
        <v>664</v>
      </c>
      <c r="E1508" s="9" t="str">
        <f aca="false">IF(D1508="?OLD","!!!","")</f>
        <v/>
      </c>
      <c r="F1508" s="10" t="str">
        <f aca="false">IF(OR(E1508="",E1508="!!!"),"",IF(NOT(ISNA(VLOOKUP(E1508,E$1:E1507,1,FALSE()))),"OLD",IF(AND(E1508&lt;&gt;"",E1508&lt;&gt;"!!!"),"NEW","")))</f>
        <v/>
      </c>
      <c r="G1508" s="11" t="str">
        <f aca="false">IF(OR(E1508="",E1508="!!!"),"",IF(OR(J1508=0,AND(J1508=1,K1508=1),AND(J1508=1,I1508="SBJ"),AND(J1508=1,I1508=0)),"?IN_FOCUS",IF(J1508&lt;=2,"?ACTIVATED",IF(J1508&lt;&gt;"","?FAMILIAR",IF(F1508="NEW",IF(ISNA(VLOOKUP(E1508,#REF!,1,FALSE())),"?TYPE_IDENTIFIABLE","?REFERENTIAL"),"_")))))</f>
        <v/>
      </c>
      <c r="H1508" s="12" t="str">
        <f aca="false">IF(J1508&lt;&gt;1,"",IF(I1508="SBJ","CB","?"))</f>
        <v/>
      </c>
      <c r="I1508" s="13" t="str">
        <f aca="false">IF(OR(E1508="",E1508="!!!",F1508="NEW"),"",INDEX(B$2:B1507,-1+SUMPRODUCT(MAX(ROW(E$2:E1507)*(E1508=E$2:E1507)))))</f>
        <v/>
      </c>
      <c r="J1508" s="14" t="str">
        <f aca="true">IF(OR(E1508="",E1508="!!!",F1508="NEW"),"",COUNTBLANK(OFFSET(A$1,,,SUMPRODUCT(MAX(ROW(E$2:E1508)*(E1508=E$2:E1508)))))-COUNTBLANK(OFFSET(A$1,,,SUMPRODUCT(MAX(ROW(E$1:E1507)*(E1508=E$1:E1507))))))</f>
        <v/>
      </c>
      <c r="K1508" s="14" t="str">
        <f aca="false">IF(OR(E1508="",E1508="!!!",F1508="NEW"),"",INDEX(J$1:J1507,SUMPRODUCT(MAX(ROW(E$1:E1507)*(E1508=E$1:E1507)))))</f>
        <v/>
      </c>
      <c r="L1508" s="15"/>
    </row>
    <row r="1509" customFormat="false" ht="12.75" hidden="false" customHeight="false" outlineLevel="0" collapsed="false">
      <c r="A1509" s="0" t="s">
        <v>665</v>
      </c>
      <c r="B1509" s="0" t="s">
        <v>14</v>
      </c>
      <c r="C1509" s="0" t="s">
        <v>15</v>
      </c>
      <c r="D1509" s="0" t="s">
        <v>29</v>
      </c>
      <c r="E1509" s="9" t="str">
        <f aca="false">IF(D1509="?OLD","!!!","")</f>
        <v>!!!</v>
      </c>
      <c r="F1509" s="10" t="str">
        <f aca="false">IF(OR(E1509="",E1509="!!!"),"",IF(NOT(ISNA(VLOOKUP(E1509,E$1:E1508,1,FALSE()))),"OLD",IF(AND(E1509&lt;&gt;"",E1509&lt;&gt;"!!!"),"NEW","")))</f>
        <v/>
      </c>
      <c r="G1509" s="11" t="str">
        <f aca="false">IF(OR(E1509="",E1509="!!!"),"",IF(OR(J1509=0,AND(J1509=1,K1509=1),AND(J1509=1,I1509="SBJ"),AND(J1509=1,I1509=0)),"?IN_FOCUS",IF(J1509&lt;=2,"?ACTIVATED",IF(J1509&lt;&gt;"","?FAMILIAR",IF(F1509="NEW",IF(ISNA(VLOOKUP(E1509,#REF!,1,FALSE())),"?TYPE_IDENTIFIABLE","?REFERENTIAL"),"_")))))</f>
        <v/>
      </c>
      <c r="H1509" s="12" t="str">
        <f aca="false">IF(J1509&lt;&gt;1,"",IF(I1509="SBJ","CB","?"))</f>
        <v/>
      </c>
      <c r="I1509" s="13" t="str">
        <f aca="false">IF(OR(E1509="",E1509="!!!",F1509="NEW"),"",INDEX(B$2:B1508,-1+SUMPRODUCT(MAX(ROW(E$2:E1508)*(E1509=E$2:E1508)))))</f>
        <v/>
      </c>
      <c r="J1509" s="14" t="str">
        <f aca="true">IF(OR(E1509="",E1509="!!!",F1509="NEW"),"",COUNTBLANK(OFFSET(A$1,,,SUMPRODUCT(MAX(ROW(E$2:E1509)*(E1509=E$2:E1509)))))-COUNTBLANK(OFFSET(A$1,,,SUMPRODUCT(MAX(ROW(E$1:E1508)*(E1509=E$1:E1508))))))</f>
        <v/>
      </c>
      <c r="K1509" s="14" t="str">
        <f aca="false">IF(OR(E1509="",E1509="!!!",F1509="NEW"),"",INDEX(J$1:J1508,SUMPRODUCT(MAX(ROW(E$1:E1508)*(E1509=E$1:E1508)))))</f>
        <v/>
      </c>
      <c r="L1509" s="15"/>
    </row>
    <row r="1510" customFormat="false" ht="12.75" hidden="false" customHeight="false" outlineLevel="0" collapsed="false">
      <c r="A1510" s="0" t="s">
        <v>19</v>
      </c>
      <c r="E1510" s="9" t="str">
        <f aca="false">IF(D1510="?OLD","!!!","")</f>
        <v/>
      </c>
      <c r="F1510" s="10" t="str">
        <f aca="false">IF(OR(E1510="",E1510="!!!"),"",IF(NOT(ISNA(VLOOKUP(E1510,E$1:E1509,1,FALSE()))),"OLD",IF(AND(E1510&lt;&gt;"",E1510&lt;&gt;"!!!"),"NEW","")))</f>
        <v/>
      </c>
      <c r="G1510" s="11" t="str">
        <f aca="false">IF(OR(E1510="",E1510="!!!"),"",IF(OR(J1510=0,AND(J1510=1,K1510=1),AND(J1510=1,I1510="SBJ"),AND(J1510=1,I1510=0)),"?IN_FOCUS",IF(J1510&lt;=2,"?ACTIVATED",IF(J1510&lt;&gt;"","?FAMILIAR",IF(F1510="NEW",IF(ISNA(VLOOKUP(E1510,#REF!,1,FALSE())),"?TYPE_IDENTIFIABLE","?REFERENTIAL"),"_")))))</f>
        <v/>
      </c>
      <c r="H1510" s="12" t="str">
        <f aca="false">IF(J1510&lt;&gt;1,"",IF(I1510="SBJ","CB","?"))</f>
        <v/>
      </c>
      <c r="I1510" s="13" t="str">
        <f aca="false">IF(OR(E1510="",E1510="!!!",F1510="NEW"),"",INDEX(B$2:B1509,-1+SUMPRODUCT(MAX(ROW(E$2:E1509)*(E1510=E$2:E1509)))))</f>
        <v/>
      </c>
      <c r="J1510" s="14" t="str">
        <f aca="true">IF(OR(E1510="",E1510="!!!",F1510="NEW"),"",COUNTBLANK(OFFSET(A$1,,,SUMPRODUCT(MAX(ROW(E$2:E1510)*(E1510=E$2:E1510)))))-COUNTBLANK(OFFSET(A$1,,,SUMPRODUCT(MAX(ROW(E$1:E1509)*(E1510=E$1:E1509))))))</f>
        <v/>
      </c>
      <c r="K1510" s="14" t="str">
        <f aca="false">IF(OR(E1510="",E1510="!!!",F1510="NEW"),"",INDEX(J$1:J1509,SUMPRODUCT(MAX(ROW(E$1:E1509)*(E1510=E$1:E1509)))))</f>
        <v/>
      </c>
      <c r="L1510" s="15"/>
    </row>
    <row r="1511" customFormat="false" ht="12.75" hidden="false" customHeight="false" outlineLevel="0" collapsed="false">
      <c r="A1511" s="0" t="s">
        <v>36</v>
      </c>
      <c r="B1511" s="0" t="s">
        <v>28</v>
      </c>
      <c r="C1511" s="0" t="s">
        <v>38</v>
      </c>
      <c r="D1511" s="0" t="s">
        <v>29</v>
      </c>
      <c r="E1511" s="9" t="str">
        <f aca="false">IF(D1511="?OLD","!!!","")</f>
        <v>!!!</v>
      </c>
      <c r="F1511" s="10" t="str">
        <f aca="false">IF(OR(E1511="",E1511="!!!"),"",IF(NOT(ISNA(VLOOKUP(E1511,E$1:E1510,1,FALSE()))),"OLD",IF(AND(E1511&lt;&gt;"",E1511&lt;&gt;"!!!"),"NEW","")))</f>
        <v/>
      </c>
      <c r="G1511" s="11" t="str">
        <f aca="false">IF(OR(E1511="",E1511="!!!"),"",IF(OR(J1511=0,AND(J1511=1,K1511=1),AND(J1511=1,I1511="SBJ"),AND(J1511=1,I1511=0)),"?IN_FOCUS",IF(J1511&lt;=2,"?ACTIVATED",IF(J1511&lt;&gt;"","?FAMILIAR",IF(F1511="NEW",IF(ISNA(VLOOKUP(E1511,#REF!,1,FALSE())),"?TYPE_IDENTIFIABLE","?REFERENTIAL"),"_")))))</f>
        <v/>
      </c>
      <c r="H1511" s="12" t="str">
        <f aca="false">IF(J1511&lt;&gt;1,"",IF(I1511="SBJ","CB","?"))</f>
        <v/>
      </c>
      <c r="I1511" s="13" t="str">
        <f aca="false">IF(OR(E1511="",E1511="!!!",F1511="NEW"),"",INDEX(B$2:B1510,-1+SUMPRODUCT(MAX(ROW(E$2:E1510)*(E1511=E$2:E1510)))))</f>
        <v/>
      </c>
      <c r="J1511" s="14" t="str">
        <f aca="true">IF(OR(E1511="",E1511="!!!",F1511="NEW"),"",COUNTBLANK(OFFSET(A$1,,,SUMPRODUCT(MAX(ROW(E$2:E1511)*(E1511=E$2:E1511)))))-COUNTBLANK(OFFSET(A$1,,,SUMPRODUCT(MAX(ROW(E$1:E1510)*(E1511=E$1:E1510))))))</f>
        <v/>
      </c>
      <c r="K1511" s="14" t="str">
        <f aca="false">IF(OR(E1511="",E1511="!!!",F1511="NEW"),"",INDEX(J$1:J1510,SUMPRODUCT(MAX(ROW(E$1:E1510)*(E1511=E$1:E1510)))))</f>
        <v/>
      </c>
      <c r="L1511" s="15"/>
    </row>
    <row r="1512" customFormat="false" ht="12.75" hidden="false" customHeight="false" outlineLevel="0" collapsed="false">
      <c r="A1512" s="0" t="s">
        <v>95</v>
      </c>
      <c r="E1512" s="9" t="str">
        <f aca="false">IF(D1512="?OLD","!!!","")</f>
        <v/>
      </c>
      <c r="F1512" s="10" t="str">
        <f aca="false">IF(OR(E1512="",E1512="!!!"),"",IF(NOT(ISNA(VLOOKUP(E1512,E$1:E1511,1,FALSE()))),"OLD",IF(AND(E1512&lt;&gt;"",E1512&lt;&gt;"!!!"),"NEW","")))</f>
        <v/>
      </c>
      <c r="G1512" s="11" t="str">
        <f aca="false">IF(OR(E1512="",E1512="!!!"),"",IF(OR(J1512=0,AND(J1512=1,K1512=1),AND(J1512=1,I1512="SBJ"),AND(J1512=1,I1512=0)),"?IN_FOCUS",IF(J1512&lt;=2,"?ACTIVATED",IF(J1512&lt;&gt;"","?FAMILIAR",IF(F1512="NEW",IF(ISNA(VLOOKUP(E1512,#REF!,1,FALSE())),"?TYPE_IDENTIFIABLE","?REFERENTIAL"),"_")))))</f>
        <v/>
      </c>
      <c r="H1512" s="12" t="str">
        <f aca="false">IF(J1512&lt;&gt;1,"",IF(I1512="SBJ","CB","?"))</f>
        <v/>
      </c>
      <c r="I1512" s="13" t="str">
        <f aca="false">IF(OR(E1512="",E1512="!!!",F1512="NEW"),"",INDEX(B$2:B1511,-1+SUMPRODUCT(MAX(ROW(E$2:E1511)*(E1512=E$2:E1511)))))</f>
        <v/>
      </c>
      <c r="J1512" s="14" t="str">
        <f aca="true">IF(OR(E1512="",E1512="!!!",F1512="NEW"),"",COUNTBLANK(OFFSET(A$1,,,SUMPRODUCT(MAX(ROW(E$2:E1512)*(E1512=E$2:E1512)))))-COUNTBLANK(OFFSET(A$1,,,SUMPRODUCT(MAX(ROW(E$1:E1511)*(E1512=E$1:E1511))))))</f>
        <v/>
      </c>
      <c r="K1512" s="14" t="str">
        <f aca="false">IF(OR(E1512="",E1512="!!!",F1512="NEW"),"",INDEX(J$1:J1511,SUMPRODUCT(MAX(ROW(E$1:E1511)*(E1512=E$1:E1511)))))</f>
        <v/>
      </c>
      <c r="L1512" s="15"/>
    </row>
    <row r="1513" customFormat="false" ht="12.75" hidden="false" customHeight="false" outlineLevel="0" collapsed="false">
      <c r="A1513" s="0" t="s">
        <v>666</v>
      </c>
      <c r="E1513" s="9" t="str">
        <f aca="false">IF(D1513="?OLD","!!!","")</f>
        <v/>
      </c>
      <c r="F1513" s="10" t="str">
        <f aca="false">IF(OR(E1513="",E1513="!!!"),"",IF(NOT(ISNA(VLOOKUP(E1513,E$1:E1512,1,FALSE()))),"OLD",IF(AND(E1513&lt;&gt;"",E1513&lt;&gt;"!!!"),"NEW","")))</f>
        <v/>
      </c>
      <c r="G1513" s="11" t="str">
        <f aca="false">IF(OR(E1513="",E1513="!!!"),"",IF(OR(J1513=0,AND(J1513=1,K1513=1),AND(J1513=1,I1513="SBJ"),AND(J1513=1,I1513=0)),"?IN_FOCUS",IF(J1513&lt;=2,"?ACTIVATED",IF(J1513&lt;&gt;"","?FAMILIAR",IF(F1513="NEW",IF(ISNA(VLOOKUP(E1513,#REF!,1,FALSE())),"?TYPE_IDENTIFIABLE","?REFERENTIAL"),"_")))))</f>
        <v/>
      </c>
      <c r="H1513" s="12" t="str">
        <f aca="false">IF(J1513&lt;&gt;1,"",IF(I1513="SBJ","CB","?"))</f>
        <v/>
      </c>
      <c r="I1513" s="13" t="str">
        <f aca="false">IF(OR(E1513="",E1513="!!!",F1513="NEW"),"",INDEX(B$2:B1512,-1+SUMPRODUCT(MAX(ROW(E$2:E1512)*(E1513=E$2:E1512)))))</f>
        <v/>
      </c>
      <c r="J1513" s="14" t="str">
        <f aca="true">IF(OR(E1513="",E1513="!!!",F1513="NEW"),"",COUNTBLANK(OFFSET(A$1,,,SUMPRODUCT(MAX(ROW(E$2:E1513)*(E1513=E$2:E1513)))))-COUNTBLANK(OFFSET(A$1,,,SUMPRODUCT(MAX(ROW(E$1:E1512)*(E1513=E$1:E1512))))))</f>
        <v/>
      </c>
      <c r="K1513" s="14" t="str">
        <f aca="false">IF(OR(E1513="",E1513="!!!",F1513="NEW"),"",INDEX(J$1:J1512,SUMPRODUCT(MAX(ROW(E$1:E1512)*(E1513=E$1:E1512)))))</f>
        <v/>
      </c>
      <c r="L1513" s="15"/>
    </row>
    <row r="1514" customFormat="false" ht="12.75" hidden="false" customHeight="false" outlineLevel="0" collapsed="false">
      <c r="A1514" s="0" t="s">
        <v>482</v>
      </c>
      <c r="E1514" s="9" t="str">
        <f aca="false">IF(D1514="?OLD","!!!","")</f>
        <v/>
      </c>
      <c r="F1514" s="10" t="str">
        <f aca="false">IF(OR(E1514="",E1514="!!!"),"",IF(NOT(ISNA(VLOOKUP(E1514,E$1:E1513,1,FALSE()))),"OLD",IF(AND(E1514&lt;&gt;"",E1514&lt;&gt;"!!!"),"NEW","")))</f>
        <v/>
      </c>
      <c r="G1514" s="11" t="str">
        <f aca="false">IF(OR(E1514="",E1514="!!!"),"",IF(OR(J1514=0,AND(J1514=1,K1514=1),AND(J1514=1,I1514="SBJ"),AND(J1514=1,I1514=0)),"?IN_FOCUS",IF(J1514&lt;=2,"?ACTIVATED",IF(J1514&lt;&gt;"","?FAMILIAR",IF(F1514="NEW",IF(ISNA(VLOOKUP(E1514,#REF!,1,FALSE())),"?TYPE_IDENTIFIABLE","?REFERENTIAL"),"_")))))</f>
        <v/>
      </c>
      <c r="H1514" s="12" t="str">
        <f aca="false">IF(J1514&lt;&gt;1,"",IF(I1514="SBJ","CB","?"))</f>
        <v/>
      </c>
      <c r="I1514" s="13" t="str">
        <f aca="false">IF(OR(E1514="",E1514="!!!",F1514="NEW"),"",INDEX(B$2:B1513,-1+SUMPRODUCT(MAX(ROW(E$2:E1513)*(E1514=E$2:E1513)))))</f>
        <v/>
      </c>
      <c r="J1514" s="14" t="str">
        <f aca="true">IF(OR(E1514="",E1514="!!!",F1514="NEW"),"",COUNTBLANK(OFFSET(A$1,,,SUMPRODUCT(MAX(ROW(E$2:E1514)*(E1514=E$2:E1514)))))-COUNTBLANK(OFFSET(A$1,,,SUMPRODUCT(MAX(ROW(E$1:E1513)*(E1514=E$1:E1513))))))</f>
        <v/>
      </c>
      <c r="K1514" s="14" t="str">
        <f aca="false">IF(OR(E1514="",E1514="!!!",F1514="NEW"),"",INDEX(J$1:J1513,SUMPRODUCT(MAX(ROW(E$1:E1513)*(E1514=E$1:E1513)))))</f>
        <v/>
      </c>
      <c r="L1514" s="15"/>
    </row>
    <row r="1515" customFormat="false" ht="12.75" hidden="false" customHeight="false" outlineLevel="0" collapsed="false">
      <c r="A1515" s="0" t="s">
        <v>66</v>
      </c>
      <c r="E1515" s="9" t="str">
        <f aca="false">IF(D1515="?OLD","!!!","")</f>
        <v/>
      </c>
      <c r="F1515" s="10" t="str">
        <f aca="false">IF(OR(E1515="",E1515="!!!"),"",IF(NOT(ISNA(VLOOKUP(E1515,E$1:E1514,1,FALSE()))),"OLD",IF(AND(E1515&lt;&gt;"",E1515&lt;&gt;"!!!"),"NEW","")))</f>
        <v/>
      </c>
      <c r="G1515" s="11" t="str">
        <f aca="false">IF(OR(E1515="",E1515="!!!"),"",IF(OR(J1515=0,AND(J1515=1,K1515=1),AND(J1515=1,I1515="SBJ"),AND(J1515=1,I1515=0)),"?IN_FOCUS",IF(J1515&lt;=2,"?ACTIVATED",IF(J1515&lt;&gt;"","?FAMILIAR",IF(F1515="NEW",IF(ISNA(VLOOKUP(E1515,#REF!,1,FALSE())),"?TYPE_IDENTIFIABLE","?REFERENTIAL"),"_")))))</f>
        <v/>
      </c>
      <c r="H1515" s="12" t="str">
        <f aca="false">IF(J1515&lt;&gt;1,"",IF(I1515="SBJ","CB","?"))</f>
        <v/>
      </c>
      <c r="I1515" s="13" t="str">
        <f aca="false">IF(OR(E1515="",E1515="!!!",F1515="NEW"),"",INDEX(B$2:B1514,-1+SUMPRODUCT(MAX(ROW(E$2:E1514)*(E1515=E$2:E1514)))))</f>
        <v/>
      </c>
      <c r="J1515" s="14" t="str">
        <f aca="true">IF(OR(E1515="",E1515="!!!",F1515="NEW"),"",COUNTBLANK(OFFSET(A$1,,,SUMPRODUCT(MAX(ROW(E$2:E1515)*(E1515=E$2:E1515)))))-COUNTBLANK(OFFSET(A$1,,,SUMPRODUCT(MAX(ROW(E$1:E1514)*(E1515=E$1:E1514))))))</f>
        <v/>
      </c>
      <c r="K1515" s="14" t="str">
        <f aca="false">IF(OR(E1515="",E1515="!!!",F1515="NEW"),"",INDEX(J$1:J1514,SUMPRODUCT(MAX(ROW(E$1:E1514)*(E1515=E$1:E1514)))))</f>
        <v/>
      </c>
      <c r="L1515" s="15"/>
    </row>
    <row r="1516" customFormat="false" ht="12.75" hidden="false" customHeight="false" outlineLevel="0" collapsed="false">
      <c r="A1516" s="0" t="s">
        <v>640</v>
      </c>
      <c r="E1516" s="9" t="str">
        <f aca="false">IF(D1516="?OLD","!!!","")</f>
        <v/>
      </c>
      <c r="F1516" s="10" t="str">
        <f aca="false">IF(OR(E1516="",E1516="!!!"),"",IF(NOT(ISNA(VLOOKUP(E1516,E$1:E1515,1,FALSE()))),"OLD",IF(AND(E1516&lt;&gt;"",E1516&lt;&gt;"!!!"),"NEW","")))</f>
        <v/>
      </c>
      <c r="G1516" s="11" t="str">
        <f aca="false">IF(OR(E1516="",E1516="!!!"),"",IF(OR(J1516=0,AND(J1516=1,K1516=1),AND(J1516=1,I1516="SBJ"),AND(J1516=1,I1516=0)),"?IN_FOCUS",IF(J1516&lt;=2,"?ACTIVATED",IF(J1516&lt;&gt;"","?FAMILIAR",IF(F1516="NEW",IF(ISNA(VLOOKUP(E1516,#REF!,1,FALSE())),"?TYPE_IDENTIFIABLE","?REFERENTIAL"),"_")))))</f>
        <v/>
      </c>
      <c r="H1516" s="12" t="str">
        <f aca="false">IF(J1516&lt;&gt;1,"",IF(I1516="SBJ","CB","?"))</f>
        <v/>
      </c>
      <c r="I1516" s="13" t="str">
        <f aca="false">IF(OR(E1516="",E1516="!!!",F1516="NEW"),"",INDEX(B$2:B1515,-1+SUMPRODUCT(MAX(ROW(E$2:E1515)*(E1516=E$2:E1515)))))</f>
        <v/>
      </c>
      <c r="J1516" s="14" t="str">
        <f aca="true">IF(OR(E1516="",E1516="!!!",F1516="NEW"),"",COUNTBLANK(OFFSET(A$1,,,SUMPRODUCT(MAX(ROW(E$2:E1516)*(E1516=E$2:E1516)))))-COUNTBLANK(OFFSET(A$1,,,SUMPRODUCT(MAX(ROW(E$1:E1515)*(E1516=E$1:E1515))))))</f>
        <v/>
      </c>
      <c r="K1516" s="14" t="str">
        <f aca="false">IF(OR(E1516="",E1516="!!!",F1516="NEW"),"",INDEX(J$1:J1515,SUMPRODUCT(MAX(ROW(E$1:E1515)*(E1516=E$1:E1515)))))</f>
        <v/>
      </c>
      <c r="L1516" s="15"/>
    </row>
    <row r="1517" customFormat="false" ht="12.75" hidden="false" customHeight="false" outlineLevel="0" collapsed="false">
      <c r="A1517" s="0" t="s">
        <v>667</v>
      </c>
      <c r="B1517" s="0" t="s">
        <v>62</v>
      </c>
      <c r="C1517" s="0" t="s">
        <v>111</v>
      </c>
      <c r="D1517" s="0" t="s">
        <v>29</v>
      </c>
      <c r="E1517" s="9" t="str">
        <f aca="false">IF(D1517="?OLD","!!!","")</f>
        <v>!!!</v>
      </c>
      <c r="F1517" s="10" t="str">
        <f aca="false">IF(OR(E1517="",E1517="!!!"),"",IF(NOT(ISNA(VLOOKUP(E1517,E$1:E1516,1,FALSE()))),"OLD",IF(AND(E1517&lt;&gt;"",E1517&lt;&gt;"!!!"),"NEW","")))</f>
        <v/>
      </c>
      <c r="G1517" s="11" t="str">
        <f aca="false">IF(OR(E1517="",E1517="!!!"),"",IF(OR(J1517=0,AND(J1517=1,K1517=1),AND(J1517=1,I1517="SBJ"),AND(J1517=1,I1517=0)),"?IN_FOCUS",IF(J1517&lt;=2,"?ACTIVATED",IF(J1517&lt;&gt;"","?FAMILIAR",IF(F1517="NEW",IF(ISNA(VLOOKUP(E1517,#REF!,1,FALSE())),"?TYPE_IDENTIFIABLE","?REFERENTIAL"),"_")))))</f>
        <v/>
      </c>
      <c r="H1517" s="12" t="str">
        <f aca="false">IF(J1517&lt;&gt;1,"",IF(I1517="SBJ","CB","?"))</f>
        <v/>
      </c>
      <c r="I1517" s="13" t="str">
        <f aca="false">IF(OR(E1517="",E1517="!!!",F1517="NEW"),"",INDEX(B$2:B1516,-1+SUMPRODUCT(MAX(ROW(E$2:E1516)*(E1517=E$2:E1516)))))</f>
        <v/>
      </c>
      <c r="J1517" s="14" t="str">
        <f aca="true">IF(OR(E1517="",E1517="!!!",F1517="NEW"),"",COUNTBLANK(OFFSET(A$1,,,SUMPRODUCT(MAX(ROW(E$2:E1517)*(E1517=E$2:E1517)))))-COUNTBLANK(OFFSET(A$1,,,SUMPRODUCT(MAX(ROW(E$1:E1516)*(E1517=E$1:E1516))))))</f>
        <v/>
      </c>
      <c r="K1517" s="14" t="str">
        <f aca="false">IF(OR(E1517="",E1517="!!!",F1517="NEW"),"",INDEX(J$1:J1516,SUMPRODUCT(MAX(ROW(E$1:E1516)*(E1517=E$1:E1516)))))</f>
        <v/>
      </c>
      <c r="L1517" s="15"/>
    </row>
    <row r="1518" customFormat="false" ht="12.75" hidden="false" customHeight="false" outlineLevel="0" collapsed="false">
      <c r="A1518" s="0" t="s">
        <v>19</v>
      </c>
      <c r="E1518" s="9" t="str">
        <f aca="false">IF(D1518="?OLD","!!!","")</f>
        <v/>
      </c>
      <c r="F1518" s="10" t="str">
        <f aca="false">IF(OR(E1518="",E1518="!!!"),"",IF(NOT(ISNA(VLOOKUP(E1518,E$1:E1517,1,FALSE()))),"OLD",IF(AND(E1518&lt;&gt;"",E1518&lt;&gt;"!!!"),"NEW","")))</f>
        <v/>
      </c>
      <c r="G1518" s="11" t="str">
        <f aca="false">IF(OR(E1518="",E1518="!!!"),"",IF(OR(J1518=0,AND(J1518=1,K1518=1),AND(J1518=1,I1518="SBJ"),AND(J1518=1,I1518=0)),"?IN_FOCUS",IF(J1518&lt;=2,"?ACTIVATED",IF(J1518&lt;&gt;"","?FAMILIAR",IF(F1518="NEW",IF(ISNA(VLOOKUP(E1518,#REF!,1,FALSE())),"?TYPE_IDENTIFIABLE","?REFERENTIAL"),"_")))))</f>
        <v/>
      </c>
      <c r="H1518" s="12" t="str">
        <f aca="false">IF(J1518&lt;&gt;1,"",IF(I1518="SBJ","CB","?"))</f>
        <v/>
      </c>
      <c r="I1518" s="13" t="str">
        <f aca="false">IF(OR(E1518="",E1518="!!!",F1518="NEW"),"",INDEX(B$2:B1517,-1+SUMPRODUCT(MAX(ROW(E$2:E1517)*(E1518=E$2:E1517)))))</f>
        <v/>
      </c>
      <c r="J1518" s="14" t="str">
        <f aca="true">IF(OR(E1518="",E1518="!!!",F1518="NEW"),"",COUNTBLANK(OFFSET(A$1,,,SUMPRODUCT(MAX(ROW(E$2:E1518)*(E1518=E$2:E1518)))))-COUNTBLANK(OFFSET(A$1,,,SUMPRODUCT(MAX(ROW(E$1:E1517)*(E1518=E$1:E1517))))))</f>
        <v/>
      </c>
      <c r="K1518" s="14" t="str">
        <f aca="false">IF(OR(E1518="",E1518="!!!",F1518="NEW"),"",INDEX(J$1:J1517,SUMPRODUCT(MAX(ROW(E$1:E1517)*(E1518=E$1:E1517)))))</f>
        <v/>
      </c>
      <c r="L1518" s="15"/>
    </row>
    <row r="1519" customFormat="false" ht="12.75" hidden="false" customHeight="false" outlineLevel="0" collapsed="false">
      <c r="A1519" s="0" t="s">
        <v>66</v>
      </c>
      <c r="E1519" s="9" t="str">
        <f aca="false">IF(D1519="?OLD","!!!","")</f>
        <v/>
      </c>
      <c r="F1519" s="10" t="str">
        <f aca="false">IF(OR(E1519="",E1519="!!!"),"",IF(NOT(ISNA(VLOOKUP(E1519,E$1:E1518,1,FALSE()))),"OLD",IF(AND(E1519&lt;&gt;"",E1519&lt;&gt;"!!!"),"NEW","")))</f>
        <v/>
      </c>
      <c r="G1519" s="11" t="str">
        <f aca="false">IF(OR(E1519="",E1519="!!!"),"",IF(OR(J1519=0,AND(J1519=1,K1519=1),AND(J1519=1,I1519="SBJ"),AND(J1519=1,I1519=0)),"?IN_FOCUS",IF(J1519&lt;=2,"?ACTIVATED",IF(J1519&lt;&gt;"","?FAMILIAR",IF(F1519="NEW",IF(ISNA(VLOOKUP(E1519,#REF!,1,FALSE())),"?TYPE_IDENTIFIABLE","?REFERENTIAL"),"_")))))</f>
        <v/>
      </c>
      <c r="H1519" s="12" t="str">
        <f aca="false">IF(J1519&lt;&gt;1,"",IF(I1519="SBJ","CB","?"))</f>
        <v/>
      </c>
      <c r="I1519" s="13" t="str">
        <f aca="false">IF(OR(E1519="",E1519="!!!",F1519="NEW"),"",INDEX(B$2:B1518,-1+SUMPRODUCT(MAX(ROW(E$2:E1518)*(E1519=E$2:E1518)))))</f>
        <v/>
      </c>
      <c r="J1519" s="14" t="str">
        <f aca="true">IF(OR(E1519="",E1519="!!!",F1519="NEW"),"",COUNTBLANK(OFFSET(A$1,,,SUMPRODUCT(MAX(ROW(E$2:E1519)*(E1519=E$2:E1519)))))-COUNTBLANK(OFFSET(A$1,,,SUMPRODUCT(MAX(ROW(E$1:E1518)*(E1519=E$1:E1518))))))</f>
        <v/>
      </c>
      <c r="K1519" s="14" t="str">
        <f aca="false">IF(OR(E1519="",E1519="!!!",F1519="NEW"),"",INDEX(J$1:J1518,SUMPRODUCT(MAX(ROW(E$1:E1518)*(E1519=E$1:E1518)))))</f>
        <v/>
      </c>
      <c r="L1519" s="15"/>
    </row>
    <row r="1520" customFormat="false" ht="12.75" hidden="false" customHeight="false" outlineLevel="0" collapsed="false">
      <c r="A1520" s="0" t="s">
        <v>668</v>
      </c>
      <c r="E1520" s="9" t="str">
        <f aca="false">IF(D1520="?OLD","!!!","")</f>
        <v/>
      </c>
      <c r="F1520" s="10" t="str">
        <f aca="false">IF(OR(E1520="",E1520="!!!"),"",IF(NOT(ISNA(VLOOKUP(E1520,E$1:E1519,1,FALSE()))),"OLD",IF(AND(E1520&lt;&gt;"",E1520&lt;&gt;"!!!"),"NEW","")))</f>
        <v/>
      </c>
      <c r="G1520" s="11" t="str">
        <f aca="false">IF(OR(E1520="",E1520="!!!"),"",IF(OR(J1520=0,AND(J1520=1,K1520=1),AND(J1520=1,I1520="SBJ"),AND(J1520=1,I1520=0)),"?IN_FOCUS",IF(J1520&lt;=2,"?ACTIVATED",IF(J1520&lt;&gt;"","?FAMILIAR",IF(F1520="NEW",IF(ISNA(VLOOKUP(E1520,#REF!,1,FALSE())),"?TYPE_IDENTIFIABLE","?REFERENTIAL"),"_")))))</f>
        <v/>
      </c>
      <c r="H1520" s="12" t="str">
        <f aca="false">IF(J1520&lt;&gt;1,"",IF(I1520="SBJ","CB","?"))</f>
        <v/>
      </c>
      <c r="I1520" s="13" t="str">
        <f aca="false">IF(OR(E1520="",E1520="!!!",F1520="NEW"),"",INDEX(B$2:B1519,-1+SUMPRODUCT(MAX(ROW(E$2:E1519)*(E1520=E$2:E1519)))))</f>
        <v/>
      </c>
      <c r="J1520" s="14" t="str">
        <f aca="true">IF(OR(E1520="",E1520="!!!",F1520="NEW"),"",COUNTBLANK(OFFSET(A$1,,,SUMPRODUCT(MAX(ROW(E$2:E1520)*(E1520=E$2:E1520)))))-COUNTBLANK(OFFSET(A$1,,,SUMPRODUCT(MAX(ROW(E$1:E1519)*(E1520=E$1:E1519))))))</f>
        <v/>
      </c>
      <c r="K1520" s="14" t="str">
        <f aca="false">IF(OR(E1520="",E1520="!!!",F1520="NEW"),"",INDEX(J$1:J1519,SUMPRODUCT(MAX(ROW(E$1:E1519)*(E1520=E$1:E1519)))))</f>
        <v/>
      </c>
      <c r="L1520" s="15"/>
    </row>
    <row r="1521" customFormat="false" ht="12.75" hidden="false" customHeight="false" outlineLevel="0" collapsed="false">
      <c r="A1521" s="0" t="s">
        <v>452</v>
      </c>
      <c r="B1521" s="0" t="s">
        <v>28</v>
      </c>
      <c r="C1521" s="0" t="s">
        <v>111</v>
      </c>
      <c r="D1521" s="0" t="s">
        <v>29</v>
      </c>
      <c r="E1521" s="9" t="str">
        <f aca="false">IF(D1521="?OLD","!!!","")</f>
        <v>!!!</v>
      </c>
      <c r="F1521" s="10" t="str">
        <f aca="false">IF(OR(E1521="",E1521="!!!"),"",IF(NOT(ISNA(VLOOKUP(E1521,E$1:E1520,1,FALSE()))),"OLD",IF(AND(E1521&lt;&gt;"",E1521&lt;&gt;"!!!"),"NEW","")))</f>
        <v/>
      </c>
      <c r="G1521" s="11" t="str">
        <f aca="false">IF(OR(E1521="",E1521="!!!"),"",IF(OR(J1521=0,AND(J1521=1,K1521=1),AND(J1521=1,I1521="SBJ"),AND(J1521=1,I1521=0)),"?IN_FOCUS",IF(J1521&lt;=2,"?ACTIVATED",IF(J1521&lt;&gt;"","?FAMILIAR",IF(F1521="NEW",IF(ISNA(VLOOKUP(E1521,#REF!,1,FALSE())),"?TYPE_IDENTIFIABLE","?REFERENTIAL"),"_")))))</f>
        <v/>
      </c>
      <c r="H1521" s="12" t="str">
        <f aca="false">IF(J1521&lt;&gt;1,"",IF(I1521="SBJ","CB","?"))</f>
        <v/>
      </c>
      <c r="I1521" s="13" t="str">
        <f aca="false">IF(OR(E1521="",E1521="!!!",F1521="NEW"),"",INDEX(B$2:B1520,-1+SUMPRODUCT(MAX(ROW(E$2:E1520)*(E1521=E$2:E1520)))))</f>
        <v/>
      </c>
      <c r="J1521" s="14" t="str">
        <f aca="true">IF(OR(E1521="",E1521="!!!",F1521="NEW"),"",COUNTBLANK(OFFSET(A$1,,,SUMPRODUCT(MAX(ROW(E$2:E1521)*(E1521=E$2:E1521)))))-COUNTBLANK(OFFSET(A$1,,,SUMPRODUCT(MAX(ROW(E$1:E1520)*(E1521=E$1:E1520))))))</f>
        <v/>
      </c>
      <c r="K1521" s="14" t="str">
        <f aca="false">IF(OR(E1521="",E1521="!!!",F1521="NEW"),"",INDEX(J$1:J1520,SUMPRODUCT(MAX(ROW(E$1:E1520)*(E1521=E$1:E1520)))))</f>
        <v/>
      </c>
      <c r="L1521" s="15"/>
    </row>
    <row r="1522" customFormat="false" ht="12.75" hidden="false" customHeight="false" outlineLevel="0" collapsed="false">
      <c r="A1522" s="0" t="s">
        <v>73</v>
      </c>
      <c r="E1522" s="9" t="str">
        <f aca="false">IF(D1522="?OLD","!!!","")</f>
        <v/>
      </c>
      <c r="F1522" s="10" t="str">
        <f aca="false">IF(OR(E1522="",E1522="!!!"),"",IF(NOT(ISNA(VLOOKUP(E1522,E$1:E1521,1,FALSE()))),"OLD",IF(AND(E1522&lt;&gt;"",E1522&lt;&gt;"!!!"),"NEW","")))</f>
        <v/>
      </c>
      <c r="G1522" s="11" t="str">
        <f aca="false">IF(OR(E1522="",E1522="!!!"),"",IF(OR(J1522=0,AND(J1522=1,K1522=1),AND(J1522=1,I1522="SBJ"),AND(J1522=1,I1522=0)),"?IN_FOCUS",IF(J1522&lt;=2,"?ACTIVATED",IF(J1522&lt;&gt;"","?FAMILIAR",IF(F1522="NEW",IF(ISNA(VLOOKUP(E1522,#REF!,1,FALSE())),"?TYPE_IDENTIFIABLE","?REFERENTIAL"),"_")))))</f>
        <v/>
      </c>
      <c r="H1522" s="12" t="str">
        <f aca="false">IF(J1522&lt;&gt;1,"",IF(I1522="SBJ","CB","?"))</f>
        <v/>
      </c>
      <c r="I1522" s="13" t="str">
        <f aca="false">IF(OR(E1522="",E1522="!!!",F1522="NEW"),"",INDEX(B$2:B1521,-1+SUMPRODUCT(MAX(ROW(E$2:E1521)*(E1522=E$2:E1521)))))</f>
        <v/>
      </c>
      <c r="J1522" s="14" t="str">
        <f aca="true">IF(OR(E1522="",E1522="!!!",F1522="NEW"),"",COUNTBLANK(OFFSET(A$1,,,SUMPRODUCT(MAX(ROW(E$2:E1522)*(E1522=E$2:E1522)))))-COUNTBLANK(OFFSET(A$1,,,SUMPRODUCT(MAX(ROW(E$1:E1521)*(E1522=E$1:E1521))))))</f>
        <v/>
      </c>
      <c r="K1522" s="14" t="str">
        <f aca="false">IF(OR(E1522="",E1522="!!!",F1522="NEW"),"",INDEX(J$1:J1521,SUMPRODUCT(MAX(ROW(E$1:E1521)*(E1522=E$1:E1521)))))</f>
        <v/>
      </c>
      <c r="L1522" s="15"/>
    </row>
    <row r="1523" customFormat="false" ht="12.75" hidden="false" customHeight="false" outlineLevel="0" collapsed="false">
      <c r="E1523" s="9" t="str">
        <f aca="false">IF(D1523="?OLD","!!!","")</f>
        <v/>
      </c>
      <c r="F1523" s="10" t="str">
        <f aca="false">IF(OR(E1523="",E1523="!!!"),"",IF(NOT(ISNA(VLOOKUP(E1523,E$1:E1522,1,FALSE()))),"OLD",IF(AND(E1523&lt;&gt;"",E1523&lt;&gt;"!!!"),"NEW","")))</f>
        <v/>
      </c>
      <c r="G1523" s="11" t="str">
        <f aca="false">IF(OR(E1523="",E1523="!!!"),"",IF(OR(J1523=0,AND(J1523=1,K1523=1),AND(J1523=1,I1523="SBJ"),AND(J1523=1,I1523=0)),"?IN_FOCUS",IF(J1523&lt;=2,"?ACTIVATED",IF(J1523&lt;&gt;"","?FAMILIAR",IF(F1523="NEW",IF(ISNA(VLOOKUP(E1523,#REF!,1,FALSE())),"?TYPE_IDENTIFIABLE","?REFERENTIAL"),"_")))))</f>
        <v/>
      </c>
      <c r="H1523" s="12" t="str">
        <f aca="false">IF(J1523&lt;&gt;1,"",IF(I1523="SBJ","CB","?"))</f>
        <v/>
      </c>
      <c r="I1523" s="13" t="str">
        <f aca="false">IF(OR(E1523="",E1523="!!!",F1523="NEW"),"",INDEX(B$2:B1522,-1+SUMPRODUCT(MAX(ROW(E$2:E1522)*(E1523=E$2:E1522)))))</f>
        <v/>
      </c>
      <c r="J1523" s="14" t="str">
        <f aca="true">IF(OR(E1523="",E1523="!!!",F1523="NEW"),"",COUNTBLANK(OFFSET(A$1,,,SUMPRODUCT(MAX(ROW(E$2:E1523)*(E1523=E$2:E1523)))))-COUNTBLANK(OFFSET(A$1,,,SUMPRODUCT(MAX(ROW(E$1:E1522)*(E1523=E$1:E1522))))))</f>
        <v/>
      </c>
      <c r="K1523" s="14" t="str">
        <f aca="false">IF(OR(E1523="",E1523="!!!",F1523="NEW"),"",INDEX(J$1:J1522,SUMPRODUCT(MAX(ROW(E$1:E1522)*(E1523=E$1:E1522)))))</f>
        <v/>
      </c>
      <c r="L1523" s="15"/>
    </row>
    <row r="1524" customFormat="false" ht="12.75" hidden="false" customHeight="false" outlineLevel="0" collapsed="false">
      <c r="A1524" s="0" t="s">
        <v>669</v>
      </c>
      <c r="E1524" s="9" t="str">
        <f aca="false">IF(D1524="?OLD","!!!","")</f>
        <v/>
      </c>
      <c r="F1524" s="10" t="str">
        <f aca="false">IF(OR(E1524="",E1524="!!!"),"",IF(NOT(ISNA(VLOOKUP(E1524,E$1:E1523,1,FALSE()))),"OLD",IF(AND(E1524&lt;&gt;"",E1524&lt;&gt;"!!!"),"NEW","")))</f>
        <v/>
      </c>
      <c r="G1524" s="11" t="str">
        <f aca="false">IF(OR(E1524="",E1524="!!!"),"",IF(OR(J1524=0,AND(J1524=1,K1524=1),AND(J1524=1,I1524="SBJ"),AND(J1524=1,I1524=0)),"?IN_FOCUS",IF(J1524&lt;=2,"?ACTIVATED",IF(J1524&lt;&gt;"","?FAMILIAR",IF(F1524="NEW",IF(ISNA(VLOOKUP(E1524,#REF!,1,FALSE())),"?TYPE_IDENTIFIABLE","?REFERENTIAL"),"_")))))</f>
        <v/>
      </c>
      <c r="H1524" s="12" t="str">
        <f aca="false">IF(J1524&lt;&gt;1,"",IF(I1524="SBJ","CB","?"))</f>
        <v/>
      </c>
      <c r="I1524" s="13" t="str">
        <f aca="false">IF(OR(E1524="",E1524="!!!",F1524="NEW"),"",INDEX(B$2:B1523,-1+SUMPRODUCT(MAX(ROW(E$2:E1523)*(E1524=E$2:E1523)))))</f>
        <v/>
      </c>
      <c r="J1524" s="14" t="str">
        <f aca="true">IF(OR(E1524="",E1524="!!!",F1524="NEW"),"",COUNTBLANK(OFFSET(A$1,,,SUMPRODUCT(MAX(ROW(E$2:E1524)*(E1524=E$2:E1524)))))-COUNTBLANK(OFFSET(A$1,,,SUMPRODUCT(MAX(ROW(E$1:E1523)*(E1524=E$1:E1523))))))</f>
        <v/>
      </c>
      <c r="K1524" s="14" t="str">
        <f aca="false">IF(OR(E1524="",E1524="!!!",F1524="NEW"),"",INDEX(J$1:J1523,SUMPRODUCT(MAX(ROW(E$1:E1523)*(E1524=E$1:E1523)))))</f>
        <v/>
      </c>
      <c r="L1524" s="15"/>
    </row>
    <row r="1525" customFormat="false" ht="12.75" hidden="false" customHeight="false" outlineLevel="0" collapsed="false">
      <c r="A1525" s="0" t="s">
        <v>109</v>
      </c>
      <c r="E1525" s="9" t="str">
        <f aca="false">IF(D1525="?OLD","!!!","")</f>
        <v/>
      </c>
      <c r="F1525" s="10" t="str">
        <f aca="false">IF(OR(E1525="",E1525="!!!"),"",IF(NOT(ISNA(VLOOKUP(E1525,E$1:E1524,1,FALSE()))),"OLD",IF(AND(E1525&lt;&gt;"",E1525&lt;&gt;"!!!"),"NEW","")))</f>
        <v/>
      </c>
      <c r="G1525" s="11" t="str">
        <f aca="false">IF(OR(E1525="",E1525="!!!"),"",IF(OR(J1525=0,AND(J1525=1,K1525=1),AND(J1525=1,I1525="SBJ"),AND(J1525=1,I1525=0)),"?IN_FOCUS",IF(J1525&lt;=2,"?ACTIVATED",IF(J1525&lt;&gt;"","?FAMILIAR",IF(F1525="NEW",IF(ISNA(VLOOKUP(E1525,#REF!,1,FALSE())),"?TYPE_IDENTIFIABLE","?REFERENTIAL"),"_")))))</f>
        <v/>
      </c>
      <c r="H1525" s="12" t="str">
        <f aca="false">IF(J1525&lt;&gt;1,"",IF(I1525="SBJ","CB","?"))</f>
        <v/>
      </c>
      <c r="I1525" s="13" t="str">
        <f aca="false">IF(OR(E1525="",E1525="!!!",F1525="NEW"),"",INDEX(B$2:B1524,-1+SUMPRODUCT(MAX(ROW(E$2:E1524)*(E1525=E$2:E1524)))))</f>
        <v/>
      </c>
      <c r="J1525" s="14" t="str">
        <f aca="true">IF(OR(E1525="",E1525="!!!",F1525="NEW"),"",COUNTBLANK(OFFSET(A$1,,,SUMPRODUCT(MAX(ROW(E$2:E1525)*(E1525=E$2:E1525)))))-COUNTBLANK(OFFSET(A$1,,,SUMPRODUCT(MAX(ROW(E$1:E1524)*(E1525=E$1:E1524))))))</f>
        <v/>
      </c>
      <c r="K1525" s="14" t="str">
        <f aca="false">IF(OR(E1525="",E1525="!!!",F1525="NEW"),"",INDEX(J$1:J1524,SUMPRODUCT(MAX(ROW(E$1:E1524)*(E1525=E$1:E1524)))))</f>
        <v/>
      </c>
      <c r="L1525" s="15"/>
    </row>
    <row r="1526" customFormat="false" ht="12.75" hidden="false" customHeight="false" outlineLevel="0" collapsed="false">
      <c r="A1526" s="0" t="s">
        <v>670</v>
      </c>
      <c r="E1526" s="9" t="str">
        <f aca="false">IF(D1526="?OLD","!!!","")</f>
        <v/>
      </c>
      <c r="F1526" s="10" t="str">
        <f aca="false">IF(OR(E1526="",E1526="!!!"),"",IF(NOT(ISNA(VLOOKUP(E1526,E$1:E1525,1,FALSE()))),"OLD",IF(AND(E1526&lt;&gt;"",E1526&lt;&gt;"!!!"),"NEW","")))</f>
        <v/>
      </c>
      <c r="G1526" s="11" t="str">
        <f aca="false">IF(OR(E1526="",E1526="!!!"),"",IF(OR(J1526=0,AND(J1526=1,K1526=1),AND(J1526=1,I1526="SBJ"),AND(J1526=1,I1526=0)),"?IN_FOCUS",IF(J1526&lt;=2,"?ACTIVATED",IF(J1526&lt;&gt;"","?FAMILIAR",IF(F1526="NEW",IF(ISNA(VLOOKUP(E1526,#REF!,1,FALSE())),"?TYPE_IDENTIFIABLE","?REFERENTIAL"),"_")))))</f>
        <v/>
      </c>
      <c r="H1526" s="12" t="str">
        <f aca="false">IF(J1526&lt;&gt;1,"",IF(I1526="SBJ","CB","?"))</f>
        <v/>
      </c>
      <c r="I1526" s="13" t="str">
        <f aca="false">IF(OR(E1526="",E1526="!!!",F1526="NEW"),"",INDEX(B$2:B1525,-1+SUMPRODUCT(MAX(ROW(E$2:E1525)*(E1526=E$2:E1525)))))</f>
        <v/>
      </c>
      <c r="J1526" s="14" t="str">
        <f aca="true">IF(OR(E1526="",E1526="!!!",F1526="NEW"),"",COUNTBLANK(OFFSET(A$1,,,SUMPRODUCT(MAX(ROW(E$2:E1526)*(E1526=E$2:E1526)))))-COUNTBLANK(OFFSET(A$1,,,SUMPRODUCT(MAX(ROW(E$1:E1525)*(E1526=E$1:E1525))))))</f>
        <v/>
      </c>
      <c r="K1526" s="14" t="str">
        <f aca="false">IF(OR(E1526="",E1526="!!!",F1526="NEW"),"",INDEX(J$1:J1525,SUMPRODUCT(MAX(ROW(E$1:E1525)*(E1526=E$1:E1525)))))</f>
        <v/>
      </c>
      <c r="L1526" s="15"/>
    </row>
    <row r="1527" customFormat="false" ht="12.75" hidden="false" customHeight="false" outlineLevel="0" collapsed="false">
      <c r="A1527" s="0" t="s">
        <v>437</v>
      </c>
      <c r="B1527" s="0" t="s">
        <v>14</v>
      </c>
      <c r="C1527" s="0" t="s">
        <v>111</v>
      </c>
      <c r="D1527" s="0" t="s">
        <v>29</v>
      </c>
      <c r="E1527" s="9" t="str">
        <f aca="false">IF(D1527="?OLD","!!!","")</f>
        <v>!!!</v>
      </c>
      <c r="F1527" s="10" t="str">
        <f aca="false">IF(OR(E1527="",E1527="!!!"),"",IF(NOT(ISNA(VLOOKUP(E1527,E$1:E1526,1,FALSE()))),"OLD",IF(AND(E1527&lt;&gt;"",E1527&lt;&gt;"!!!"),"NEW","")))</f>
        <v/>
      </c>
      <c r="G1527" s="11" t="str">
        <f aca="false">IF(OR(E1527="",E1527="!!!"),"",IF(OR(J1527=0,AND(J1527=1,K1527=1),AND(J1527=1,I1527="SBJ"),AND(J1527=1,I1527=0)),"?IN_FOCUS",IF(J1527&lt;=2,"?ACTIVATED",IF(J1527&lt;&gt;"","?FAMILIAR",IF(F1527="NEW",IF(ISNA(VLOOKUP(E1527,#REF!,1,FALSE())),"?TYPE_IDENTIFIABLE","?REFERENTIAL"),"_")))))</f>
        <v/>
      </c>
      <c r="H1527" s="12" t="str">
        <f aca="false">IF(J1527&lt;&gt;1,"",IF(I1527="SBJ","CB","?"))</f>
        <v/>
      </c>
      <c r="I1527" s="13" t="str">
        <f aca="false">IF(OR(E1527="",E1527="!!!",F1527="NEW"),"",INDEX(B$2:B1526,-1+SUMPRODUCT(MAX(ROW(E$2:E1526)*(E1527=E$2:E1526)))))</f>
        <v/>
      </c>
      <c r="J1527" s="14" t="str">
        <f aca="true">IF(OR(E1527="",E1527="!!!",F1527="NEW"),"",COUNTBLANK(OFFSET(A$1,,,SUMPRODUCT(MAX(ROW(E$2:E1527)*(E1527=E$2:E1527)))))-COUNTBLANK(OFFSET(A$1,,,SUMPRODUCT(MAX(ROW(E$1:E1526)*(E1527=E$1:E1526))))))</f>
        <v/>
      </c>
      <c r="K1527" s="14" t="str">
        <f aca="false">IF(OR(E1527="",E1527="!!!",F1527="NEW"),"",INDEX(J$1:J1526,SUMPRODUCT(MAX(ROW(E$1:E1526)*(E1527=E$1:E1526)))))</f>
        <v/>
      </c>
      <c r="L1527" s="15"/>
    </row>
    <row r="1528" customFormat="false" ht="12.75" hidden="false" customHeight="false" outlineLevel="0" collapsed="false">
      <c r="A1528" s="0" t="s">
        <v>19</v>
      </c>
      <c r="E1528" s="9" t="str">
        <f aca="false">IF(D1528="?OLD","!!!","")</f>
        <v/>
      </c>
      <c r="F1528" s="10" t="str">
        <f aca="false">IF(OR(E1528="",E1528="!!!"),"",IF(NOT(ISNA(VLOOKUP(E1528,E$1:E1527,1,FALSE()))),"OLD",IF(AND(E1528&lt;&gt;"",E1528&lt;&gt;"!!!"),"NEW","")))</f>
        <v/>
      </c>
      <c r="G1528" s="11" t="str">
        <f aca="false">IF(OR(E1528="",E1528="!!!"),"",IF(OR(J1528=0,AND(J1528=1,K1528=1),AND(J1528=1,I1528="SBJ"),AND(J1528=1,I1528=0)),"?IN_FOCUS",IF(J1528&lt;=2,"?ACTIVATED",IF(J1528&lt;&gt;"","?FAMILIAR",IF(F1528="NEW",IF(ISNA(VLOOKUP(E1528,#REF!,1,FALSE())),"?TYPE_IDENTIFIABLE","?REFERENTIAL"),"_")))))</f>
        <v/>
      </c>
      <c r="H1528" s="12" t="str">
        <f aca="false">IF(J1528&lt;&gt;1,"",IF(I1528="SBJ","CB","?"))</f>
        <v/>
      </c>
      <c r="I1528" s="13" t="str">
        <f aca="false">IF(OR(E1528="",E1528="!!!",F1528="NEW"),"",INDEX(B$2:B1527,-1+SUMPRODUCT(MAX(ROW(E$2:E1527)*(E1528=E$2:E1527)))))</f>
        <v/>
      </c>
      <c r="J1528" s="14" t="str">
        <f aca="true">IF(OR(E1528="",E1528="!!!",F1528="NEW"),"",COUNTBLANK(OFFSET(A$1,,,SUMPRODUCT(MAX(ROW(E$2:E1528)*(E1528=E$2:E1528)))))-COUNTBLANK(OFFSET(A$1,,,SUMPRODUCT(MAX(ROW(E$1:E1527)*(E1528=E$1:E1527))))))</f>
        <v/>
      </c>
      <c r="K1528" s="14" t="str">
        <f aca="false">IF(OR(E1528="",E1528="!!!",F1528="NEW"),"",INDEX(J$1:J1527,SUMPRODUCT(MAX(ROW(E$1:E1527)*(E1528=E$1:E1527)))))</f>
        <v/>
      </c>
      <c r="L1528" s="15"/>
    </row>
    <row r="1529" customFormat="false" ht="12.75" hidden="false" customHeight="false" outlineLevel="0" collapsed="false">
      <c r="A1529" s="0" t="s">
        <v>66</v>
      </c>
      <c r="E1529" s="9" t="str">
        <f aca="false">IF(D1529="?OLD","!!!","")</f>
        <v/>
      </c>
      <c r="F1529" s="10" t="str">
        <f aca="false">IF(OR(E1529="",E1529="!!!"),"",IF(NOT(ISNA(VLOOKUP(E1529,E$1:E1528,1,FALSE()))),"OLD",IF(AND(E1529&lt;&gt;"",E1529&lt;&gt;"!!!"),"NEW","")))</f>
        <v/>
      </c>
      <c r="G1529" s="11" t="str">
        <f aca="false">IF(OR(E1529="",E1529="!!!"),"",IF(OR(J1529=0,AND(J1529=1,K1529=1),AND(J1529=1,I1529="SBJ"),AND(J1529=1,I1529=0)),"?IN_FOCUS",IF(J1529&lt;=2,"?ACTIVATED",IF(J1529&lt;&gt;"","?FAMILIAR",IF(F1529="NEW",IF(ISNA(VLOOKUP(E1529,#REF!,1,FALSE())),"?TYPE_IDENTIFIABLE","?REFERENTIAL"),"_")))))</f>
        <v/>
      </c>
      <c r="H1529" s="12" t="str">
        <f aca="false">IF(J1529&lt;&gt;1,"",IF(I1529="SBJ","CB","?"))</f>
        <v/>
      </c>
      <c r="I1529" s="13" t="str">
        <f aca="false">IF(OR(E1529="",E1529="!!!",F1529="NEW"),"",INDEX(B$2:B1528,-1+SUMPRODUCT(MAX(ROW(E$2:E1528)*(E1529=E$2:E1528)))))</f>
        <v/>
      </c>
      <c r="J1529" s="14" t="str">
        <f aca="true">IF(OR(E1529="",E1529="!!!",F1529="NEW"),"",COUNTBLANK(OFFSET(A$1,,,SUMPRODUCT(MAX(ROW(E$2:E1529)*(E1529=E$2:E1529)))))-COUNTBLANK(OFFSET(A$1,,,SUMPRODUCT(MAX(ROW(E$1:E1528)*(E1529=E$1:E1528))))))</f>
        <v/>
      </c>
      <c r="K1529" s="14" t="str">
        <f aca="false">IF(OR(E1529="",E1529="!!!",F1529="NEW"),"",INDEX(J$1:J1528,SUMPRODUCT(MAX(ROW(E$1:E1528)*(E1529=E$1:E1528)))))</f>
        <v/>
      </c>
      <c r="L1529" s="15"/>
    </row>
    <row r="1530" customFormat="false" ht="12.75" hidden="false" customHeight="false" outlineLevel="0" collapsed="false">
      <c r="A1530" s="0" t="s">
        <v>440</v>
      </c>
      <c r="B1530" s="0" t="s">
        <v>28</v>
      </c>
      <c r="C1530" s="0" t="s">
        <v>111</v>
      </c>
      <c r="D1530" s="0" t="s">
        <v>29</v>
      </c>
      <c r="E1530" s="9" t="str">
        <f aca="false">IF(D1530="?OLD","!!!","")</f>
        <v>!!!</v>
      </c>
      <c r="F1530" s="10" t="str">
        <f aca="false">IF(OR(E1530="",E1530="!!!"),"",IF(NOT(ISNA(VLOOKUP(E1530,E$1:E1529,1,FALSE()))),"OLD",IF(AND(E1530&lt;&gt;"",E1530&lt;&gt;"!!!"),"NEW","")))</f>
        <v/>
      </c>
      <c r="G1530" s="11" t="str">
        <f aca="false">IF(OR(E1530="",E1530="!!!"),"",IF(OR(J1530=0,AND(J1530=1,K1530=1),AND(J1530=1,I1530="SBJ"),AND(J1530=1,I1530=0)),"?IN_FOCUS",IF(J1530&lt;=2,"?ACTIVATED",IF(J1530&lt;&gt;"","?FAMILIAR",IF(F1530="NEW",IF(ISNA(VLOOKUP(E1530,#REF!,1,FALSE())),"?TYPE_IDENTIFIABLE","?REFERENTIAL"),"_")))))</f>
        <v/>
      </c>
      <c r="H1530" s="12" t="str">
        <f aca="false">IF(J1530&lt;&gt;1,"",IF(I1530="SBJ","CB","?"))</f>
        <v/>
      </c>
      <c r="I1530" s="13" t="str">
        <f aca="false">IF(OR(E1530="",E1530="!!!",F1530="NEW"),"",INDEX(B$2:B1529,-1+SUMPRODUCT(MAX(ROW(E$2:E1529)*(E1530=E$2:E1529)))))</f>
        <v/>
      </c>
      <c r="J1530" s="14" t="str">
        <f aca="true">IF(OR(E1530="",E1530="!!!",F1530="NEW"),"",COUNTBLANK(OFFSET(A$1,,,SUMPRODUCT(MAX(ROW(E$2:E1530)*(E1530=E$2:E1530)))))-COUNTBLANK(OFFSET(A$1,,,SUMPRODUCT(MAX(ROW(E$1:E1529)*(E1530=E$1:E1529))))))</f>
        <v/>
      </c>
      <c r="K1530" s="14" t="str">
        <f aca="false">IF(OR(E1530="",E1530="!!!",F1530="NEW"),"",INDEX(J$1:J1529,SUMPRODUCT(MAX(ROW(E$1:E1529)*(E1530=E$1:E1529)))))</f>
        <v/>
      </c>
      <c r="L1530" s="15"/>
    </row>
    <row r="1531" customFormat="false" ht="12.75" hidden="false" customHeight="false" outlineLevel="0" collapsed="false">
      <c r="A1531" s="0" t="s">
        <v>48</v>
      </c>
      <c r="E1531" s="9" t="str">
        <f aca="false">IF(D1531="?OLD","!!!","")</f>
        <v/>
      </c>
      <c r="F1531" s="10" t="str">
        <f aca="false">IF(OR(E1531="",E1531="!!!"),"",IF(NOT(ISNA(VLOOKUP(E1531,E$1:E1530,1,FALSE()))),"OLD",IF(AND(E1531&lt;&gt;"",E1531&lt;&gt;"!!!"),"NEW","")))</f>
        <v/>
      </c>
      <c r="G1531" s="11" t="str">
        <f aca="false">IF(OR(E1531="",E1531="!!!"),"",IF(OR(J1531=0,AND(J1531=1,K1531=1),AND(J1531=1,I1531="SBJ"),AND(J1531=1,I1531=0)),"?IN_FOCUS",IF(J1531&lt;=2,"?ACTIVATED",IF(J1531&lt;&gt;"","?FAMILIAR",IF(F1531="NEW",IF(ISNA(VLOOKUP(E1531,#REF!,1,FALSE())),"?TYPE_IDENTIFIABLE","?REFERENTIAL"),"_")))))</f>
        <v/>
      </c>
      <c r="H1531" s="12" t="str">
        <f aca="false">IF(J1531&lt;&gt;1,"",IF(I1531="SBJ","CB","?"))</f>
        <v/>
      </c>
      <c r="I1531" s="13" t="str">
        <f aca="false">IF(OR(E1531="",E1531="!!!",F1531="NEW"),"",INDEX(B$2:B1530,-1+SUMPRODUCT(MAX(ROW(E$2:E1530)*(E1531=E$2:E1530)))))</f>
        <v/>
      </c>
      <c r="J1531" s="14" t="str">
        <f aca="true">IF(OR(E1531="",E1531="!!!",F1531="NEW"),"",COUNTBLANK(OFFSET(A$1,,,SUMPRODUCT(MAX(ROW(E$2:E1531)*(E1531=E$2:E1531)))))-COUNTBLANK(OFFSET(A$1,,,SUMPRODUCT(MAX(ROW(E$1:E1530)*(E1531=E$1:E1530))))))</f>
        <v/>
      </c>
      <c r="K1531" s="14" t="str">
        <f aca="false">IF(OR(E1531="",E1531="!!!",F1531="NEW"),"",INDEX(J$1:J1530,SUMPRODUCT(MAX(ROW(E$1:E1530)*(E1531=E$1:E1530)))))</f>
        <v/>
      </c>
      <c r="L1531" s="15"/>
    </row>
    <row r="1532" customFormat="false" ht="12.75" hidden="false" customHeight="false" outlineLevel="0" collapsed="false">
      <c r="A1532" s="0" t="s">
        <v>602</v>
      </c>
      <c r="E1532" s="9" t="str">
        <f aca="false">IF(D1532="?OLD","!!!","")</f>
        <v/>
      </c>
      <c r="F1532" s="10" t="str">
        <f aca="false">IF(OR(E1532="",E1532="!!!"),"",IF(NOT(ISNA(VLOOKUP(E1532,E$1:E1531,1,FALSE()))),"OLD",IF(AND(E1532&lt;&gt;"",E1532&lt;&gt;"!!!"),"NEW","")))</f>
        <v/>
      </c>
      <c r="G1532" s="11" t="str">
        <f aca="false">IF(OR(E1532="",E1532="!!!"),"",IF(OR(J1532=0,AND(J1532=1,K1532=1),AND(J1532=1,I1532="SBJ"),AND(J1532=1,I1532=0)),"?IN_FOCUS",IF(J1532&lt;=2,"?ACTIVATED",IF(J1532&lt;&gt;"","?FAMILIAR",IF(F1532="NEW",IF(ISNA(VLOOKUP(E1532,#REF!,1,FALSE())),"?TYPE_IDENTIFIABLE","?REFERENTIAL"),"_")))))</f>
        <v/>
      </c>
      <c r="H1532" s="12" t="str">
        <f aca="false">IF(J1532&lt;&gt;1,"",IF(I1532="SBJ","CB","?"))</f>
        <v/>
      </c>
      <c r="I1532" s="13" t="str">
        <f aca="false">IF(OR(E1532="",E1532="!!!",F1532="NEW"),"",INDEX(B$2:B1531,-1+SUMPRODUCT(MAX(ROW(E$2:E1531)*(E1532=E$2:E1531)))))</f>
        <v/>
      </c>
      <c r="J1532" s="14" t="str">
        <f aca="true">IF(OR(E1532="",E1532="!!!",F1532="NEW"),"",COUNTBLANK(OFFSET(A$1,,,SUMPRODUCT(MAX(ROW(E$2:E1532)*(E1532=E$2:E1532)))))-COUNTBLANK(OFFSET(A$1,,,SUMPRODUCT(MAX(ROW(E$1:E1531)*(E1532=E$1:E1531))))))</f>
        <v/>
      </c>
      <c r="K1532" s="14" t="str">
        <f aca="false">IF(OR(E1532="",E1532="!!!",F1532="NEW"),"",INDEX(J$1:J1531,SUMPRODUCT(MAX(ROW(E$1:E1531)*(E1532=E$1:E1531)))))</f>
        <v/>
      </c>
      <c r="L1532" s="15"/>
    </row>
    <row r="1533" customFormat="false" ht="12.75" hidden="false" customHeight="false" outlineLevel="0" collapsed="false">
      <c r="A1533" s="0" t="s">
        <v>671</v>
      </c>
      <c r="E1533" s="9" t="str">
        <f aca="false">IF(D1533="?OLD","!!!","")</f>
        <v/>
      </c>
      <c r="F1533" s="10" t="str">
        <f aca="false">IF(OR(E1533="",E1533="!!!"),"",IF(NOT(ISNA(VLOOKUP(E1533,E$1:E1532,1,FALSE()))),"OLD",IF(AND(E1533&lt;&gt;"",E1533&lt;&gt;"!!!"),"NEW","")))</f>
        <v/>
      </c>
      <c r="G1533" s="11" t="str">
        <f aca="false">IF(OR(E1533="",E1533="!!!"),"",IF(OR(J1533=0,AND(J1533=1,K1533=1),AND(J1533=1,I1533="SBJ"),AND(J1533=1,I1533=0)),"?IN_FOCUS",IF(J1533&lt;=2,"?ACTIVATED",IF(J1533&lt;&gt;"","?FAMILIAR",IF(F1533="NEW",IF(ISNA(VLOOKUP(E1533,#REF!,1,FALSE())),"?TYPE_IDENTIFIABLE","?REFERENTIAL"),"_")))))</f>
        <v/>
      </c>
      <c r="H1533" s="12" t="str">
        <f aca="false">IF(J1533&lt;&gt;1,"",IF(I1533="SBJ","CB","?"))</f>
        <v/>
      </c>
      <c r="I1533" s="13" t="str">
        <f aca="false">IF(OR(E1533="",E1533="!!!",F1533="NEW"),"",INDEX(B$2:B1532,-1+SUMPRODUCT(MAX(ROW(E$2:E1532)*(E1533=E$2:E1532)))))</f>
        <v/>
      </c>
      <c r="J1533" s="14" t="str">
        <f aca="true">IF(OR(E1533="",E1533="!!!",F1533="NEW"),"",COUNTBLANK(OFFSET(A$1,,,SUMPRODUCT(MAX(ROW(E$2:E1533)*(E1533=E$2:E1533)))))-COUNTBLANK(OFFSET(A$1,,,SUMPRODUCT(MAX(ROW(E$1:E1532)*(E1533=E$1:E1532))))))</f>
        <v/>
      </c>
      <c r="K1533" s="14" t="str">
        <f aca="false">IF(OR(E1533="",E1533="!!!",F1533="NEW"),"",INDEX(J$1:J1532,SUMPRODUCT(MAX(ROW(E$1:E1532)*(E1533=E$1:E1532)))))</f>
        <v/>
      </c>
      <c r="L1533" s="15"/>
    </row>
    <row r="1534" customFormat="false" ht="12.75" hidden="false" customHeight="false" outlineLevel="0" collapsed="false">
      <c r="A1534" s="0" t="s">
        <v>31</v>
      </c>
      <c r="E1534" s="9" t="str">
        <f aca="false">IF(D1534="?OLD","!!!","")</f>
        <v/>
      </c>
      <c r="F1534" s="10" t="str">
        <f aca="false">IF(OR(E1534="",E1534="!!!"),"",IF(NOT(ISNA(VLOOKUP(E1534,E$1:E1533,1,FALSE()))),"OLD",IF(AND(E1534&lt;&gt;"",E1534&lt;&gt;"!!!"),"NEW","")))</f>
        <v/>
      </c>
      <c r="G1534" s="11" t="str">
        <f aca="false">IF(OR(E1534="",E1534="!!!"),"",IF(OR(J1534=0,AND(J1534=1,K1534=1),AND(J1534=1,I1534="SBJ"),AND(J1534=1,I1534=0)),"?IN_FOCUS",IF(J1534&lt;=2,"?ACTIVATED",IF(J1534&lt;&gt;"","?FAMILIAR",IF(F1534="NEW",IF(ISNA(VLOOKUP(E1534,#REF!,1,FALSE())),"?TYPE_IDENTIFIABLE","?REFERENTIAL"),"_")))))</f>
        <v/>
      </c>
      <c r="H1534" s="12" t="str">
        <f aca="false">IF(J1534&lt;&gt;1,"",IF(I1534="SBJ","CB","?"))</f>
        <v/>
      </c>
      <c r="I1534" s="13" t="str">
        <f aca="false">IF(OR(E1534="",E1534="!!!",F1534="NEW"),"",INDEX(B$2:B1533,-1+SUMPRODUCT(MAX(ROW(E$2:E1533)*(E1534=E$2:E1533)))))</f>
        <v/>
      </c>
      <c r="J1534" s="14" t="str">
        <f aca="true">IF(OR(E1534="",E1534="!!!",F1534="NEW"),"",COUNTBLANK(OFFSET(A$1,,,SUMPRODUCT(MAX(ROW(E$2:E1534)*(E1534=E$2:E1534)))))-COUNTBLANK(OFFSET(A$1,,,SUMPRODUCT(MAX(ROW(E$1:E1533)*(E1534=E$1:E1533))))))</f>
        <v/>
      </c>
      <c r="K1534" s="14" t="str">
        <f aca="false">IF(OR(E1534="",E1534="!!!",F1534="NEW"),"",INDEX(J$1:J1533,SUMPRODUCT(MAX(ROW(E$1:E1533)*(E1534=E$1:E1533)))))</f>
        <v/>
      </c>
      <c r="L1534" s="15"/>
    </row>
    <row r="1535" customFormat="false" ht="12.75" hidden="false" customHeight="false" outlineLevel="0" collapsed="false">
      <c r="A1535" s="0" t="s">
        <v>88</v>
      </c>
      <c r="E1535" s="9" t="str">
        <f aca="false">IF(D1535="?OLD","!!!","")</f>
        <v/>
      </c>
      <c r="F1535" s="10" t="str">
        <f aca="false">IF(OR(E1535="",E1535="!!!"),"",IF(NOT(ISNA(VLOOKUP(E1535,E$1:E1534,1,FALSE()))),"OLD",IF(AND(E1535&lt;&gt;"",E1535&lt;&gt;"!!!"),"NEW","")))</f>
        <v/>
      </c>
      <c r="G1535" s="11" t="str">
        <f aca="false">IF(OR(E1535="",E1535="!!!"),"",IF(OR(J1535=0,AND(J1535=1,K1535=1),AND(J1535=1,I1535="SBJ"),AND(J1535=1,I1535=0)),"?IN_FOCUS",IF(J1535&lt;=2,"?ACTIVATED",IF(J1535&lt;&gt;"","?FAMILIAR",IF(F1535="NEW",IF(ISNA(VLOOKUP(E1535,#REF!,1,FALSE())),"?TYPE_IDENTIFIABLE","?REFERENTIAL"),"_")))))</f>
        <v/>
      </c>
      <c r="H1535" s="12" t="str">
        <f aca="false">IF(J1535&lt;&gt;1,"",IF(I1535="SBJ","CB","?"))</f>
        <v/>
      </c>
      <c r="I1535" s="13" t="str">
        <f aca="false">IF(OR(E1535="",E1535="!!!",F1535="NEW"),"",INDEX(B$2:B1534,-1+SUMPRODUCT(MAX(ROW(E$2:E1534)*(E1535=E$2:E1534)))))</f>
        <v/>
      </c>
      <c r="J1535" s="14" t="str">
        <f aca="true">IF(OR(E1535="",E1535="!!!",F1535="NEW"),"",COUNTBLANK(OFFSET(A$1,,,SUMPRODUCT(MAX(ROW(E$2:E1535)*(E1535=E$2:E1535)))))-COUNTBLANK(OFFSET(A$1,,,SUMPRODUCT(MAX(ROW(E$1:E1534)*(E1535=E$1:E1534))))))</f>
        <v/>
      </c>
      <c r="K1535" s="14" t="str">
        <f aca="false">IF(OR(E1535="",E1535="!!!",F1535="NEW"),"",INDEX(J$1:J1534,SUMPRODUCT(MAX(ROW(E$1:E1534)*(E1535=E$1:E1534)))))</f>
        <v/>
      </c>
      <c r="L1535" s="15"/>
    </row>
    <row r="1536" customFormat="false" ht="12.75" hidden="false" customHeight="false" outlineLevel="0" collapsed="false">
      <c r="A1536" s="0" t="s">
        <v>66</v>
      </c>
      <c r="E1536" s="9" t="str">
        <f aca="false">IF(D1536="?OLD","!!!","")</f>
        <v/>
      </c>
      <c r="F1536" s="10" t="str">
        <f aca="false">IF(OR(E1536="",E1536="!!!"),"",IF(NOT(ISNA(VLOOKUP(E1536,E$1:E1535,1,FALSE()))),"OLD",IF(AND(E1536&lt;&gt;"",E1536&lt;&gt;"!!!"),"NEW","")))</f>
        <v/>
      </c>
      <c r="G1536" s="11" t="str">
        <f aca="false">IF(OR(E1536="",E1536="!!!"),"",IF(OR(J1536=0,AND(J1536=1,K1536=1),AND(J1536=1,I1536="SBJ"),AND(J1536=1,I1536=0)),"?IN_FOCUS",IF(J1536&lt;=2,"?ACTIVATED",IF(J1536&lt;&gt;"","?FAMILIAR",IF(F1536="NEW",IF(ISNA(VLOOKUP(E1536,#REF!,1,FALSE())),"?TYPE_IDENTIFIABLE","?REFERENTIAL"),"_")))))</f>
        <v/>
      </c>
      <c r="H1536" s="12" t="str">
        <f aca="false">IF(J1536&lt;&gt;1,"",IF(I1536="SBJ","CB","?"))</f>
        <v/>
      </c>
      <c r="I1536" s="13" t="str">
        <f aca="false">IF(OR(E1536="",E1536="!!!",F1536="NEW"),"",INDEX(B$2:B1535,-1+SUMPRODUCT(MAX(ROW(E$2:E1535)*(E1536=E$2:E1535)))))</f>
        <v/>
      </c>
      <c r="J1536" s="14" t="str">
        <f aca="true">IF(OR(E1536="",E1536="!!!",F1536="NEW"),"",COUNTBLANK(OFFSET(A$1,,,SUMPRODUCT(MAX(ROW(E$2:E1536)*(E1536=E$2:E1536)))))-COUNTBLANK(OFFSET(A$1,,,SUMPRODUCT(MAX(ROW(E$1:E1535)*(E1536=E$1:E1535))))))</f>
        <v/>
      </c>
      <c r="K1536" s="14" t="str">
        <f aca="false">IF(OR(E1536="",E1536="!!!",F1536="NEW"),"",INDEX(J$1:J1535,SUMPRODUCT(MAX(ROW(E$1:E1535)*(E1536=E$1:E1535)))))</f>
        <v/>
      </c>
      <c r="L1536" s="15"/>
    </row>
    <row r="1537" customFormat="false" ht="12.75" hidden="false" customHeight="false" outlineLevel="0" collapsed="false">
      <c r="A1537" s="0" t="s">
        <v>672</v>
      </c>
      <c r="B1537" s="0" t="s">
        <v>42</v>
      </c>
      <c r="C1537" s="0" t="s">
        <v>111</v>
      </c>
      <c r="D1537" s="0" t="s">
        <v>29</v>
      </c>
      <c r="E1537" s="9" t="str">
        <f aca="false">IF(D1537="?OLD","!!!","")</f>
        <v>!!!</v>
      </c>
      <c r="F1537" s="10" t="str">
        <f aca="false">IF(OR(E1537="",E1537="!!!"),"",IF(NOT(ISNA(VLOOKUP(E1537,E$1:E1536,1,FALSE()))),"OLD",IF(AND(E1537&lt;&gt;"",E1537&lt;&gt;"!!!"),"NEW","")))</f>
        <v/>
      </c>
      <c r="G1537" s="11" t="str">
        <f aca="false">IF(OR(E1537="",E1537="!!!"),"",IF(OR(J1537=0,AND(J1537=1,K1537=1),AND(J1537=1,I1537="SBJ"),AND(J1537=1,I1537=0)),"?IN_FOCUS",IF(J1537&lt;=2,"?ACTIVATED",IF(J1537&lt;&gt;"","?FAMILIAR",IF(F1537="NEW",IF(ISNA(VLOOKUP(E1537,#REF!,1,FALSE())),"?TYPE_IDENTIFIABLE","?REFERENTIAL"),"_")))))</f>
        <v/>
      </c>
      <c r="H1537" s="12" t="str">
        <f aca="false">IF(J1537&lt;&gt;1,"",IF(I1537="SBJ","CB","?"))</f>
        <v/>
      </c>
      <c r="I1537" s="13" t="str">
        <f aca="false">IF(OR(E1537="",E1537="!!!",F1537="NEW"),"",INDEX(B$2:B1536,-1+SUMPRODUCT(MAX(ROW(E$2:E1536)*(E1537=E$2:E1536)))))</f>
        <v/>
      </c>
      <c r="J1537" s="14" t="str">
        <f aca="true">IF(OR(E1537="",E1537="!!!",F1537="NEW"),"",COUNTBLANK(OFFSET(A$1,,,SUMPRODUCT(MAX(ROW(E$2:E1537)*(E1537=E$2:E1537)))))-COUNTBLANK(OFFSET(A$1,,,SUMPRODUCT(MAX(ROW(E$1:E1536)*(E1537=E$1:E1536))))))</f>
        <v/>
      </c>
      <c r="K1537" s="14" t="str">
        <f aca="false">IF(OR(E1537="",E1537="!!!",F1537="NEW"),"",INDEX(J$1:J1536,SUMPRODUCT(MAX(ROW(E$1:E1536)*(E1537=E$1:E1536)))))</f>
        <v/>
      </c>
      <c r="L1537" s="15"/>
    </row>
    <row r="1538" customFormat="false" ht="12.75" hidden="false" customHeight="false" outlineLevel="0" collapsed="false">
      <c r="A1538" s="0" t="s">
        <v>95</v>
      </c>
      <c r="E1538" s="9" t="str">
        <f aca="false">IF(D1538="?OLD","!!!","")</f>
        <v/>
      </c>
      <c r="F1538" s="10" t="str">
        <f aca="false">IF(OR(E1538="",E1538="!!!"),"",IF(NOT(ISNA(VLOOKUP(E1538,E$1:E1537,1,FALSE()))),"OLD",IF(AND(E1538&lt;&gt;"",E1538&lt;&gt;"!!!"),"NEW","")))</f>
        <v/>
      </c>
      <c r="G1538" s="11" t="str">
        <f aca="false">IF(OR(E1538="",E1538="!!!"),"",IF(OR(J1538=0,AND(J1538=1,K1538=1),AND(J1538=1,I1538="SBJ"),AND(J1538=1,I1538=0)),"?IN_FOCUS",IF(J1538&lt;=2,"?ACTIVATED",IF(J1538&lt;&gt;"","?FAMILIAR",IF(F1538="NEW",IF(ISNA(VLOOKUP(E1538,#REF!,1,FALSE())),"?TYPE_IDENTIFIABLE","?REFERENTIAL"),"_")))))</f>
        <v/>
      </c>
      <c r="H1538" s="12" t="str">
        <f aca="false">IF(J1538&lt;&gt;1,"",IF(I1538="SBJ","CB","?"))</f>
        <v/>
      </c>
      <c r="I1538" s="13" t="str">
        <f aca="false">IF(OR(E1538="",E1538="!!!",F1538="NEW"),"",INDEX(B$2:B1537,-1+SUMPRODUCT(MAX(ROW(E$2:E1537)*(E1538=E$2:E1537)))))</f>
        <v/>
      </c>
      <c r="J1538" s="14" t="str">
        <f aca="true">IF(OR(E1538="",E1538="!!!",F1538="NEW"),"",COUNTBLANK(OFFSET(A$1,,,SUMPRODUCT(MAX(ROW(E$2:E1538)*(E1538=E$2:E1538)))))-COUNTBLANK(OFFSET(A$1,,,SUMPRODUCT(MAX(ROW(E$1:E1537)*(E1538=E$1:E1537))))))</f>
        <v/>
      </c>
      <c r="K1538" s="14" t="str">
        <f aca="false">IF(OR(E1538="",E1538="!!!",F1538="NEW"),"",INDEX(J$1:J1537,SUMPRODUCT(MAX(ROW(E$1:E1537)*(E1538=E$1:E1537)))))</f>
        <v/>
      </c>
      <c r="L1538" s="15"/>
    </row>
    <row r="1539" customFormat="false" ht="12.75" hidden="false" customHeight="false" outlineLevel="0" collapsed="false">
      <c r="A1539" s="0" t="s">
        <v>673</v>
      </c>
      <c r="E1539" s="9" t="str">
        <f aca="false">IF(D1539="?OLD","!!!","")</f>
        <v/>
      </c>
      <c r="F1539" s="10" t="str">
        <f aca="false">IF(OR(E1539="",E1539="!!!"),"",IF(NOT(ISNA(VLOOKUP(E1539,E$1:E1538,1,FALSE()))),"OLD",IF(AND(E1539&lt;&gt;"",E1539&lt;&gt;"!!!"),"NEW","")))</f>
        <v/>
      </c>
      <c r="G1539" s="11" t="str">
        <f aca="false">IF(OR(E1539="",E1539="!!!"),"",IF(OR(J1539=0,AND(J1539=1,K1539=1),AND(J1539=1,I1539="SBJ"),AND(J1539=1,I1539=0)),"?IN_FOCUS",IF(J1539&lt;=2,"?ACTIVATED",IF(J1539&lt;&gt;"","?FAMILIAR",IF(F1539="NEW",IF(ISNA(VLOOKUP(E1539,#REF!,1,FALSE())),"?TYPE_IDENTIFIABLE","?REFERENTIAL"),"_")))))</f>
        <v/>
      </c>
      <c r="H1539" s="12" t="str">
        <f aca="false">IF(J1539&lt;&gt;1,"",IF(I1539="SBJ","CB","?"))</f>
        <v/>
      </c>
      <c r="I1539" s="13" t="str">
        <f aca="false">IF(OR(E1539="",E1539="!!!",F1539="NEW"),"",INDEX(B$2:B1538,-1+SUMPRODUCT(MAX(ROW(E$2:E1538)*(E1539=E$2:E1538)))))</f>
        <v/>
      </c>
      <c r="J1539" s="14" t="str">
        <f aca="true">IF(OR(E1539="",E1539="!!!",F1539="NEW"),"",COUNTBLANK(OFFSET(A$1,,,SUMPRODUCT(MAX(ROW(E$2:E1539)*(E1539=E$2:E1539)))))-COUNTBLANK(OFFSET(A$1,,,SUMPRODUCT(MAX(ROW(E$1:E1538)*(E1539=E$1:E1538))))))</f>
        <v/>
      </c>
      <c r="K1539" s="14" t="str">
        <f aca="false">IF(OR(E1539="",E1539="!!!",F1539="NEW"),"",INDEX(J$1:J1538,SUMPRODUCT(MAX(ROW(E$1:E1538)*(E1539=E$1:E1538)))))</f>
        <v/>
      </c>
      <c r="L1539" s="15"/>
    </row>
    <row r="1540" customFormat="false" ht="12.75" hidden="false" customHeight="false" outlineLevel="0" collapsed="false">
      <c r="A1540" s="0" t="s">
        <v>513</v>
      </c>
      <c r="E1540" s="9" t="str">
        <f aca="false">IF(D1540="?OLD","!!!","")</f>
        <v/>
      </c>
      <c r="F1540" s="10" t="str">
        <f aca="false">IF(OR(E1540="",E1540="!!!"),"",IF(NOT(ISNA(VLOOKUP(E1540,E$1:E1539,1,FALSE()))),"OLD",IF(AND(E1540&lt;&gt;"",E1540&lt;&gt;"!!!"),"NEW","")))</f>
        <v/>
      </c>
      <c r="G1540" s="11" t="str">
        <f aca="false">IF(OR(E1540="",E1540="!!!"),"",IF(OR(J1540=0,AND(J1540=1,K1540=1),AND(J1540=1,I1540="SBJ"),AND(J1540=1,I1540=0)),"?IN_FOCUS",IF(J1540&lt;=2,"?ACTIVATED",IF(J1540&lt;&gt;"","?FAMILIAR",IF(F1540="NEW",IF(ISNA(VLOOKUP(E1540,#REF!,1,FALSE())),"?TYPE_IDENTIFIABLE","?REFERENTIAL"),"_")))))</f>
        <v/>
      </c>
      <c r="H1540" s="12" t="str">
        <f aca="false">IF(J1540&lt;&gt;1,"",IF(I1540="SBJ","CB","?"))</f>
        <v/>
      </c>
      <c r="I1540" s="13" t="str">
        <f aca="false">IF(OR(E1540="",E1540="!!!",F1540="NEW"),"",INDEX(B$2:B1539,-1+SUMPRODUCT(MAX(ROW(E$2:E1539)*(E1540=E$2:E1539)))))</f>
        <v/>
      </c>
      <c r="J1540" s="14" t="str">
        <f aca="true">IF(OR(E1540="",E1540="!!!",F1540="NEW"),"",COUNTBLANK(OFFSET(A$1,,,SUMPRODUCT(MAX(ROW(E$2:E1540)*(E1540=E$2:E1540)))))-COUNTBLANK(OFFSET(A$1,,,SUMPRODUCT(MAX(ROW(E$1:E1539)*(E1540=E$1:E1539))))))</f>
        <v/>
      </c>
      <c r="K1540" s="14" t="str">
        <f aca="false">IF(OR(E1540="",E1540="!!!",F1540="NEW"),"",INDEX(J$1:J1539,SUMPRODUCT(MAX(ROW(E$1:E1539)*(E1540=E$1:E1539)))))</f>
        <v/>
      </c>
      <c r="L1540" s="15"/>
    </row>
    <row r="1541" customFormat="false" ht="12.75" hidden="false" customHeight="false" outlineLevel="0" collapsed="false">
      <c r="A1541" s="0" t="s">
        <v>19</v>
      </c>
      <c r="E1541" s="9" t="str">
        <f aca="false">IF(D1541="?OLD","!!!","")</f>
        <v/>
      </c>
      <c r="F1541" s="10" t="str">
        <f aca="false">IF(OR(E1541="",E1541="!!!"),"",IF(NOT(ISNA(VLOOKUP(E1541,E$1:E1540,1,FALSE()))),"OLD",IF(AND(E1541&lt;&gt;"",E1541&lt;&gt;"!!!"),"NEW","")))</f>
        <v/>
      </c>
      <c r="G1541" s="11" t="str">
        <f aca="false">IF(OR(E1541="",E1541="!!!"),"",IF(OR(J1541=0,AND(J1541=1,K1541=1),AND(J1541=1,I1541="SBJ"),AND(J1541=1,I1541=0)),"?IN_FOCUS",IF(J1541&lt;=2,"?ACTIVATED",IF(J1541&lt;&gt;"","?FAMILIAR",IF(F1541="NEW",IF(ISNA(VLOOKUP(E1541,#REF!,1,FALSE())),"?TYPE_IDENTIFIABLE","?REFERENTIAL"),"_")))))</f>
        <v/>
      </c>
      <c r="H1541" s="12" t="str">
        <f aca="false">IF(J1541&lt;&gt;1,"",IF(I1541="SBJ","CB","?"))</f>
        <v/>
      </c>
      <c r="I1541" s="13" t="str">
        <f aca="false">IF(OR(E1541="",E1541="!!!",F1541="NEW"),"",INDEX(B$2:B1540,-1+SUMPRODUCT(MAX(ROW(E$2:E1540)*(E1541=E$2:E1540)))))</f>
        <v/>
      </c>
      <c r="J1541" s="14" t="str">
        <f aca="true">IF(OR(E1541="",E1541="!!!",F1541="NEW"),"",COUNTBLANK(OFFSET(A$1,,,SUMPRODUCT(MAX(ROW(E$2:E1541)*(E1541=E$2:E1541)))))-COUNTBLANK(OFFSET(A$1,,,SUMPRODUCT(MAX(ROW(E$1:E1540)*(E1541=E$1:E1540))))))</f>
        <v/>
      </c>
      <c r="K1541" s="14" t="str">
        <f aca="false">IF(OR(E1541="",E1541="!!!",F1541="NEW"),"",INDEX(J$1:J1540,SUMPRODUCT(MAX(ROW(E$1:E1540)*(E1541=E$1:E1540)))))</f>
        <v/>
      </c>
      <c r="L1541" s="15"/>
    </row>
    <row r="1542" customFormat="false" ht="12.75" hidden="false" customHeight="false" outlineLevel="0" collapsed="false">
      <c r="A1542" s="0" t="s">
        <v>40</v>
      </c>
      <c r="E1542" s="9" t="str">
        <f aca="false">IF(D1542="?OLD","!!!","")</f>
        <v/>
      </c>
      <c r="F1542" s="10" t="str">
        <f aca="false">IF(OR(E1542="",E1542="!!!"),"",IF(NOT(ISNA(VLOOKUP(E1542,E$1:E1541,1,FALSE()))),"OLD",IF(AND(E1542&lt;&gt;"",E1542&lt;&gt;"!!!"),"NEW","")))</f>
        <v/>
      </c>
      <c r="G1542" s="11" t="str">
        <f aca="false">IF(OR(E1542="",E1542="!!!"),"",IF(OR(J1542=0,AND(J1542=1,K1542=1),AND(J1542=1,I1542="SBJ"),AND(J1542=1,I1542=0)),"?IN_FOCUS",IF(J1542&lt;=2,"?ACTIVATED",IF(J1542&lt;&gt;"","?FAMILIAR",IF(F1542="NEW",IF(ISNA(VLOOKUP(E1542,#REF!,1,FALSE())),"?TYPE_IDENTIFIABLE","?REFERENTIAL"),"_")))))</f>
        <v/>
      </c>
      <c r="H1542" s="12" t="str">
        <f aca="false">IF(J1542&lt;&gt;1,"",IF(I1542="SBJ","CB","?"))</f>
        <v/>
      </c>
      <c r="I1542" s="13" t="str">
        <f aca="false">IF(OR(E1542="",E1542="!!!",F1542="NEW"),"",INDEX(B$2:B1541,-1+SUMPRODUCT(MAX(ROW(E$2:E1541)*(E1542=E$2:E1541)))))</f>
        <v/>
      </c>
      <c r="J1542" s="14" t="str">
        <f aca="true">IF(OR(E1542="",E1542="!!!",F1542="NEW"),"",COUNTBLANK(OFFSET(A$1,,,SUMPRODUCT(MAX(ROW(E$2:E1542)*(E1542=E$2:E1542)))))-COUNTBLANK(OFFSET(A$1,,,SUMPRODUCT(MAX(ROW(E$1:E1541)*(E1542=E$1:E1541))))))</f>
        <v/>
      </c>
      <c r="K1542" s="14" t="str">
        <f aca="false">IF(OR(E1542="",E1542="!!!",F1542="NEW"),"",INDEX(J$1:J1541,SUMPRODUCT(MAX(ROW(E$1:E1541)*(E1542=E$1:E1541)))))</f>
        <v/>
      </c>
      <c r="L1542" s="15"/>
    </row>
    <row r="1543" customFormat="false" ht="12.75" hidden="false" customHeight="false" outlineLevel="0" collapsed="false">
      <c r="A1543" s="0" t="s">
        <v>674</v>
      </c>
      <c r="B1543" s="0" t="s">
        <v>28</v>
      </c>
      <c r="C1543" s="0" t="s">
        <v>43</v>
      </c>
      <c r="E1543" s="9" t="str">
        <f aca="false">IF(D1543="?OLD","!!!","")</f>
        <v/>
      </c>
      <c r="F1543" s="10" t="str">
        <f aca="false">IF(OR(E1543="",E1543="!!!"),"",IF(NOT(ISNA(VLOOKUP(E1543,E$1:E1542,1,FALSE()))),"OLD",IF(AND(E1543&lt;&gt;"",E1543&lt;&gt;"!!!"),"NEW","")))</f>
        <v/>
      </c>
      <c r="G1543" s="11" t="str">
        <f aca="false">IF(OR(E1543="",E1543="!!!"),"",IF(OR(J1543=0,AND(J1543=1,K1543=1),AND(J1543=1,I1543="SBJ"),AND(J1543=1,I1543=0)),"?IN_FOCUS",IF(J1543&lt;=2,"?ACTIVATED",IF(J1543&lt;&gt;"","?FAMILIAR",IF(F1543="NEW",IF(ISNA(VLOOKUP(E1543,#REF!,1,FALSE())),"?TYPE_IDENTIFIABLE","?REFERENTIAL"),"_")))))</f>
        <v/>
      </c>
      <c r="H1543" s="12" t="str">
        <f aca="false">IF(J1543&lt;&gt;1,"",IF(I1543="SBJ","CB","?"))</f>
        <v/>
      </c>
      <c r="I1543" s="13" t="str">
        <f aca="false">IF(OR(E1543="",E1543="!!!",F1543="NEW"),"",INDEX(B$2:B1542,-1+SUMPRODUCT(MAX(ROW(E$2:E1542)*(E1543=E$2:E1542)))))</f>
        <v/>
      </c>
      <c r="J1543" s="14" t="str">
        <f aca="true">IF(OR(E1543="",E1543="!!!",F1543="NEW"),"",COUNTBLANK(OFFSET(A$1,,,SUMPRODUCT(MAX(ROW(E$2:E1543)*(E1543=E$2:E1543)))))-COUNTBLANK(OFFSET(A$1,,,SUMPRODUCT(MAX(ROW(E$1:E1542)*(E1543=E$1:E1542))))))</f>
        <v/>
      </c>
      <c r="K1543" s="14" t="str">
        <f aca="false">IF(OR(E1543="",E1543="!!!",F1543="NEW"),"",INDEX(J$1:J1542,SUMPRODUCT(MAX(ROW(E$1:E1542)*(E1543=E$1:E1542)))))</f>
        <v/>
      </c>
      <c r="L1543" s="15"/>
    </row>
    <row r="1544" customFormat="false" ht="12.75" hidden="false" customHeight="false" outlineLevel="0" collapsed="false">
      <c r="A1544" s="0" t="s">
        <v>19</v>
      </c>
      <c r="E1544" s="9" t="str">
        <f aca="false">IF(D1544="?OLD","!!!","")</f>
        <v/>
      </c>
      <c r="F1544" s="10" t="str">
        <f aca="false">IF(OR(E1544="",E1544="!!!"),"",IF(NOT(ISNA(VLOOKUP(E1544,E$1:E1543,1,FALSE()))),"OLD",IF(AND(E1544&lt;&gt;"",E1544&lt;&gt;"!!!"),"NEW","")))</f>
        <v/>
      </c>
      <c r="G1544" s="11" t="str">
        <f aca="false">IF(OR(E1544="",E1544="!!!"),"",IF(OR(J1544=0,AND(J1544=1,K1544=1),AND(J1544=1,I1544="SBJ"),AND(J1544=1,I1544=0)),"?IN_FOCUS",IF(J1544&lt;=2,"?ACTIVATED",IF(J1544&lt;&gt;"","?FAMILIAR",IF(F1544="NEW",IF(ISNA(VLOOKUP(E1544,#REF!,1,FALSE())),"?TYPE_IDENTIFIABLE","?REFERENTIAL"),"_")))))</f>
        <v/>
      </c>
      <c r="H1544" s="12" t="str">
        <f aca="false">IF(J1544&lt;&gt;1,"",IF(I1544="SBJ","CB","?"))</f>
        <v/>
      </c>
      <c r="I1544" s="13" t="str">
        <f aca="false">IF(OR(E1544="",E1544="!!!",F1544="NEW"),"",INDEX(B$2:B1543,-1+SUMPRODUCT(MAX(ROW(E$2:E1543)*(E1544=E$2:E1543)))))</f>
        <v/>
      </c>
      <c r="J1544" s="14" t="str">
        <f aca="true">IF(OR(E1544="",E1544="!!!",F1544="NEW"),"",COUNTBLANK(OFFSET(A$1,,,SUMPRODUCT(MAX(ROW(E$2:E1544)*(E1544=E$2:E1544)))))-COUNTBLANK(OFFSET(A$1,,,SUMPRODUCT(MAX(ROW(E$1:E1543)*(E1544=E$1:E1543))))))</f>
        <v/>
      </c>
      <c r="K1544" s="14" t="str">
        <f aca="false">IF(OR(E1544="",E1544="!!!",F1544="NEW"),"",INDEX(J$1:J1543,SUMPRODUCT(MAX(ROW(E$1:E1543)*(E1544=E$1:E1543)))))</f>
        <v/>
      </c>
      <c r="L1544" s="15"/>
    </row>
    <row r="1545" customFormat="false" ht="12.75" hidden="false" customHeight="false" outlineLevel="0" collapsed="false">
      <c r="A1545" s="0" t="s">
        <v>558</v>
      </c>
      <c r="E1545" s="9" t="str">
        <f aca="false">IF(D1545="?OLD","!!!","")</f>
        <v/>
      </c>
      <c r="F1545" s="10" t="str">
        <f aca="false">IF(OR(E1545="",E1545="!!!"),"",IF(NOT(ISNA(VLOOKUP(E1545,E$1:E1544,1,FALSE()))),"OLD",IF(AND(E1545&lt;&gt;"",E1545&lt;&gt;"!!!"),"NEW","")))</f>
        <v/>
      </c>
      <c r="G1545" s="11" t="str">
        <f aca="false">IF(OR(E1545="",E1545="!!!"),"",IF(OR(J1545=0,AND(J1545=1,K1545=1),AND(J1545=1,I1545="SBJ"),AND(J1545=1,I1545=0)),"?IN_FOCUS",IF(J1545&lt;=2,"?ACTIVATED",IF(J1545&lt;&gt;"","?FAMILIAR",IF(F1545="NEW",IF(ISNA(VLOOKUP(E1545,#REF!,1,FALSE())),"?TYPE_IDENTIFIABLE","?REFERENTIAL"),"_")))))</f>
        <v/>
      </c>
      <c r="H1545" s="12" t="str">
        <f aca="false">IF(J1545&lt;&gt;1,"",IF(I1545="SBJ","CB","?"))</f>
        <v/>
      </c>
      <c r="I1545" s="13" t="str">
        <f aca="false">IF(OR(E1545="",E1545="!!!",F1545="NEW"),"",INDEX(B$2:B1544,-1+SUMPRODUCT(MAX(ROW(E$2:E1544)*(E1545=E$2:E1544)))))</f>
        <v/>
      </c>
      <c r="J1545" s="14" t="str">
        <f aca="true">IF(OR(E1545="",E1545="!!!",F1545="NEW"),"",COUNTBLANK(OFFSET(A$1,,,SUMPRODUCT(MAX(ROW(E$2:E1545)*(E1545=E$2:E1545)))))-COUNTBLANK(OFFSET(A$1,,,SUMPRODUCT(MAX(ROW(E$1:E1544)*(E1545=E$1:E1544))))))</f>
        <v/>
      </c>
      <c r="K1545" s="14" t="str">
        <f aca="false">IF(OR(E1545="",E1545="!!!",F1545="NEW"),"",INDEX(J$1:J1544,SUMPRODUCT(MAX(ROW(E$1:E1544)*(E1545=E$1:E1544)))))</f>
        <v/>
      </c>
      <c r="L1545" s="15"/>
    </row>
    <row r="1546" customFormat="false" ht="12.75" hidden="false" customHeight="false" outlineLevel="0" collapsed="false">
      <c r="A1546" s="0" t="s">
        <v>675</v>
      </c>
      <c r="B1546" s="0" t="s">
        <v>22</v>
      </c>
      <c r="C1546" s="0" t="s">
        <v>120</v>
      </c>
      <c r="E1546" s="9" t="str">
        <f aca="false">IF(D1546="?OLD","!!!","")</f>
        <v/>
      </c>
      <c r="F1546" s="10" t="str">
        <f aca="false">IF(OR(E1546="",E1546="!!!"),"",IF(NOT(ISNA(VLOOKUP(E1546,E$1:E1545,1,FALSE()))),"OLD",IF(AND(E1546&lt;&gt;"",E1546&lt;&gt;"!!!"),"NEW","")))</f>
        <v/>
      </c>
      <c r="G1546" s="11" t="str">
        <f aca="false">IF(OR(E1546="",E1546="!!!"),"",IF(OR(J1546=0,AND(J1546=1,K1546=1),AND(J1546=1,I1546="SBJ"),AND(J1546=1,I1546=0)),"?IN_FOCUS",IF(J1546&lt;=2,"?ACTIVATED",IF(J1546&lt;&gt;"","?FAMILIAR",IF(F1546="NEW",IF(ISNA(VLOOKUP(E1546,#REF!,1,FALSE())),"?TYPE_IDENTIFIABLE","?REFERENTIAL"),"_")))))</f>
        <v/>
      </c>
      <c r="H1546" s="12" t="str">
        <f aca="false">IF(J1546&lt;&gt;1,"",IF(I1546="SBJ","CB","?"))</f>
        <v/>
      </c>
      <c r="I1546" s="13" t="str">
        <f aca="false">IF(OR(E1546="",E1546="!!!",F1546="NEW"),"",INDEX(B$2:B1545,-1+SUMPRODUCT(MAX(ROW(E$2:E1545)*(E1546=E$2:E1545)))))</f>
        <v/>
      </c>
      <c r="J1546" s="14" t="str">
        <f aca="true">IF(OR(E1546="",E1546="!!!",F1546="NEW"),"",COUNTBLANK(OFFSET(A$1,,,SUMPRODUCT(MAX(ROW(E$2:E1546)*(E1546=E$2:E1546)))))-COUNTBLANK(OFFSET(A$1,,,SUMPRODUCT(MAX(ROW(E$1:E1545)*(E1546=E$1:E1545))))))</f>
        <v/>
      </c>
      <c r="K1546" s="14" t="str">
        <f aca="false">IF(OR(E1546="",E1546="!!!",F1546="NEW"),"",INDEX(J$1:J1545,SUMPRODUCT(MAX(ROW(E$1:E1545)*(E1546=E$1:E1545)))))</f>
        <v/>
      </c>
      <c r="L1546" s="15"/>
    </row>
    <row r="1547" customFormat="false" ht="12.75" hidden="false" customHeight="false" outlineLevel="0" collapsed="false">
      <c r="A1547" s="0" t="s">
        <v>73</v>
      </c>
      <c r="E1547" s="9" t="str">
        <f aca="false">IF(D1547="?OLD","!!!","")</f>
        <v/>
      </c>
      <c r="F1547" s="10" t="str">
        <f aca="false">IF(OR(E1547="",E1547="!!!"),"",IF(NOT(ISNA(VLOOKUP(E1547,E$1:E1546,1,FALSE()))),"OLD",IF(AND(E1547&lt;&gt;"",E1547&lt;&gt;"!!!"),"NEW","")))</f>
        <v/>
      </c>
      <c r="G1547" s="11" t="str">
        <f aca="false">IF(OR(E1547="",E1547="!!!"),"",IF(OR(J1547=0,AND(J1547=1,K1547=1),AND(J1547=1,I1547="SBJ"),AND(J1547=1,I1547=0)),"?IN_FOCUS",IF(J1547&lt;=2,"?ACTIVATED",IF(J1547&lt;&gt;"","?FAMILIAR",IF(F1547="NEW",IF(ISNA(VLOOKUP(E1547,#REF!,1,FALSE())),"?TYPE_IDENTIFIABLE","?REFERENTIAL"),"_")))))</f>
        <v/>
      </c>
      <c r="H1547" s="12" t="str">
        <f aca="false">IF(J1547&lt;&gt;1,"",IF(I1547="SBJ","CB","?"))</f>
        <v/>
      </c>
      <c r="I1547" s="13" t="str">
        <f aca="false">IF(OR(E1547="",E1547="!!!",F1547="NEW"),"",INDEX(B$2:B1546,-1+SUMPRODUCT(MAX(ROW(E$2:E1546)*(E1547=E$2:E1546)))))</f>
        <v/>
      </c>
      <c r="J1547" s="14" t="str">
        <f aca="true">IF(OR(E1547="",E1547="!!!",F1547="NEW"),"",COUNTBLANK(OFFSET(A$1,,,SUMPRODUCT(MAX(ROW(E$2:E1547)*(E1547=E$2:E1547)))))-COUNTBLANK(OFFSET(A$1,,,SUMPRODUCT(MAX(ROW(E$1:E1546)*(E1547=E$1:E1546))))))</f>
        <v/>
      </c>
      <c r="K1547" s="14" t="str">
        <f aca="false">IF(OR(E1547="",E1547="!!!",F1547="NEW"),"",INDEX(J$1:J1546,SUMPRODUCT(MAX(ROW(E$1:E1546)*(E1547=E$1:E1546)))))</f>
        <v/>
      </c>
      <c r="L1547" s="15"/>
    </row>
    <row r="1548" customFormat="false" ht="12.75" hidden="false" customHeight="false" outlineLevel="0" collapsed="false">
      <c r="E1548" s="9" t="str">
        <f aca="false">IF(D1548="?OLD","!!!","")</f>
        <v/>
      </c>
      <c r="F1548" s="10" t="str">
        <f aca="false">IF(OR(E1548="",E1548="!!!"),"",IF(NOT(ISNA(VLOOKUP(E1548,E$1:E1547,1,FALSE()))),"OLD",IF(AND(E1548&lt;&gt;"",E1548&lt;&gt;"!!!"),"NEW","")))</f>
        <v/>
      </c>
      <c r="G1548" s="11" t="str">
        <f aca="false">IF(OR(E1548="",E1548="!!!"),"",IF(OR(J1548=0,AND(J1548=1,K1548=1),AND(J1548=1,I1548="SBJ"),AND(J1548=1,I1548=0)),"?IN_FOCUS",IF(J1548&lt;=2,"?ACTIVATED",IF(J1548&lt;&gt;"","?FAMILIAR",IF(F1548="NEW",IF(ISNA(VLOOKUP(E1548,#REF!,1,FALSE())),"?TYPE_IDENTIFIABLE","?REFERENTIAL"),"_")))))</f>
        <v/>
      </c>
      <c r="H1548" s="12" t="str">
        <f aca="false">IF(J1548&lt;&gt;1,"",IF(I1548="SBJ","CB","?"))</f>
        <v/>
      </c>
      <c r="I1548" s="13" t="str">
        <f aca="false">IF(OR(E1548="",E1548="!!!",F1548="NEW"),"",INDEX(B$2:B1547,-1+SUMPRODUCT(MAX(ROW(E$2:E1547)*(E1548=E$2:E1547)))))</f>
        <v/>
      </c>
      <c r="J1548" s="14" t="str">
        <f aca="true">IF(OR(E1548="",E1548="!!!",F1548="NEW"),"",COUNTBLANK(OFFSET(A$1,,,SUMPRODUCT(MAX(ROW(E$2:E1548)*(E1548=E$2:E1548)))))-COUNTBLANK(OFFSET(A$1,,,SUMPRODUCT(MAX(ROW(E$1:E1547)*(E1548=E$1:E1547))))))</f>
        <v/>
      </c>
      <c r="K1548" s="14" t="str">
        <f aca="false">IF(OR(E1548="",E1548="!!!",F1548="NEW"),"",INDEX(J$1:J1547,SUMPRODUCT(MAX(ROW(E$1:E1547)*(E1548=E$1:E1547)))))</f>
        <v/>
      </c>
      <c r="L1548" s="15"/>
    </row>
    <row r="1549" customFormat="false" ht="12.75" hidden="false" customHeight="false" outlineLevel="0" collapsed="false">
      <c r="A1549" s="0" t="s">
        <v>676</v>
      </c>
      <c r="E1549" s="9" t="str">
        <f aca="false">IF(D1549="?OLD","!!!","")</f>
        <v/>
      </c>
      <c r="F1549" s="10" t="str">
        <f aca="false">IF(OR(E1549="",E1549="!!!"),"",IF(NOT(ISNA(VLOOKUP(E1549,E$1:E1548,1,FALSE()))),"OLD",IF(AND(E1549&lt;&gt;"",E1549&lt;&gt;"!!!"),"NEW","")))</f>
        <v/>
      </c>
      <c r="G1549" s="11" t="str">
        <f aca="false">IF(OR(E1549="",E1549="!!!"),"",IF(OR(J1549=0,AND(J1549=1,K1549=1),AND(J1549=1,I1549="SBJ"),AND(J1549=1,I1549=0)),"?IN_FOCUS",IF(J1549&lt;=2,"?ACTIVATED",IF(J1549&lt;&gt;"","?FAMILIAR",IF(F1549="NEW",IF(ISNA(VLOOKUP(E1549,#REF!,1,FALSE())),"?TYPE_IDENTIFIABLE","?REFERENTIAL"),"_")))))</f>
        <v/>
      </c>
      <c r="H1549" s="12" t="str">
        <f aca="false">IF(J1549&lt;&gt;1,"",IF(I1549="SBJ","CB","?"))</f>
        <v/>
      </c>
      <c r="I1549" s="13" t="str">
        <f aca="false">IF(OR(E1549="",E1549="!!!",F1549="NEW"),"",INDEX(B$2:B1548,-1+SUMPRODUCT(MAX(ROW(E$2:E1548)*(E1549=E$2:E1548)))))</f>
        <v/>
      </c>
      <c r="J1549" s="14" t="str">
        <f aca="true">IF(OR(E1549="",E1549="!!!",F1549="NEW"),"",COUNTBLANK(OFFSET(A$1,,,SUMPRODUCT(MAX(ROW(E$2:E1549)*(E1549=E$2:E1549)))))-COUNTBLANK(OFFSET(A$1,,,SUMPRODUCT(MAX(ROW(E$1:E1548)*(E1549=E$1:E1548))))))</f>
        <v/>
      </c>
      <c r="K1549" s="14" t="str">
        <f aca="false">IF(OR(E1549="",E1549="!!!",F1549="NEW"),"",INDEX(J$1:J1548,SUMPRODUCT(MAX(ROW(E$1:E1548)*(E1549=E$1:E1548)))))</f>
        <v/>
      </c>
      <c r="L1549" s="15"/>
    </row>
    <row r="1550" customFormat="false" ht="12.75" hidden="false" customHeight="false" outlineLevel="0" collapsed="false">
      <c r="A1550" s="0" t="s">
        <v>275</v>
      </c>
      <c r="E1550" s="9" t="str">
        <f aca="false">IF(D1550="?OLD","!!!","")</f>
        <v/>
      </c>
      <c r="F1550" s="10" t="str">
        <f aca="false">IF(OR(E1550="",E1550="!!!"),"",IF(NOT(ISNA(VLOOKUP(E1550,E$1:E1549,1,FALSE()))),"OLD",IF(AND(E1550&lt;&gt;"",E1550&lt;&gt;"!!!"),"NEW","")))</f>
        <v/>
      </c>
      <c r="G1550" s="11" t="str">
        <f aca="false">IF(OR(E1550="",E1550="!!!"),"",IF(OR(J1550=0,AND(J1550=1,K1550=1),AND(J1550=1,I1550="SBJ"),AND(J1550=1,I1550=0)),"?IN_FOCUS",IF(J1550&lt;=2,"?ACTIVATED",IF(J1550&lt;&gt;"","?FAMILIAR",IF(F1550="NEW",IF(ISNA(VLOOKUP(E1550,#REF!,1,FALSE())),"?TYPE_IDENTIFIABLE","?REFERENTIAL"),"_")))))</f>
        <v/>
      </c>
      <c r="H1550" s="12" t="str">
        <f aca="false">IF(J1550&lt;&gt;1,"",IF(I1550="SBJ","CB","?"))</f>
        <v/>
      </c>
      <c r="I1550" s="13" t="str">
        <f aca="false">IF(OR(E1550="",E1550="!!!",F1550="NEW"),"",INDEX(B$2:B1549,-1+SUMPRODUCT(MAX(ROW(E$2:E1549)*(E1550=E$2:E1549)))))</f>
        <v/>
      </c>
      <c r="J1550" s="14" t="str">
        <f aca="true">IF(OR(E1550="",E1550="!!!",F1550="NEW"),"",COUNTBLANK(OFFSET(A$1,,,SUMPRODUCT(MAX(ROW(E$2:E1550)*(E1550=E$2:E1550)))))-COUNTBLANK(OFFSET(A$1,,,SUMPRODUCT(MAX(ROW(E$1:E1549)*(E1550=E$1:E1549))))))</f>
        <v/>
      </c>
      <c r="K1550" s="14" t="str">
        <f aca="false">IF(OR(E1550="",E1550="!!!",F1550="NEW"),"",INDEX(J$1:J1549,SUMPRODUCT(MAX(ROW(E$1:E1549)*(E1550=E$1:E1549)))))</f>
        <v/>
      </c>
      <c r="L1550" s="15"/>
    </row>
    <row r="1551" customFormat="false" ht="12.75" hidden="false" customHeight="false" outlineLevel="0" collapsed="false">
      <c r="A1551" s="0" t="s">
        <v>147</v>
      </c>
      <c r="B1551" s="0" t="s">
        <v>42</v>
      </c>
      <c r="C1551" s="0" t="s">
        <v>38</v>
      </c>
      <c r="D1551" s="0" t="s">
        <v>29</v>
      </c>
      <c r="E1551" s="9" t="str">
        <f aca="false">IF(D1551="?OLD","!!!","")</f>
        <v>!!!</v>
      </c>
      <c r="F1551" s="10" t="str">
        <f aca="false">IF(OR(E1551="",E1551="!!!"),"",IF(NOT(ISNA(VLOOKUP(E1551,E$1:E1550,1,FALSE()))),"OLD",IF(AND(E1551&lt;&gt;"",E1551&lt;&gt;"!!!"),"NEW","")))</f>
        <v/>
      </c>
      <c r="G1551" s="11" t="str">
        <f aca="false">IF(OR(E1551="",E1551="!!!"),"",IF(OR(J1551=0,AND(J1551=1,K1551=1),AND(J1551=1,I1551="SBJ"),AND(J1551=1,I1551=0)),"?IN_FOCUS",IF(J1551&lt;=2,"?ACTIVATED",IF(J1551&lt;&gt;"","?FAMILIAR",IF(F1551="NEW",IF(ISNA(VLOOKUP(E1551,#REF!,1,FALSE())),"?TYPE_IDENTIFIABLE","?REFERENTIAL"),"_")))))</f>
        <v/>
      </c>
      <c r="H1551" s="12" t="str">
        <f aca="false">IF(J1551&lt;&gt;1,"",IF(I1551="SBJ","CB","?"))</f>
        <v/>
      </c>
      <c r="I1551" s="13" t="str">
        <f aca="false">IF(OR(E1551="",E1551="!!!",F1551="NEW"),"",INDEX(B$2:B1550,-1+SUMPRODUCT(MAX(ROW(E$2:E1550)*(E1551=E$2:E1550)))))</f>
        <v/>
      </c>
      <c r="J1551" s="14" t="str">
        <f aca="true">IF(OR(E1551="",E1551="!!!",F1551="NEW"),"",COUNTBLANK(OFFSET(A$1,,,SUMPRODUCT(MAX(ROW(E$2:E1551)*(E1551=E$2:E1551)))))-COUNTBLANK(OFFSET(A$1,,,SUMPRODUCT(MAX(ROW(E$1:E1550)*(E1551=E$1:E1550))))))</f>
        <v/>
      </c>
      <c r="K1551" s="14" t="str">
        <f aca="false">IF(OR(E1551="",E1551="!!!",F1551="NEW"),"",INDEX(J$1:J1550,SUMPRODUCT(MAX(ROW(E$1:E1550)*(E1551=E$1:E1550)))))</f>
        <v/>
      </c>
      <c r="L1551" s="15"/>
    </row>
    <row r="1552" customFormat="false" ht="12.75" hidden="false" customHeight="false" outlineLevel="0" collapsed="false">
      <c r="A1552" s="0" t="s">
        <v>430</v>
      </c>
      <c r="E1552" s="9" t="str">
        <f aca="false">IF(D1552="?OLD","!!!","")</f>
        <v/>
      </c>
      <c r="F1552" s="10" t="str">
        <f aca="false">IF(OR(E1552="",E1552="!!!"),"",IF(NOT(ISNA(VLOOKUP(E1552,E$1:E1551,1,FALSE()))),"OLD",IF(AND(E1552&lt;&gt;"",E1552&lt;&gt;"!!!"),"NEW","")))</f>
        <v/>
      </c>
      <c r="G1552" s="11" t="str">
        <f aca="false">IF(OR(E1552="",E1552="!!!"),"",IF(OR(J1552=0,AND(J1552=1,K1552=1),AND(J1552=1,I1552="SBJ"),AND(J1552=1,I1552=0)),"?IN_FOCUS",IF(J1552&lt;=2,"?ACTIVATED",IF(J1552&lt;&gt;"","?FAMILIAR",IF(F1552="NEW",IF(ISNA(VLOOKUP(E1552,#REF!,1,FALSE())),"?TYPE_IDENTIFIABLE","?REFERENTIAL"),"_")))))</f>
        <v/>
      </c>
      <c r="H1552" s="12" t="str">
        <f aca="false">IF(J1552&lt;&gt;1,"",IF(I1552="SBJ","CB","?"))</f>
        <v/>
      </c>
      <c r="I1552" s="13" t="str">
        <f aca="false">IF(OR(E1552="",E1552="!!!",F1552="NEW"),"",INDEX(B$2:B1551,-1+SUMPRODUCT(MAX(ROW(E$2:E1551)*(E1552=E$2:E1551)))))</f>
        <v/>
      </c>
      <c r="J1552" s="14" t="str">
        <f aca="true">IF(OR(E1552="",E1552="!!!",F1552="NEW"),"",COUNTBLANK(OFFSET(A$1,,,SUMPRODUCT(MAX(ROW(E$2:E1552)*(E1552=E$2:E1552)))))-COUNTBLANK(OFFSET(A$1,,,SUMPRODUCT(MAX(ROW(E$1:E1551)*(E1552=E$1:E1551))))))</f>
        <v/>
      </c>
      <c r="K1552" s="14" t="str">
        <f aca="false">IF(OR(E1552="",E1552="!!!",F1552="NEW"),"",INDEX(J$1:J1551,SUMPRODUCT(MAX(ROW(E$1:E1551)*(E1552=E$1:E1551)))))</f>
        <v/>
      </c>
      <c r="L1552" s="15"/>
    </row>
    <row r="1553" customFormat="false" ht="12.75" hidden="false" customHeight="false" outlineLevel="0" collapsed="false">
      <c r="A1553" s="0" t="s">
        <v>36</v>
      </c>
      <c r="B1553" s="0" t="s">
        <v>103</v>
      </c>
      <c r="C1553" s="0" t="s">
        <v>38</v>
      </c>
      <c r="D1553" s="0" t="s">
        <v>29</v>
      </c>
      <c r="E1553" s="9" t="str">
        <f aca="false">IF(D1553="?OLD","!!!","")</f>
        <v>!!!</v>
      </c>
      <c r="F1553" s="10" t="str">
        <f aca="false">IF(OR(E1553="",E1553="!!!"),"",IF(NOT(ISNA(VLOOKUP(E1553,E$1:E1552,1,FALSE()))),"OLD",IF(AND(E1553&lt;&gt;"",E1553&lt;&gt;"!!!"),"NEW","")))</f>
        <v/>
      </c>
      <c r="G1553" s="11" t="str">
        <f aca="false">IF(OR(E1553="",E1553="!!!"),"",IF(OR(J1553=0,AND(J1553=1,K1553=1),AND(J1553=1,I1553="SBJ"),AND(J1553=1,I1553=0)),"?IN_FOCUS",IF(J1553&lt;=2,"?ACTIVATED",IF(J1553&lt;&gt;"","?FAMILIAR",IF(F1553="NEW",IF(ISNA(VLOOKUP(E1553,#REF!,1,FALSE())),"?TYPE_IDENTIFIABLE","?REFERENTIAL"),"_")))))</f>
        <v/>
      </c>
      <c r="H1553" s="12" t="str">
        <f aca="false">IF(J1553&lt;&gt;1,"",IF(I1553="SBJ","CB","?"))</f>
        <v/>
      </c>
      <c r="I1553" s="13" t="str">
        <f aca="false">IF(OR(E1553="",E1553="!!!",F1553="NEW"),"",INDEX(B$2:B1552,-1+SUMPRODUCT(MAX(ROW(E$2:E1552)*(E1553=E$2:E1552)))))</f>
        <v/>
      </c>
      <c r="J1553" s="14" t="str">
        <f aca="true">IF(OR(E1553="",E1553="!!!",F1553="NEW"),"",COUNTBLANK(OFFSET(A$1,,,SUMPRODUCT(MAX(ROW(E$2:E1553)*(E1553=E$2:E1553)))))-COUNTBLANK(OFFSET(A$1,,,SUMPRODUCT(MAX(ROW(E$1:E1552)*(E1553=E$1:E1552))))))</f>
        <v/>
      </c>
      <c r="K1553" s="14" t="str">
        <f aca="false">IF(OR(E1553="",E1553="!!!",F1553="NEW"),"",INDEX(J$1:J1552,SUMPRODUCT(MAX(ROW(E$1:E1552)*(E1553=E$1:E1552)))))</f>
        <v/>
      </c>
      <c r="L1553" s="15"/>
    </row>
    <row r="1554" customFormat="false" ht="12.75" hidden="false" customHeight="false" outlineLevel="0" collapsed="false">
      <c r="A1554" s="0" t="s">
        <v>66</v>
      </c>
      <c r="E1554" s="9" t="str">
        <f aca="false">IF(D1554="?OLD","!!!","")</f>
        <v/>
      </c>
      <c r="F1554" s="10" t="str">
        <f aca="false">IF(OR(E1554="",E1554="!!!"),"",IF(NOT(ISNA(VLOOKUP(E1554,E$1:E1553,1,FALSE()))),"OLD",IF(AND(E1554&lt;&gt;"",E1554&lt;&gt;"!!!"),"NEW","")))</f>
        <v/>
      </c>
      <c r="G1554" s="11" t="str">
        <f aca="false">IF(OR(E1554="",E1554="!!!"),"",IF(OR(J1554=0,AND(J1554=1,K1554=1),AND(J1554=1,I1554="SBJ"),AND(J1554=1,I1554=0)),"?IN_FOCUS",IF(J1554&lt;=2,"?ACTIVATED",IF(J1554&lt;&gt;"","?FAMILIAR",IF(F1554="NEW",IF(ISNA(VLOOKUP(E1554,#REF!,1,FALSE())),"?TYPE_IDENTIFIABLE","?REFERENTIAL"),"_")))))</f>
        <v/>
      </c>
      <c r="H1554" s="12" t="str">
        <f aca="false">IF(J1554&lt;&gt;1,"",IF(I1554="SBJ","CB","?"))</f>
        <v/>
      </c>
      <c r="I1554" s="13" t="str">
        <f aca="false">IF(OR(E1554="",E1554="!!!",F1554="NEW"),"",INDEX(B$2:B1553,-1+SUMPRODUCT(MAX(ROW(E$2:E1553)*(E1554=E$2:E1553)))))</f>
        <v/>
      </c>
      <c r="J1554" s="14" t="str">
        <f aca="true">IF(OR(E1554="",E1554="!!!",F1554="NEW"),"",COUNTBLANK(OFFSET(A$1,,,SUMPRODUCT(MAX(ROW(E$2:E1554)*(E1554=E$2:E1554)))))-COUNTBLANK(OFFSET(A$1,,,SUMPRODUCT(MAX(ROW(E$1:E1553)*(E1554=E$1:E1553))))))</f>
        <v/>
      </c>
      <c r="K1554" s="14" t="str">
        <f aca="false">IF(OR(E1554="",E1554="!!!",F1554="NEW"),"",INDEX(J$1:J1553,SUMPRODUCT(MAX(ROW(E$1:E1553)*(E1554=E$1:E1553)))))</f>
        <v/>
      </c>
      <c r="L1554" s="15"/>
    </row>
    <row r="1555" customFormat="false" ht="12.75" hidden="false" customHeight="false" outlineLevel="0" collapsed="false">
      <c r="A1555" s="0" t="s">
        <v>329</v>
      </c>
      <c r="E1555" s="9" t="str">
        <f aca="false">IF(D1555="?OLD","!!!","")</f>
        <v/>
      </c>
      <c r="F1555" s="10" t="str">
        <f aca="false">IF(OR(E1555="",E1555="!!!"),"",IF(NOT(ISNA(VLOOKUP(E1555,E$1:E1554,1,FALSE()))),"OLD",IF(AND(E1555&lt;&gt;"",E1555&lt;&gt;"!!!"),"NEW","")))</f>
        <v/>
      </c>
      <c r="G1555" s="11" t="str">
        <f aca="false">IF(OR(E1555="",E1555="!!!"),"",IF(OR(J1555=0,AND(J1555=1,K1555=1),AND(J1555=1,I1555="SBJ"),AND(J1555=1,I1555=0)),"?IN_FOCUS",IF(J1555&lt;=2,"?ACTIVATED",IF(J1555&lt;&gt;"","?FAMILIAR",IF(F1555="NEW",IF(ISNA(VLOOKUP(E1555,#REF!,1,FALSE())),"?TYPE_IDENTIFIABLE","?REFERENTIAL"),"_")))))</f>
        <v/>
      </c>
      <c r="H1555" s="12" t="str">
        <f aca="false">IF(J1555&lt;&gt;1,"",IF(I1555="SBJ","CB","?"))</f>
        <v/>
      </c>
      <c r="I1555" s="13" t="str">
        <f aca="false">IF(OR(E1555="",E1555="!!!",F1555="NEW"),"",INDEX(B$2:B1554,-1+SUMPRODUCT(MAX(ROW(E$2:E1554)*(E1555=E$2:E1554)))))</f>
        <v/>
      </c>
      <c r="J1555" s="14" t="str">
        <f aca="true">IF(OR(E1555="",E1555="!!!",F1555="NEW"),"",COUNTBLANK(OFFSET(A$1,,,SUMPRODUCT(MAX(ROW(E$2:E1555)*(E1555=E$2:E1555)))))-COUNTBLANK(OFFSET(A$1,,,SUMPRODUCT(MAX(ROW(E$1:E1554)*(E1555=E$1:E1554))))))</f>
        <v/>
      </c>
      <c r="K1555" s="14" t="str">
        <f aca="false">IF(OR(E1555="",E1555="!!!",F1555="NEW"),"",INDEX(J$1:J1554,SUMPRODUCT(MAX(ROW(E$1:E1554)*(E1555=E$1:E1554)))))</f>
        <v/>
      </c>
      <c r="L1555" s="15"/>
    </row>
    <row r="1556" customFormat="false" ht="12.75" hidden="false" customHeight="false" outlineLevel="0" collapsed="false">
      <c r="A1556" s="0" t="s">
        <v>68</v>
      </c>
      <c r="E1556" s="9" t="str">
        <f aca="false">IF(D1556="?OLD","!!!","")</f>
        <v/>
      </c>
      <c r="F1556" s="10" t="str">
        <f aca="false">IF(OR(E1556="",E1556="!!!"),"",IF(NOT(ISNA(VLOOKUP(E1556,E$1:E1555,1,FALSE()))),"OLD",IF(AND(E1556&lt;&gt;"",E1556&lt;&gt;"!!!"),"NEW","")))</f>
        <v/>
      </c>
      <c r="G1556" s="11" t="str">
        <f aca="false">IF(OR(E1556="",E1556="!!!"),"",IF(OR(J1556=0,AND(J1556=1,K1556=1),AND(J1556=1,I1556="SBJ"),AND(J1556=1,I1556=0)),"?IN_FOCUS",IF(J1556&lt;=2,"?ACTIVATED",IF(J1556&lt;&gt;"","?FAMILIAR",IF(F1556="NEW",IF(ISNA(VLOOKUP(E1556,#REF!,1,FALSE())),"?TYPE_IDENTIFIABLE","?REFERENTIAL"),"_")))))</f>
        <v/>
      </c>
      <c r="H1556" s="12" t="str">
        <f aca="false">IF(J1556&lt;&gt;1,"",IF(I1556="SBJ","CB","?"))</f>
        <v/>
      </c>
      <c r="I1556" s="13" t="str">
        <f aca="false">IF(OR(E1556="",E1556="!!!",F1556="NEW"),"",INDEX(B$2:B1555,-1+SUMPRODUCT(MAX(ROW(E$2:E1555)*(E1556=E$2:E1555)))))</f>
        <v/>
      </c>
      <c r="J1556" s="14" t="str">
        <f aca="true">IF(OR(E1556="",E1556="!!!",F1556="NEW"),"",COUNTBLANK(OFFSET(A$1,,,SUMPRODUCT(MAX(ROW(E$2:E1556)*(E1556=E$2:E1556)))))-COUNTBLANK(OFFSET(A$1,,,SUMPRODUCT(MAX(ROW(E$1:E1555)*(E1556=E$1:E1555))))))</f>
        <v/>
      </c>
      <c r="K1556" s="14" t="str">
        <f aca="false">IF(OR(E1556="",E1556="!!!",F1556="NEW"),"",INDEX(J$1:J1555,SUMPRODUCT(MAX(ROW(E$1:E1555)*(E1556=E$1:E1555)))))</f>
        <v/>
      </c>
      <c r="L1556" s="15"/>
    </row>
    <row r="1557" customFormat="false" ht="12.75" hidden="false" customHeight="false" outlineLevel="0" collapsed="false">
      <c r="A1557" s="0" t="s">
        <v>677</v>
      </c>
      <c r="B1557" s="0" t="s">
        <v>14</v>
      </c>
      <c r="C1557" s="0" t="s">
        <v>111</v>
      </c>
      <c r="D1557" s="0" t="s">
        <v>29</v>
      </c>
      <c r="E1557" s="9" t="str">
        <f aca="false">IF(D1557="?OLD","!!!","")</f>
        <v>!!!</v>
      </c>
      <c r="F1557" s="10" t="str">
        <f aca="false">IF(OR(E1557="",E1557="!!!"),"",IF(NOT(ISNA(VLOOKUP(E1557,E$1:E1556,1,FALSE()))),"OLD",IF(AND(E1557&lt;&gt;"",E1557&lt;&gt;"!!!"),"NEW","")))</f>
        <v/>
      </c>
      <c r="G1557" s="11" t="str">
        <f aca="false">IF(OR(E1557="",E1557="!!!"),"",IF(OR(J1557=0,AND(J1557=1,K1557=1),AND(J1557=1,I1557="SBJ"),AND(J1557=1,I1557=0)),"?IN_FOCUS",IF(J1557&lt;=2,"?ACTIVATED",IF(J1557&lt;&gt;"","?FAMILIAR",IF(F1557="NEW",IF(ISNA(VLOOKUP(E1557,#REF!,1,FALSE())),"?TYPE_IDENTIFIABLE","?REFERENTIAL"),"_")))))</f>
        <v/>
      </c>
      <c r="H1557" s="12" t="str">
        <f aca="false">IF(J1557&lt;&gt;1,"",IF(I1557="SBJ","CB","?"))</f>
        <v/>
      </c>
      <c r="I1557" s="13" t="str">
        <f aca="false">IF(OR(E1557="",E1557="!!!",F1557="NEW"),"",INDEX(B$2:B1556,-1+SUMPRODUCT(MAX(ROW(E$2:E1556)*(E1557=E$2:E1556)))))</f>
        <v/>
      </c>
      <c r="J1557" s="14" t="str">
        <f aca="true">IF(OR(E1557="",E1557="!!!",F1557="NEW"),"",COUNTBLANK(OFFSET(A$1,,,SUMPRODUCT(MAX(ROW(E$2:E1557)*(E1557=E$2:E1557)))))-COUNTBLANK(OFFSET(A$1,,,SUMPRODUCT(MAX(ROW(E$1:E1556)*(E1557=E$1:E1556))))))</f>
        <v/>
      </c>
      <c r="K1557" s="14" t="str">
        <f aca="false">IF(OR(E1557="",E1557="!!!",F1557="NEW"),"",INDEX(J$1:J1556,SUMPRODUCT(MAX(ROW(E$1:E1556)*(E1557=E$1:E1556)))))</f>
        <v/>
      </c>
      <c r="L1557" s="15"/>
    </row>
    <row r="1558" customFormat="false" ht="12.75" hidden="false" customHeight="false" outlineLevel="0" collapsed="false">
      <c r="A1558" s="0" t="s">
        <v>76</v>
      </c>
      <c r="E1558" s="9" t="str">
        <f aca="false">IF(D1558="?OLD","!!!","")</f>
        <v/>
      </c>
      <c r="F1558" s="10" t="str">
        <f aca="false">IF(OR(E1558="",E1558="!!!"),"",IF(NOT(ISNA(VLOOKUP(E1558,E$1:E1557,1,FALSE()))),"OLD",IF(AND(E1558&lt;&gt;"",E1558&lt;&gt;"!!!"),"NEW","")))</f>
        <v/>
      </c>
      <c r="G1558" s="11" t="str">
        <f aca="false">IF(OR(E1558="",E1558="!!!"),"",IF(OR(J1558=0,AND(J1558=1,K1558=1),AND(J1558=1,I1558="SBJ"),AND(J1558=1,I1558=0)),"?IN_FOCUS",IF(J1558&lt;=2,"?ACTIVATED",IF(J1558&lt;&gt;"","?FAMILIAR",IF(F1558="NEW",IF(ISNA(VLOOKUP(E1558,#REF!,1,FALSE())),"?TYPE_IDENTIFIABLE","?REFERENTIAL"),"_")))))</f>
        <v/>
      </c>
      <c r="H1558" s="12" t="str">
        <f aca="false">IF(J1558&lt;&gt;1,"",IF(I1558="SBJ","CB","?"))</f>
        <v/>
      </c>
      <c r="I1558" s="13" t="str">
        <f aca="false">IF(OR(E1558="",E1558="!!!",F1558="NEW"),"",INDEX(B$2:B1557,-1+SUMPRODUCT(MAX(ROW(E$2:E1557)*(E1558=E$2:E1557)))))</f>
        <v/>
      </c>
      <c r="J1558" s="14" t="str">
        <f aca="true">IF(OR(E1558="",E1558="!!!",F1558="NEW"),"",COUNTBLANK(OFFSET(A$1,,,SUMPRODUCT(MAX(ROW(E$2:E1558)*(E1558=E$2:E1558)))))-COUNTBLANK(OFFSET(A$1,,,SUMPRODUCT(MAX(ROW(E$1:E1557)*(E1558=E$1:E1557))))))</f>
        <v/>
      </c>
      <c r="K1558" s="14" t="str">
        <f aca="false">IF(OR(E1558="",E1558="!!!",F1558="NEW"),"",INDEX(J$1:J1557,SUMPRODUCT(MAX(ROW(E$1:E1557)*(E1558=E$1:E1557)))))</f>
        <v/>
      </c>
      <c r="L1558" s="15"/>
    </row>
    <row r="1559" customFormat="false" ht="12.75" hidden="false" customHeight="false" outlineLevel="0" collapsed="false">
      <c r="A1559" s="0" t="s">
        <v>678</v>
      </c>
      <c r="E1559" s="9" t="str">
        <f aca="false">IF(D1559="?OLD","!!!","")</f>
        <v/>
      </c>
      <c r="F1559" s="10" t="str">
        <f aca="false">IF(OR(E1559="",E1559="!!!"),"",IF(NOT(ISNA(VLOOKUP(E1559,E$1:E1558,1,FALSE()))),"OLD",IF(AND(E1559&lt;&gt;"",E1559&lt;&gt;"!!!"),"NEW","")))</f>
        <v/>
      </c>
      <c r="G1559" s="11" t="str">
        <f aca="false">IF(OR(E1559="",E1559="!!!"),"",IF(OR(J1559=0,AND(J1559=1,K1559=1),AND(J1559=1,I1559="SBJ"),AND(J1559=1,I1559=0)),"?IN_FOCUS",IF(J1559&lt;=2,"?ACTIVATED",IF(J1559&lt;&gt;"","?FAMILIAR",IF(F1559="NEW",IF(ISNA(VLOOKUP(E1559,#REF!,1,FALSE())),"?TYPE_IDENTIFIABLE","?REFERENTIAL"),"_")))))</f>
        <v/>
      </c>
      <c r="H1559" s="12" t="str">
        <f aca="false">IF(J1559&lt;&gt;1,"",IF(I1559="SBJ","CB","?"))</f>
        <v/>
      </c>
      <c r="I1559" s="13" t="str">
        <f aca="false">IF(OR(E1559="",E1559="!!!",F1559="NEW"),"",INDEX(B$2:B1558,-1+SUMPRODUCT(MAX(ROW(E$2:E1558)*(E1559=E$2:E1558)))))</f>
        <v/>
      </c>
      <c r="J1559" s="14" t="str">
        <f aca="true">IF(OR(E1559="",E1559="!!!",F1559="NEW"),"",COUNTBLANK(OFFSET(A$1,,,SUMPRODUCT(MAX(ROW(E$2:E1559)*(E1559=E$2:E1559)))))-COUNTBLANK(OFFSET(A$1,,,SUMPRODUCT(MAX(ROW(E$1:E1558)*(E1559=E$1:E1558))))))</f>
        <v/>
      </c>
      <c r="K1559" s="14" t="str">
        <f aca="false">IF(OR(E1559="",E1559="!!!",F1559="NEW"),"",INDEX(J$1:J1558,SUMPRODUCT(MAX(ROW(E$1:E1558)*(E1559=E$1:E1558)))))</f>
        <v/>
      </c>
      <c r="L1559" s="15"/>
    </row>
    <row r="1560" customFormat="false" ht="12.75" hidden="false" customHeight="false" outlineLevel="0" collapsed="false">
      <c r="A1560" s="0" t="s">
        <v>323</v>
      </c>
      <c r="E1560" s="9" t="str">
        <f aca="false">IF(D1560="?OLD","!!!","")</f>
        <v/>
      </c>
      <c r="F1560" s="10" t="str">
        <f aca="false">IF(OR(E1560="",E1560="!!!"),"",IF(NOT(ISNA(VLOOKUP(E1560,E$1:E1559,1,FALSE()))),"OLD",IF(AND(E1560&lt;&gt;"",E1560&lt;&gt;"!!!"),"NEW","")))</f>
        <v/>
      </c>
      <c r="G1560" s="11" t="str">
        <f aca="false">IF(OR(E1560="",E1560="!!!"),"",IF(OR(J1560=0,AND(J1560=1,K1560=1),AND(J1560=1,I1560="SBJ"),AND(J1560=1,I1560=0)),"?IN_FOCUS",IF(J1560&lt;=2,"?ACTIVATED",IF(J1560&lt;&gt;"","?FAMILIAR",IF(F1560="NEW",IF(ISNA(VLOOKUP(E1560,#REF!,1,FALSE())),"?TYPE_IDENTIFIABLE","?REFERENTIAL"),"_")))))</f>
        <v/>
      </c>
      <c r="H1560" s="12" t="str">
        <f aca="false">IF(J1560&lt;&gt;1,"",IF(I1560="SBJ","CB","?"))</f>
        <v/>
      </c>
      <c r="I1560" s="13" t="str">
        <f aca="false">IF(OR(E1560="",E1560="!!!",F1560="NEW"),"",INDEX(B$2:B1559,-1+SUMPRODUCT(MAX(ROW(E$2:E1559)*(E1560=E$2:E1559)))))</f>
        <v/>
      </c>
      <c r="J1560" s="14" t="str">
        <f aca="true">IF(OR(E1560="",E1560="!!!",F1560="NEW"),"",COUNTBLANK(OFFSET(A$1,,,SUMPRODUCT(MAX(ROW(E$2:E1560)*(E1560=E$2:E1560)))))-COUNTBLANK(OFFSET(A$1,,,SUMPRODUCT(MAX(ROW(E$1:E1559)*(E1560=E$1:E1559))))))</f>
        <v/>
      </c>
      <c r="K1560" s="14" t="str">
        <f aca="false">IF(OR(E1560="",E1560="!!!",F1560="NEW"),"",INDEX(J$1:J1559,SUMPRODUCT(MAX(ROW(E$1:E1559)*(E1560=E$1:E1559)))))</f>
        <v/>
      </c>
      <c r="L1560" s="15"/>
    </row>
    <row r="1561" customFormat="false" ht="12.75" hidden="false" customHeight="false" outlineLevel="0" collapsed="false">
      <c r="A1561" s="0" t="s">
        <v>679</v>
      </c>
      <c r="E1561" s="9" t="str">
        <f aca="false">IF(D1561="?OLD","!!!","")</f>
        <v/>
      </c>
      <c r="F1561" s="10" t="str">
        <f aca="false">IF(OR(E1561="",E1561="!!!"),"",IF(NOT(ISNA(VLOOKUP(E1561,E$1:E1560,1,FALSE()))),"OLD",IF(AND(E1561&lt;&gt;"",E1561&lt;&gt;"!!!"),"NEW","")))</f>
        <v/>
      </c>
      <c r="G1561" s="11" t="str">
        <f aca="false">IF(OR(E1561="",E1561="!!!"),"",IF(OR(J1561=0,AND(J1561=1,K1561=1),AND(J1561=1,I1561="SBJ"),AND(J1561=1,I1561=0)),"?IN_FOCUS",IF(J1561&lt;=2,"?ACTIVATED",IF(J1561&lt;&gt;"","?FAMILIAR",IF(F1561="NEW",IF(ISNA(VLOOKUP(E1561,#REF!,1,FALSE())),"?TYPE_IDENTIFIABLE","?REFERENTIAL"),"_")))))</f>
        <v/>
      </c>
      <c r="H1561" s="12" t="str">
        <f aca="false">IF(J1561&lt;&gt;1,"",IF(I1561="SBJ","CB","?"))</f>
        <v/>
      </c>
      <c r="I1561" s="13" t="str">
        <f aca="false">IF(OR(E1561="",E1561="!!!",F1561="NEW"),"",INDEX(B$2:B1560,-1+SUMPRODUCT(MAX(ROW(E$2:E1560)*(E1561=E$2:E1560)))))</f>
        <v/>
      </c>
      <c r="J1561" s="14" t="str">
        <f aca="true">IF(OR(E1561="",E1561="!!!",F1561="NEW"),"",COUNTBLANK(OFFSET(A$1,,,SUMPRODUCT(MAX(ROW(E$2:E1561)*(E1561=E$2:E1561)))))-COUNTBLANK(OFFSET(A$1,,,SUMPRODUCT(MAX(ROW(E$1:E1560)*(E1561=E$1:E1560))))))</f>
        <v/>
      </c>
      <c r="K1561" s="14" t="str">
        <f aca="false">IF(OR(E1561="",E1561="!!!",F1561="NEW"),"",INDEX(J$1:J1560,SUMPRODUCT(MAX(ROW(E$1:E1560)*(E1561=E$1:E1560)))))</f>
        <v/>
      </c>
      <c r="L1561" s="15"/>
    </row>
    <row r="1562" customFormat="false" ht="12.75" hidden="false" customHeight="false" outlineLevel="0" collapsed="false">
      <c r="A1562" s="0" t="s">
        <v>680</v>
      </c>
      <c r="B1562" s="0" t="s">
        <v>28</v>
      </c>
      <c r="C1562" s="0" t="s">
        <v>405</v>
      </c>
      <c r="D1562" s="0" t="s">
        <v>29</v>
      </c>
      <c r="E1562" s="9" t="str">
        <f aca="false">IF(D1562="?OLD","!!!","")</f>
        <v>!!!</v>
      </c>
      <c r="F1562" s="10" t="str">
        <f aca="false">IF(OR(E1562="",E1562="!!!"),"",IF(NOT(ISNA(VLOOKUP(E1562,E$1:E1561,1,FALSE()))),"OLD",IF(AND(E1562&lt;&gt;"",E1562&lt;&gt;"!!!"),"NEW","")))</f>
        <v/>
      </c>
      <c r="G1562" s="11" t="str">
        <f aca="false">IF(OR(E1562="",E1562="!!!"),"",IF(OR(J1562=0,AND(J1562=1,K1562=1),AND(J1562=1,I1562="SBJ"),AND(J1562=1,I1562=0)),"?IN_FOCUS",IF(J1562&lt;=2,"?ACTIVATED",IF(J1562&lt;&gt;"","?FAMILIAR",IF(F1562="NEW",IF(ISNA(VLOOKUP(E1562,#REF!,1,FALSE())),"?TYPE_IDENTIFIABLE","?REFERENTIAL"),"_")))))</f>
        <v/>
      </c>
      <c r="H1562" s="12" t="str">
        <f aca="false">IF(J1562&lt;&gt;1,"",IF(I1562="SBJ","CB","?"))</f>
        <v/>
      </c>
      <c r="I1562" s="13" t="str">
        <f aca="false">IF(OR(E1562="",E1562="!!!",F1562="NEW"),"",INDEX(B$2:B1561,-1+SUMPRODUCT(MAX(ROW(E$2:E1561)*(E1562=E$2:E1561)))))</f>
        <v/>
      </c>
      <c r="J1562" s="14" t="str">
        <f aca="true">IF(OR(E1562="",E1562="!!!",F1562="NEW"),"",COUNTBLANK(OFFSET(A$1,,,SUMPRODUCT(MAX(ROW(E$2:E1562)*(E1562=E$2:E1562)))))-COUNTBLANK(OFFSET(A$1,,,SUMPRODUCT(MAX(ROW(E$1:E1561)*(E1562=E$1:E1561))))))</f>
        <v/>
      </c>
      <c r="K1562" s="14" t="str">
        <f aca="false">IF(OR(E1562="",E1562="!!!",F1562="NEW"),"",INDEX(J$1:J1561,SUMPRODUCT(MAX(ROW(E$1:E1561)*(E1562=E$1:E1561)))))</f>
        <v/>
      </c>
      <c r="L1562" s="15"/>
    </row>
    <row r="1563" customFormat="false" ht="12.75" hidden="false" customHeight="false" outlineLevel="0" collapsed="false">
      <c r="A1563" s="0" t="s">
        <v>19</v>
      </c>
      <c r="E1563" s="9" t="str">
        <f aca="false">IF(D1563="?OLD","!!!","")</f>
        <v/>
      </c>
      <c r="F1563" s="10" t="str">
        <f aca="false">IF(OR(E1563="",E1563="!!!"),"",IF(NOT(ISNA(VLOOKUP(E1563,E$1:E1562,1,FALSE()))),"OLD",IF(AND(E1563&lt;&gt;"",E1563&lt;&gt;"!!!"),"NEW","")))</f>
        <v/>
      </c>
      <c r="G1563" s="11" t="str">
        <f aca="false">IF(OR(E1563="",E1563="!!!"),"",IF(OR(J1563=0,AND(J1563=1,K1563=1),AND(J1563=1,I1563="SBJ"),AND(J1563=1,I1563=0)),"?IN_FOCUS",IF(J1563&lt;=2,"?ACTIVATED",IF(J1563&lt;&gt;"","?FAMILIAR",IF(F1563="NEW",IF(ISNA(VLOOKUP(E1563,#REF!,1,FALSE())),"?TYPE_IDENTIFIABLE","?REFERENTIAL"),"_")))))</f>
        <v/>
      </c>
      <c r="H1563" s="12" t="str">
        <f aca="false">IF(J1563&lt;&gt;1,"",IF(I1563="SBJ","CB","?"))</f>
        <v/>
      </c>
      <c r="I1563" s="13" t="str">
        <f aca="false">IF(OR(E1563="",E1563="!!!",F1563="NEW"),"",INDEX(B$2:B1562,-1+SUMPRODUCT(MAX(ROW(E$2:E1562)*(E1563=E$2:E1562)))))</f>
        <v/>
      </c>
      <c r="J1563" s="14" t="str">
        <f aca="true">IF(OR(E1563="",E1563="!!!",F1563="NEW"),"",COUNTBLANK(OFFSET(A$1,,,SUMPRODUCT(MAX(ROW(E$2:E1563)*(E1563=E$2:E1563)))))-COUNTBLANK(OFFSET(A$1,,,SUMPRODUCT(MAX(ROW(E$1:E1562)*(E1563=E$1:E1562))))))</f>
        <v/>
      </c>
      <c r="K1563" s="14" t="str">
        <f aca="false">IF(OR(E1563="",E1563="!!!",F1563="NEW"),"",INDEX(J$1:J1562,SUMPRODUCT(MAX(ROW(E$1:E1562)*(E1563=E$1:E1562)))))</f>
        <v/>
      </c>
      <c r="L1563" s="15"/>
    </row>
    <row r="1564" customFormat="false" ht="12.75" hidden="false" customHeight="false" outlineLevel="0" collapsed="false">
      <c r="A1564" s="0" t="s">
        <v>66</v>
      </c>
      <c r="E1564" s="9" t="str">
        <f aca="false">IF(D1564="?OLD","!!!","")</f>
        <v/>
      </c>
      <c r="F1564" s="10" t="str">
        <f aca="false">IF(OR(E1564="",E1564="!!!"),"",IF(NOT(ISNA(VLOOKUP(E1564,E$1:E1563,1,FALSE()))),"OLD",IF(AND(E1564&lt;&gt;"",E1564&lt;&gt;"!!!"),"NEW","")))</f>
        <v/>
      </c>
      <c r="G1564" s="11" t="str">
        <f aca="false">IF(OR(E1564="",E1564="!!!"),"",IF(OR(J1564=0,AND(J1564=1,K1564=1),AND(J1564=1,I1564="SBJ"),AND(J1564=1,I1564=0)),"?IN_FOCUS",IF(J1564&lt;=2,"?ACTIVATED",IF(J1564&lt;&gt;"","?FAMILIAR",IF(F1564="NEW",IF(ISNA(VLOOKUP(E1564,#REF!,1,FALSE())),"?TYPE_IDENTIFIABLE","?REFERENTIAL"),"_")))))</f>
        <v/>
      </c>
      <c r="H1564" s="12" t="str">
        <f aca="false">IF(J1564&lt;&gt;1,"",IF(I1564="SBJ","CB","?"))</f>
        <v/>
      </c>
      <c r="I1564" s="13" t="str">
        <f aca="false">IF(OR(E1564="",E1564="!!!",F1564="NEW"),"",INDEX(B$2:B1563,-1+SUMPRODUCT(MAX(ROW(E$2:E1563)*(E1564=E$2:E1563)))))</f>
        <v/>
      </c>
      <c r="J1564" s="14" t="str">
        <f aca="true">IF(OR(E1564="",E1564="!!!",F1564="NEW"),"",COUNTBLANK(OFFSET(A$1,,,SUMPRODUCT(MAX(ROW(E$2:E1564)*(E1564=E$2:E1564)))))-COUNTBLANK(OFFSET(A$1,,,SUMPRODUCT(MAX(ROW(E$1:E1563)*(E1564=E$1:E1563))))))</f>
        <v/>
      </c>
      <c r="K1564" s="14" t="str">
        <f aca="false">IF(OR(E1564="",E1564="!!!",F1564="NEW"),"",INDEX(J$1:J1563,SUMPRODUCT(MAX(ROW(E$1:E1563)*(E1564=E$1:E1563)))))</f>
        <v/>
      </c>
      <c r="L1564" s="15"/>
    </row>
    <row r="1565" customFormat="false" ht="12.75" hidden="false" customHeight="false" outlineLevel="0" collapsed="false">
      <c r="A1565" s="0" t="s">
        <v>231</v>
      </c>
      <c r="B1565" s="0" t="s">
        <v>22</v>
      </c>
      <c r="C1565" s="0" t="s">
        <v>111</v>
      </c>
      <c r="D1565" s="0" t="s">
        <v>29</v>
      </c>
      <c r="E1565" s="9" t="str">
        <f aca="false">IF(D1565="?OLD","!!!","")</f>
        <v>!!!</v>
      </c>
      <c r="F1565" s="10" t="str">
        <f aca="false">IF(OR(E1565="",E1565="!!!"),"",IF(NOT(ISNA(VLOOKUP(E1565,E$1:E1564,1,FALSE()))),"OLD",IF(AND(E1565&lt;&gt;"",E1565&lt;&gt;"!!!"),"NEW","")))</f>
        <v/>
      </c>
      <c r="G1565" s="11" t="str">
        <f aca="false">IF(OR(E1565="",E1565="!!!"),"",IF(OR(J1565=0,AND(J1565=1,K1565=1),AND(J1565=1,I1565="SBJ"),AND(J1565=1,I1565=0)),"?IN_FOCUS",IF(J1565&lt;=2,"?ACTIVATED",IF(J1565&lt;&gt;"","?FAMILIAR",IF(F1565="NEW",IF(ISNA(VLOOKUP(E1565,#REF!,1,FALSE())),"?TYPE_IDENTIFIABLE","?REFERENTIAL"),"_")))))</f>
        <v/>
      </c>
      <c r="H1565" s="12" t="str">
        <f aca="false">IF(J1565&lt;&gt;1,"",IF(I1565="SBJ","CB","?"))</f>
        <v/>
      </c>
      <c r="I1565" s="13" t="str">
        <f aca="false">IF(OR(E1565="",E1565="!!!",F1565="NEW"),"",INDEX(B$2:B1564,-1+SUMPRODUCT(MAX(ROW(E$2:E1564)*(E1565=E$2:E1564)))))</f>
        <v/>
      </c>
      <c r="J1565" s="14" t="str">
        <f aca="true">IF(OR(E1565="",E1565="!!!",F1565="NEW"),"",COUNTBLANK(OFFSET(A$1,,,SUMPRODUCT(MAX(ROW(E$2:E1565)*(E1565=E$2:E1565)))))-COUNTBLANK(OFFSET(A$1,,,SUMPRODUCT(MAX(ROW(E$1:E1564)*(E1565=E$1:E1564))))))</f>
        <v/>
      </c>
      <c r="K1565" s="14" t="str">
        <f aca="false">IF(OR(E1565="",E1565="!!!",F1565="NEW"),"",INDEX(J$1:J1564,SUMPRODUCT(MAX(ROW(E$1:E1564)*(E1565=E$1:E1564)))))</f>
        <v/>
      </c>
      <c r="L1565" s="15"/>
    </row>
    <row r="1566" customFormat="false" ht="12.75" hidden="false" customHeight="false" outlineLevel="0" collapsed="false">
      <c r="A1566" s="0" t="s">
        <v>88</v>
      </c>
      <c r="E1566" s="9" t="str">
        <f aca="false">IF(D1566="?OLD","!!!","")</f>
        <v/>
      </c>
      <c r="F1566" s="10" t="str">
        <f aca="false">IF(OR(E1566="",E1566="!!!"),"",IF(NOT(ISNA(VLOOKUP(E1566,E$1:E1565,1,FALSE()))),"OLD",IF(AND(E1566&lt;&gt;"",E1566&lt;&gt;"!!!"),"NEW","")))</f>
        <v/>
      </c>
      <c r="G1566" s="11" t="str">
        <f aca="false">IF(OR(E1566="",E1566="!!!"),"",IF(OR(J1566=0,AND(J1566=1,K1566=1),AND(J1566=1,I1566="SBJ"),AND(J1566=1,I1566=0)),"?IN_FOCUS",IF(J1566&lt;=2,"?ACTIVATED",IF(J1566&lt;&gt;"","?FAMILIAR",IF(F1566="NEW",IF(ISNA(VLOOKUP(E1566,#REF!,1,FALSE())),"?TYPE_IDENTIFIABLE","?REFERENTIAL"),"_")))))</f>
        <v/>
      </c>
      <c r="H1566" s="12" t="str">
        <f aca="false">IF(J1566&lt;&gt;1,"",IF(I1566="SBJ","CB","?"))</f>
        <v/>
      </c>
      <c r="I1566" s="13" t="str">
        <f aca="false">IF(OR(E1566="",E1566="!!!",F1566="NEW"),"",INDEX(B$2:B1565,-1+SUMPRODUCT(MAX(ROW(E$2:E1565)*(E1566=E$2:E1565)))))</f>
        <v/>
      </c>
      <c r="J1566" s="14" t="str">
        <f aca="true">IF(OR(E1566="",E1566="!!!",F1566="NEW"),"",COUNTBLANK(OFFSET(A$1,,,SUMPRODUCT(MAX(ROW(E$2:E1566)*(E1566=E$2:E1566)))))-COUNTBLANK(OFFSET(A$1,,,SUMPRODUCT(MAX(ROW(E$1:E1565)*(E1566=E$1:E1565))))))</f>
        <v/>
      </c>
      <c r="K1566" s="14" t="str">
        <f aca="false">IF(OR(E1566="",E1566="!!!",F1566="NEW"),"",INDEX(J$1:J1565,SUMPRODUCT(MAX(ROW(E$1:E1565)*(E1566=E$1:E1565)))))</f>
        <v/>
      </c>
      <c r="L1566" s="15"/>
    </row>
    <row r="1567" customFormat="false" ht="12.75" hidden="false" customHeight="false" outlineLevel="0" collapsed="false">
      <c r="A1567" s="0" t="s">
        <v>681</v>
      </c>
      <c r="E1567" s="9" t="str">
        <f aca="false">IF(D1567="?OLD","!!!","")</f>
        <v/>
      </c>
      <c r="F1567" s="10" t="str">
        <f aca="false">IF(OR(E1567="",E1567="!!!"),"",IF(NOT(ISNA(VLOOKUP(E1567,E$1:E1566,1,FALSE()))),"OLD",IF(AND(E1567&lt;&gt;"",E1567&lt;&gt;"!!!"),"NEW","")))</f>
        <v/>
      </c>
      <c r="G1567" s="11" t="str">
        <f aca="false">IF(OR(E1567="",E1567="!!!"),"",IF(OR(J1567=0,AND(J1567=1,K1567=1),AND(J1567=1,I1567="SBJ"),AND(J1567=1,I1567=0)),"?IN_FOCUS",IF(J1567&lt;=2,"?ACTIVATED",IF(J1567&lt;&gt;"","?FAMILIAR",IF(F1567="NEW",IF(ISNA(VLOOKUP(E1567,#REF!,1,FALSE())),"?TYPE_IDENTIFIABLE","?REFERENTIAL"),"_")))))</f>
        <v/>
      </c>
      <c r="H1567" s="12" t="str">
        <f aca="false">IF(J1567&lt;&gt;1,"",IF(I1567="SBJ","CB","?"))</f>
        <v/>
      </c>
      <c r="I1567" s="13" t="str">
        <f aca="false">IF(OR(E1567="",E1567="!!!",F1567="NEW"),"",INDEX(B$2:B1566,-1+SUMPRODUCT(MAX(ROW(E$2:E1566)*(E1567=E$2:E1566)))))</f>
        <v/>
      </c>
      <c r="J1567" s="14" t="str">
        <f aca="true">IF(OR(E1567="",E1567="!!!",F1567="NEW"),"",COUNTBLANK(OFFSET(A$1,,,SUMPRODUCT(MAX(ROW(E$2:E1567)*(E1567=E$2:E1567)))))-COUNTBLANK(OFFSET(A$1,,,SUMPRODUCT(MAX(ROW(E$1:E1566)*(E1567=E$1:E1566))))))</f>
        <v/>
      </c>
      <c r="K1567" s="14" t="str">
        <f aca="false">IF(OR(E1567="",E1567="!!!",F1567="NEW"),"",INDEX(J$1:J1566,SUMPRODUCT(MAX(ROW(E$1:E1566)*(E1567=E$1:E1566)))))</f>
        <v/>
      </c>
      <c r="L1567" s="15"/>
    </row>
    <row r="1568" customFormat="false" ht="12.75" hidden="false" customHeight="false" outlineLevel="0" collapsed="false">
      <c r="A1568" s="0" t="s">
        <v>561</v>
      </c>
      <c r="E1568" s="9" t="str">
        <f aca="false">IF(D1568="?OLD","!!!","")</f>
        <v/>
      </c>
      <c r="F1568" s="10" t="str">
        <f aca="false">IF(OR(E1568="",E1568="!!!"),"",IF(NOT(ISNA(VLOOKUP(E1568,E$1:E1567,1,FALSE()))),"OLD",IF(AND(E1568&lt;&gt;"",E1568&lt;&gt;"!!!"),"NEW","")))</f>
        <v/>
      </c>
      <c r="G1568" s="11" t="str">
        <f aca="false">IF(OR(E1568="",E1568="!!!"),"",IF(OR(J1568=0,AND(J1568=1,K1568=1),AND(J1568=1,I1568="SBJ"),AND(J1568=1,I1568=0)),"?IN_FOCUS",IF(J1568&lt;=2,"?ACTIVATED",IF(J1568&lt;&gt;"","?FAMILIAR",IF(F1568="NEW",IF(ISNA(VLOOKUP(E1568,#REF!,1,FALSE())),"?TYPE_IDENTIFIABLE","?REFERENTIAL"),"_")))))</f>
        <v/>
      </c>
      <c r="H1568" s="12" t="str">
        <f aca="false">IF(J1568&lt;&gt;1,"",IF(I1568="SBJ","CB","?"))</f>
        <v/>
      </c>
      <c r="I1568" s="13" t="str">
        <f aca="false">IF(OR(E1568="",E1568="!!!",F1568="NEW"),"",INDEX(B$2:B1567,-1+SUMPRODUCT(MAX(ROW(E$2:E1567)*(E1568=E$2:E1567)))))</f>
        <v/>
      </c>
      <c r="J1568" s="14" t="str">
        <f aca="true">IF(OR(E1568="",E1568="!!!",F1568="NEW"),"",COUNTBLANK(OFFSET(A$1,,,SUMPRODUCT(MAX(ROW(E$2:E1568)*(E1568=E$2:E1568)))))-COUNTBLANK(OFFSET(A$1,,,SUMPRODUCT(MAX(ROW(E$1:E1567)*(E1568=E$1:E1567))))))</f>
        <v/>
      </c>
      <c r="K1568" s="14" t="str">
        <f aca="false">IF(OR(E1568="",E1568="!!!",F1568="NEW"),"",INDEX(J$1:J1567,SUMPRODUCT(MAX(ROW(E$1:E1567)*(E1568=E$1:E1567)))))</f>
        <v/>
      </c>
      <c r="L1568" s="15"/>
    </row>
    <row r="1569" customFormat="false" ht="12.75" hidden="false" customHeight="false" outlineLevel="0" collapsed="false">
      <c r="A1569" s="0" t="s">
        <v>385</v>
      </c>
      <c r="E1569" s="9" t="str">
        <f aca="false">IF(D1569="?OLD","!!!","")</f>
        <v/>
      </c>
      <c r="F1569" s="10" t="str">
        <f aca="false">IF(OR(E1569="",E1569="!!!"),"",IF(NOT(ISNA(VLOOKUP(E1569,E$1:E1568,1,FALSE()))),"OLD",IF(AND(E1569&lt;&gt;"",E1569&lt;&gt;"!!!"),"NEW","")))</f>
        <v/>
      </c>
      <c r="G1569" s="11" t="str">
        <f aca="false">IF(OR(E1569="",E1569="!!!"),"",IF(OR(J1569=0,AND(J1569=1,K1569=1),AND(J1569=1,I1569="SBJ"),AND(J1569=1,I1569=0)),"?IN_FOCUS",IF(J1569&lt;=2,"?ACTIVATED",IF(J1569&lt;&gt;"","?FAMILIAR",IF(F1569="NEW",IF(ISNA(VLOOKUP(E1569,#REF!,1,FALSE())),"?TYPE_IDENTIFIABLE","?REFERENTIAL"),"_")))))</f>
        <v/>
      </c>
      <c r="H1569" s="12" t="str">
        <f aca="false">IF(J1569&lt;&gt;1,"",IF(I1569="SBJ","CB","?"))</f>
        <v/>
      </c>
      <c r="I1569" s="13" t="str">
        <f aca="false">IF(OR(E1569="",E1569="!!!",F1569="NEW"),"",INDEX(B$2:B1568,-1+SUMPRODUCT(MAX(ROW(E$2:E1568)*(E1569=E$2:E1568)))))</f>
        <v/>
      </c>
      <c r="J1569" s="14" t="str">
        <f aca="true">IF(OR(E1569="",E1569="!!!",F1569="NEW"),"",COUNTBLANK(OFFSET(A$1,,,SUMPRODUCT(MAX(ROW(E$2:E1569)*(E1569=E$2:E1569)))))-COUNTBLANK(OFFSET(A$1,,,SUMPRODUCT(MAX(ROW(E$1:E1568)*(E1569=E$1:E1568))))))</f>
        <v/>
      </c>
      <c r="K1569" s="14" t="str">
        <f aca="false">IF(OR(E1569="",E1569="!!!",F1569="NEW"),"",INDEX(J$1:J1568,SUMPRODUCT(MAX(ROW(E$1:E1568)*(E1569=E$1:E1568)))))</f>
        <v/>
      </c>
      <c r="L1569" s="15"/>
    </row>
    <row r="1570" customFormat="false" ht="12.75" hidden="false" customHeight="false" outlineLevel="0" collapsed="false">
      <c r="A1570" s="0" t="s">
        <v>33</v>
      </c>
      <c r="E1570" s="9" t="str">
        <f aca="false">IF(D1570="?OLD","!!!","")</f>
        <v/>
      </c>
      <c r="F1570" s="10" t="str">
        <f aca="false">IF(OR(E1570="",E1570="!!!"),"",IF(NOT(ISNA(VLOOKUP(E1570,E$1:E1569,1,FALSE()))),"OLD",IF(AND(E1570&lt;&gt;"",E1570&lt;&gt;"!!!"),"NEW","")))</f>
        <v/>
      </c>
      <c r="G1570" s="11" t="str">
        <f aca="false">IF(OR(E1570="",E1570="!!!"),"",IF(OR(J1570=0,AND(J1570=1,K1570=1),AND(J1570=1,I1570="SBJ"),AND(J1570=1,I1570=0)),"?IN_FOCUS",IF(J1570&lt;=2,"?ACTIVATED",IF(J1570&lt;&gt;"","?FAMILIAR",IF(F1570="NEW",IF(ISNA(VLOOKUP(E1570,#REF!,1,FALSE())),"?TYPE_IDENTIFIABLE","?REFERENTIAL"),"_")))))</f>
        <v/>
      </c>
      <c r="H1570" s="12" t="str">
        <f aca="false">IF(J1570&lt;&gt;1,"",IF(I1570="SBJ","CB","?"))</f>
        <v/>
      </c>
      <c r="I1570" s="13" t="str">
        <f aca="false">IF(OR(E1570="",E1570="!!!",F1570="NEW"),"",INDEX(B$2:B1569,-1+SUMPRODUCT(MAX(ROW(E$2:E1569)*(E1570=E$2:E1569)))))</f>
        <v/>
      </c>
      <c r="J1570" s="14" t="str">
        <f aca="true">IF(OR(E1570="",E1570="!!!",F1570="NEW"),"",COUNTBLANK(OFFSET(A$1,,,SUMPRODUCT(MAX(ROW(E$2:E1570)*(E1570=E$2:E1570)))))-COUNTBLANK(OFFSET(A$1,,,SUMPRODUCT(MAX(ROW(E$1:E1569)*(E1570=E$1:E1569))))))</f>
        <v/>
      </c>
      <c r="K1570" s="14" t="str">
        <f aca="false">IF(OR(E1570="",E1570="!!!",F1570="NEW"),"",INDEX(J$1:J1569,SUMPRODUCT(MAX(ROW(E$1:E1569)*(E1570=E$1:E1569)))))</f>
        <v/>
      </c>
      <c r="L1570" s="15"/>
    </row>
    <row r="1571" customFormat="false" ht="12.75" hidden="false" customHeight="false" outlineLevel="0" collapsed="false">
      <c r="A1571" s="0" t="s">
        <v>557</v>
      </c>
      <c r="E1571" s="9" t="str">
        <f aca="false">IF(D1571="?OLD","!!!","")</f>
        <v/>
      </c>
      <c r="F1571" s="10" t="str">
        <f aca="false">IF(OR(E1571="",E1571="!!!"),"",IF(NOT(ISNA(VLOOKUP(E1571,E$1:E1570,1,FALSE()))),"OLD",IF(AND(E1571&lt;&gt;"",E1571&lt;&gt;"!!!"),"NEW","")))</f>
        <v/>
      </c>
      <c r="G1571" s="11" t="str">
        <f aca="false">IF(OR(E1571="",E1571="!!!"),"",IF(OR(J1571=0,AND(J1571=1,K1571=1),AND(J1571=1,I1571="SBJ"),AND(J1571=1,I1571=0)),"?IN_FOCUS",IF(J1571&lt;=2,"?ACTIVATED",IF(J1571&lt;&gt;"","?FAMILIAR",IF(F1571="NEW",IF(ISNA(VLOOKUP(E1571,#REF!,1,FALSE())),"?TYPE_IDENTIFIABLE","?REFERENTIAL"),"_")))))</f>
        <v/>
      </c>
      <c r="H1571" s="12" t="str">
        <f aca="false">IF(J1571&lt;&gt;1,"",IF(I1571="SBJ","CB","?"))</f>
        <v/>
      </c>
      <c r="I1571" s="13" t="str">
        <f aca="false">IF(OR(E1571="",E1571="!!!",F1571="NEW"),"",INDEX(B$2:B1570,-1+SUMPRODUCT(MAX(ROW(E$2:E1570)*(E1571=E$2:E1570)))))</f>
        <v/>
      </c>
      <c r="J1571" s="14" t="str">
        <f aca="true">IF(OR(E1571="",E1571="!!!",F1571="NEW"),"",COUNTBLANK(OFFSET(A$1,,,SUMPRODUCT(MAX(ROW(E$2:E1571)*(E1571=E$2:E1571)))))-COUNTBLANK(OFFSET(A$1,,,SUMPRODUCT(MAX(ROW(E$1:E1570)*(E1571=E$1:E1570))))))</f>
        <v/>
      </c>
      <c r="K1571" s="14" t="str">
        <f aca="false">IF(OR(E1571="",E1571="!!!",F1571="NEW"),"",INDEX(J$1:J1570,SUMPRODUCT(MAX(ROW(E$1:E1570)*(E1571=E$1:E1570)))))</f>
        <v/>
      </c>
      <c r="L1571" s="15"/>
    </row>
    <row r="1572" customFormat="false" ht="12.75" hidden="false" customHeight="false" outlineLevel="0" collapsed="false">
      <c r="A1572" s="0" t="s">
        <v>682</v>
      </c>
      <c r="B1572" s="0" t="s">
        <v>22</v>
      </c>
      <c r="C1572" s="0" t="s">
        <v>364</v>
      </c>
      <c r="E1572" s="9" t="str">
        <f aca="false">IF(D1572="?OLD","!!!","")</f>
        <v/>
      </c>
      <c r="F1572" s="10" t="str">
        <f aca="false">IF(OR(E1572="",E1572="!!!"),"",IF(NOT(ISNA(VLOOKUP(E1572,E$1:E1571,1,FALSE()))),"OLD",IF(AND(E1572&lt;&gt;"",E1572&lt;&gt;"!!!"),"NEW","")))</f>
        <v/>
      </c>
      <c r="G1572" s="11" t="str">
        <f aca="false">IF(OR(E1572="",E1572="!!!"),"",IF(OR(J1572=0,AND(J1572=1,K1572=1),AND(J1572=1,I1572="SBJ"),AND(J1572=1,I1572=0)),"?IN_FOCUS",IF(J1572&lt;=2,"?ACTIVATED",IF(J1572&lt;&gt;"","?FAMILIAR",IF(F1572="NEW",IF(ISNA(VLOOKUP(E1572,#REF!,1,FALSE())),"?TYPE_IDENTIFIABLE","?REFERENTIAL"),"_")))))</f>
        <v/>
      </c>
      <c r="H1572" s="12" t="str">
        <f aca="false">IF(J1572&lt;&gt;1,"",IF(I1572="SBJ","CB","?"))</f>
        <v/>
      </c>
      <c r="I1572" s="13" t="str">
        <f aca="false">IF(OR(E1572="",E1572="!!!",F1572="NEW"),"",INDEX(B$2:B1571,-1+SUMPRODUCT(MAX(ROW(E$2:E1571)*(E1572=E$2:E1571)))))</f>
        <v/>
      </c>
      <c r="J1572" s="14" t="str">
        <f aca="true">IF(OR(E1572="",E1572="!!!",F1572="NEW"),"",COUNTBLANK(OFFSET(A$1,,,SUMPRODUCT(MAX(ROW(E$2:E1572)*(E1572=E$2:E1572)))))-COUNTBLANK(OFFSET(A$1,,,SUMPRODUCT(MAX(ROW(E$1:E1571)*(E1572=E$1:E1571))))))</f>
        <v/>
      </c>
      <c r="K1572" s="14" t="str">
        <f aca="false">IF(OR(E1572="",E1572="!!!",F1572="NEW"),"",INDEX(J$1:J1571,SUMPRODUCT(MAX(ROW(E$1:E1571)*(E1572=E$1:E1571)))))</f>
        <v/>
      </c>
      <c r="L1572" s="15"/>
    </row>
    <row r="1573" customFormat="false" ht="12.75" hidden="false" customHeight="false" outlineLevel="0" collapsed="false">
      <c r="A1573" s="0" t="s">
        <v>31</v>
      </c>
      <c r="E1573" s="9" t="str">
        <f aca="false">IF(D1573="?OLD","!!!","")</f>
        <v/>
      </c>
      <c r="F1573" s="10" t="str">
        <f aca="false">IF(OR(E1573="",E1573="!!!"),"",IF(NOT(ISNA(VLOOKUP(E1573,E$1:E1572,1,FALSE()))),"OLD",IF(AND(E1573&lt;&gt;"",E1573&lt;&gt;"!!!"),"NEW","")))</f>
        <v/>
      </c>
      <c r="G1573" s="11" t="str">
        <f aca="false">IF(OR(E1573="",E1573="!!!"),"",IF(OR(J1573=0,AND(J1573=1,K1573=1),AND(J1573=1,I1573="SBJ"),AND(J1573=1,I1573=0)),"?IN_FOCUS",IF(J1573&lt;=2,"?ACTIVATED",IF(J1573&lt;&gt;"","?FAMILIAR",IF(F1573="NEW",IF(ISNA(VLOOKUP(E1573,#REF!,1,FALSE())),"?TYPE_IDENTIFIABLE","?REFERENTIAL"),"_")))))</f>
        <v/>
      </c>
      <c r="H1573" s="12" t="str">
        <f aca="false">IF(J1573&lt;&gt;1,"",IF(I1573="SBJ","CB","?"))</f>
        <v/>
      </c>
      <c r="I1573" s="13" t="str">
        <f aca="false">IF(OR(E1573="",E1573="!!!",F1573="NEW"),"",INDEX(B$2:B1572,-1+SUMPRODUCT(MAX(ROW(E$2:E1572)*(E1573=E$2:E1572)))))</f>
        <v/>
      </c>
      <c r="J1573" s="14" t="str">
        <f aca="true">IF(OR(E1573="",E1573="!!!",F1573="NEW"),"",COUNTBLANK(OFFSET(A$1,,,SUMPRODUCT(MAX(ROW(E$2:E1573)*(E1573=E$2:E1573)))))-COUNTBLANK(OFFSET(A$1,,,SUMPRODUCT(MAX(ROW(E$1:E1572)*(E1573=E$1:E1572))))))</f>
        <v/>
      </c>
      <c r="K1573" s="14" t="str">
        <f aca="false">IF(OR(E1573="",E1573="!!!",F1573="NEW"),"",INDEX(J$1:J1572,SUMPRODUCT(MAX(ROW(E$1:E1572)*(E1573=E$1:E1572)))))</f>
        <v/>
      </c>
      <c r="L1573" s="15"/>
    </row>
    <row r="1574" customFormat="false" ht="12.75" hidden="false" customHeight="false" outlineLevel="0" collapsed="false">
      <c r="A1574" s="0" t="s">
        <v>183</v>
      </c>
      <c r="E1574" s="9" t="str">
        <f aca="false">IF(D1574="?OLD","!!!","")</f>
        <v/>
      </c>
      <c r="F1574" s="10" t="str">
        <f aca="false">IF(OR(E1574="",E1574="!!!"),"",IF(NOT(ISNA(VLOOKUP(E1574,E$1:E1573,1,FALSE()))),"OLD",IF(AND(E1574&lt;&gt;"",E1574&lt;&gt;"!!!"),"NEW","")))</f>
        <v/>
      </c>
      <c r="G1574" s="11" t="str">
        <f aca="false">IF(OR(E1574="",E1574="!!!"),"",IF(OR(J1574=0,AND(J1574=1,K1574=1),AND(J1574=1,I1574="SBJ"),AND(J1574=1,I1574=0)),"?IN_FOCUS",IF(J1574&lt;=2,"?ACTIVATED",IF(J1574&lt;&gt;"","?FAMILIAR",IF(F1574="NEW",IF(ISNA(VLOOKUP(E1574,#REF!,1,FALSE())),"?TYPE_IDENTIFIABLE","?REFERENTIAL"),"_")))))</f>
        <v/>
      </c>
      <c r="H1574" s="12" t="str">
        <f aca="false">IF(J1574&lt;&gt;1,"",IF(I1574="SBJ","CB","?"))</f>
        <v/>
      </c>
      <c r="I1574" s="13" t="str">
        <f aca="false">IF(OR(E1574="",E1574="!!!",F1574="NEW"),"",INDEX(B$2:B1573,-1+SUMPRODUCT(MAX(ROW(E$2:E1573)*(E1574=E$2:E1573)))))</f>
        <v/>
      </c>
      <c r="J1574" s="14" t="str">
        <f aca="true">IF(OR(E1574="",E1574="!!!",F1574="NEW"),"",COUNTBLANK(OFFSET(A$1,,,SUMPRODUCT(MAX(ROW(E$2:E1574)*(E1574=E$2:E1574)))))-COUNTBLANK(OFFSET(A$1,,,SUMPRODUCT(MAX(ROW(E$1:E1573)*(E1574=E$1:E1573))))))</f>
        <v/>
      </c>
      <c r="K1574" s="14" t="str">
        <f aca="false">IF(OR(E1574="",E1574="!!!",F1574="NEW"),"",INDEX(J$1:J1573,SUMPRODUCT(MAX(ROW(E$1:E1573)*(E1574=E$1:E1573)))))</f>
        <v/>
      </c>
      <c r="L1574" s="15"/>
    </row>
    <row r="1575" customFormat="false" ht="12.75" hidden="false" customHeight="false" outlineLevel="0" collapsed="false">
      <c r="A1575" s="0" t="s">
        <v>85</v>
      </c>
      <c r="E1575" s="9" t="str">
        <f aca="false">IF(D1575="?OLD","!!!","")</f>
        <v/>
      </c>
      <c r="F1575" s="10" t="str">
        <f aca="false">IF(OR(E1575="",E1575="!!!"),"",IF(NOT(ISNA(VLOOKUP(E1575,E$1:E1574,1,FALSE()))),"OLD",IF(AND(E1575&lt;&gt;"",E1575&lt;&gt;"!!!"),"NEW","")))</f>
        <v/>
      </c>
      <c r="G1575" s="11" t="str">
        <f aca="false">IF(OR(E1575="",E1575="!!!"),"",IF(OR(J1575=0,AND(J1575=1,K1575=1),AND(J1575=1,I1575="SBJ"),AND(J1575=1,I1575=0)),"?IN_FOCUS",IF(J1575&lt;=2,"?ACTIVATED",IF(J1575&lt;&gt;"","?FAMILIAR",IF(F1575="NEW",IF(ISNA(VLOOKUP(E1575,#REF!,1,FALSE())),"?TYPE_IDENTIFIABLE","?REFERENTIAL"),"_")))))</f>
        <v/>
      </c>
      <c r="H1575" s="12" t="str">
        <f aca="false">IF(J1575&lt;&gt;1,"",IF(I1575="SBJ","CB","?"))</f>
        <v/>
      </c>
      <c r="I1575" s="13" t="str">
        <f aca="false">IF(OR(E1575="",E1575="!!!",F1575="NEW"),"",INDEX(B$2:B1574,-1+SUMPRODUCT(MAX(ROW(E$2:E1574)*(E1575=E$2:E1574)))))</f>
        <v/>
      </c>
      <c r="J1575" s="14" t="str">
        <f aca="true">IF(OR(E1575="",E1575="!!!",F1575="NEW"),"",COUNTBLANK(OFFSET(A$1,,,SUMPRODUCT(MAX(ROW(E$2:E1575)*(E1575=E$2:E1575)))))-COUNTBLANK(OFFSET(A$1,,,SUMPRODUCT(MAX(ROW(E$1:E1574)*(E1575=E$1:E1574))))))</f>
        <v/>
      </c>
      <c r="K1575" s="14" t="str">
        <f aca="false">IF(OR(E1575="",E1575="!!!",F1575="NEW"),"",INDEX(J$1:J1574,SUMPRODUCT(MAX(ROW(E$1:E1574)*(E1575=E$1:E1574)))))</f>
        <v/>
      </c>
      <c r="L1575" s="15"/>
    </row>
    <row r="1576" customFormat="false" ht="12.75" hidden="false" customHeight="false" outlineLevel="0" collapsed="false">
      <c r="A1576" s="0" t="s">
        <v>66</v>
      </c>
      <c r="E1576" s="9" t="str">
        <f aca="false">IF(D1576="?OLD","!!!","")</f>
        <v/>
      </c>
      <c r="F1576" s="10" t="str">
        <f aca="false">IF(OR(E1576="",E1576="!!!"),"",IF(NOT(ISNA(VLOOKUP(E1576,E$1:E1575,1,FALSE()))),"OLD",IF(AND(E1576&lt;&gt;"",E1576&lt;&gt;"!!!"),"NEW","")))</f>
        <v/>
      </c>
      <c r="G1576" s="11" t="str">
        <f aca="false">IF(OR(E1576="",E1576="!!!"),"",IF(OR(J1576=0,AND(J1576=1,K1576=1),AND(J1576=1,I1576="SBJ"),AND(J1576=1,I1576=0)),"?IN_FOCUS",IF(J1576&lt;=2,"?ACTIVATED",IF(J1576&lt;&gt;"","?FAMILIAR",IF(F1576="NEW",IF(ISNA(VLOOKUP(E1576,#REF!,1,FALSE())),"?TYPE_IDENTIFIABLE","?REFERENTIAL"),"_")))))</f>
        <v/>
      </c>
      <c r="H1576" s="12" t="str">
        <f aca="false">IF(J1576&lt;&gt;1,"",IF(I1576="SBJ","CB","?"))</f>
        <v/>
      </c>
      <c r="I1576" s="13" t="str">
        <f aca="false">IF(OR(E1576="",E1576="!!!",F1576="NEW"),"",INDEX(B$2:B1575,-1+SUMPRODUCT(MAX(ROW(E$2:E1575)*(E1576=E$2:E1575)))))</f>
        <v/>
      </c>
      <c r="J1576" s="14" t="str">
        <f aca="true">IF(OR(E1576="",E1576="!!!",F1576="NEW"),"",COUNTBLANK(OFFSET(A$1,,,SUMPRODUCT(MAX(ROW(E$2:E1576)*(E1576=E$2:E1576)))))-COUNTBLANK(OFFSET(A$1,,,SUMPRODUCT(MAX(ROW(E$1:E1575)*(E1576=E$1:E1575))))))</f>
        <v/>
      </c>
      <c r="K1576" s="14" t="str">
        <f aca="false">IF(OR(E1576="",E1576="!!!",F1576="NEW"),"",INDEX(J$1:J1575,SUMPRODUCT(MAX(ROW(E$1:E1575)*(E1576=E$1:E1575)))))</f>
        <v/>
      </c>
      <c r="L1576" s="15"/>
    </row>
    <row r="1577" customFormat="false" ht="12.75" hidden="false" customHeight="false" outlineLevel="0" collapsed="false">
      <c r="A1577" s="0" t="s">
        <v>683</v>
      </c>
      <c r="E1577" s="9" t="str">
        <f aca="false">IF(D1577="?OLD","!!!","")</f>
        <v/>
      </c>
      <c r="F1577" s="10" t="str">
        <f aca="false">IF(OR(E1577="",E1577="!!!"),"",IF(NOT(ISNA(VLOOKUP(E1577,E$1:E1576,1,FALSE()))),"OLD",IF(AND(E1577&lt;&gt;"",E1577&lt;&gt;"!!!"),"NEW","")))</f>
        <v/>
      </c>
      <c r="G1577" s="11" t="str">
        <f aca="false">IF(OR(E1577="",E1577="!!!"),"",IF(OR(J1577=0,AND(J1577=1,K1577=1),AND(J1577=1,I1577="SBJ"),AND(J1577=1,I1577=0)),"?IN_FOCUS",IF(J1577&lt;=2,"?ACTIVATED",IF(J1577&lt;&gt;"","?FAMILIAR",IF(F1577="NEW",IF(ISNA(VLOOKUP(E1577,#REF!,1,FALSE())),"?TYPE_IDENTIFIABLE","?REFERENTIAL"),"_")))))</f>
        <v/>
      </c>
      <c r="H1577" s="12" t="str">
        <f aca="false">IF(J1577&lt;&gt;1,"",IF(I1577="SBJ","CB","?"))</f>
        <v/>
      </c>
      <c r="I1577" s="13" t="str">
        <f aca="false">IF(OR(E1577="",E1577="!!!",F1577="NEW"),"",INDEX(B$2:B1576,-1+SUMPRODUCT(MAX(ROW(E$2:E1576)*(E1577=E$2:E1576)))))</f>
        <v/>
      </c>
      <c r="J1577" s="14" t="str">
        <f aca="true">IF(OR(E1577="",E1577="!!!",F1577="NEW"),"",COUNTBLANK(OFFSET(A$1,,,SUMPRODUCT(MAX(ROW(E$2:E1577)*(E1577=E$2:E1577)))))-COUNTBLANK(OFFSET(A$1,,,SUMPRODUCT(MAX(ROW(E$1:E1576)*(E1577=E$1:E1576))))))</f>
        <v/>
      </c>
      <c r="K1577" s="14" t="str">
        <f aca="false">IF(OR(E1577="",E1577="!!!",F1577="NEW"),"",INDEX(J$1:J1576,SUMPRODUCT(MAX(ROW(E$1:E1576)*(E1577=E$1:E1576)))))</f>
        <v/>
      </c>
      <c r="L1577" s="15"/>
    </row>
    <row r="1578" customFormat="false" ht="12.75" hidden="false" customHeight="false" outlineLevel="0" collapsed="false">
      <c r="A1578" s="0" t="s">
        <v>684</v>
      </c>
      <c r="B1578" s="0" t="s">
        <v>330</v>
      </c>
      <c r="C1578" s="0" t="s">
        <v>111</v>
      </c>
      <c r="D1578" s="0" t="s">
        <v>29</v>
      </c>
      <c r="E1578" s="9" t="str">
        <f aca="false">IF(D1578="?OLD","!!!","")</f>
        <v>!!!</v>
      </c>
      <c r="F1578" s="10" t="str">
        <f aca="false">IF(OR(E1578="",E1578="!!!"),"",IF(NOT(ISNA(VLOOKUP(E1578,E$1:E1577,1,FALSE()))),"OLD",IF(AND(E1578&lt;&gt;"",E1578&lt;&gt;"!!!"),"NEW","")))</f>
        <v/>
      </c>
      <c r="G1578" s="11" t="str">
        <f aca="false">IF(OR(E1578="",E1578="!!!"),"",IF(OR(J1578=0,AND(J1578=1,K1578=1),AND(J1578=1,I1578="SBJ"),AND(J1578=1,I1578=0)),"?IN_FOCUS",IF(J1578&lt;=2,"?ACTIVATED",IF(J1578&lt;&gt;"","?FAMILIAR",IF(F1578="NEW",IF(ISNA(VLOOKUP(E1578,#REF!,1,FALSE())),"?TYPE_IDENTIFIABLE","?REFERENTIAL"),"_")))))</f>
        <v/>
      </c>
      <c r="H1578" s="12" t="str">
        <f aca="false">IF(J1578&lt;&gt;1,"",IF(I1578="SBJ","CB","?"))</f>
        <v/>
      </c>
      <c r="I1578" s="13" t="str">
        <f aca="false">IF(OR(E1578="",E1578="!!!",F1578="NEW"),"",INDEX(B$2:B1577,-1+SUMPRODUCT(MAX(ROW(E$2:E1577)*(E1578=E$2:E1577)))))</f>
        <v/>
      </c>
      <c r="J1578" s="14" t="str">
        <f aca="true">IF(OR(E1578="",E1578="!!!",F1578="NEW"),"",COUNTBLANK(OFFSET(A$1,,,SUMPRODUCT(MAX(ROW(E$2:E1578)*(E1578=E$2:E1578)))))-COUNTBLANK(OFFSET(A$1,,,SUMPRODUCT(MAX(ROW(E$1:E1577)*(E1578=E$1:E1577))))))</f>
        <v/>
      </c>
      <c r="K1578" s="14" t="str">
        <f aca="false">IF(OR(E1578="",E1578="!!!",F1578="NEW"),"",INDEX(J$1:J1577,SUMPRODUCT(MAX(ROW(E$1:E1577)*(E1578=E$1:E1577)))))</f>
        <v/>
      </c>
      <c r="L1578" s="15"/>
    </row>
    <row r="1579" customFormat="false" ht="12.75" hidden="false" customHeight="false" outlineLevel="0" collapsed="false">
      <c r="A1579" s="0" t="s">
        <v>88</v>
      </c>
      <c r="E1579" s="9" t="str">
        <f aca="false">IF(D1579="?OLD","!!!","")</f>
        <v/>
      </c>
      <c r="F1579" s="10" t="str">
        <f aca="false">IF(OR(E1579="",E1579="!!!"),"",IF(NOT(ISNA(VLOOKUP(E1579,E$1:E1578,1,FALSE()))),"OLD",IF(AND(E1579&lt;&gt;"",E1579&lt;&gt;"!!!"),"NEW","")))</f>
        <v/>
      </c>
      <c r="G1579" s="11" t="str">
        <f aca="false">IF(OR(E1579="",E1579="!!!"),"",IF(OR(J1579=0,AND(J1579=1,K1579=1),AND(J1579=1,I1579="SBJ"),AND(J1579=1,I1579=0)),"?IN_FOCUS",IF(J1579&lt;=2,"?ACTIVATED",IF(J1579&lt;&gt;"","?FAMILIAR",IF(F1579="NEW",IF(ISNA(VLOOKUP(E1579,#REF!,1,FALSE())),"?TYPE_IDENTIFIABLE","?REFERENTIAL"),"_")))))</f>
        <v/>
      </c>
      <c r="H1579" s="12" t="str">
        <f aca="false">IF(J1579&lt;&gt;1,"",IF(I1579="SBJ","CB","?"))</f>
        <v/>
      </c>
      <c r="I1579" s="13" t="str">
        <f aca="false">IF(OR(E1579="",E1579="!!!",F1579="NEW"),"",INDEX(B$2:B1578,-1+SUMPRODUCT(MAX(ROW(E$2:E1578)*(E1579=E$2:E1578)))))</f>
        <v/>
      </c>
      <c r="J1579" s="14" t="str">
        <f aca="true">IF(OR(E1579="",E1579="!!!",F1579="NEW"),"",COUNTBLANK(OFFSET(A$1,,,SUMPRODUCT(MAX(ROW(E$2:E1579)*(E1579=E$2:E1579)))))-COUNTBLANK(OFFSET(A$1,,,SUMPRODUCT(MAX(ROW(E$1:E1578)*(E1579=E$1:E1578))))))</f>
        <v/>
      </c>
      <c r="K1579" s="14" t="str">
        <f aca="false">IF(OR(E1579="",E1579="!!!",F1579="NEW"),"",INDEX(J$1:J1578,SUMPRODUCT(MAX(ROW(E$1:E1578)*(E1579=E$1:E1578)))))</f>
        <v/>
      </c>
      <c r="L1579" s="15"/>
    </row>
    <row r="1580" customFormat="false" ht="12.75" hidden="false" customHeight="false" outlineLevel="0" collapsed="false">
      <c r="A1580" s="0" t="s">
        <v>66</v>
      </c>
      <c r="E1580" s="9" t="str">
        <f aca="false">IF(D1580="?OLD","!!!","")</f>
        <v/>
      </c>
      <c r="F1580" s="10" t="str">
        <f aca="false">IF(OR(E1580="",E1580="!!!"),"",IF(NOT(ISNA(VLOOKUP(E1580,E$1:E1579,1,FALSE()))),"OLD",IF(AND(E1580&lt;&gt;"",E1580&lt;&gt;"!!!"),"NEW","")))</f>
        <v/>
      </c>
      <c r="G1580" s="11" t="str">
        <f aca="false">IF(OR(E1580="",E1580="!!!"),"",IF(OR(J1580=0,AND(J1580=1,K1580=1),AND(J1580=1,I1580="SBJ"),AND(J1580=1,I1580=0)),"?IN_FOCUS",IF(J1580&lt;=2,"?ACTIVATED",IF(J1580&lt;&gt;"","?FAMILIAR",IF(F1580="NEW",IF(ISNA(VLOOKUP(E1580,#REF!,1,FALSE())),"?TYPE_IDENTIFIABLE","?REFERENTIAL"),"_")))))</f>
        <v/>
      </c>
      <c r="H1580" s="12" t="str">
        <f aca="false">IF(J1580&lt;&gt;1,"",IF(I1580="SBJ","CB","?"))</f>
        <v/>
      </c>
      <c r="I1580" s="13" t="str">
        <f aca="false">IF(OR(E1580="",E1580="!!!",F1580="NEW"),"",INDEX(B$2:B1579,-1+SUMPRODUCT(MAX(ROW(E$2:E1579)*(E1580=E$2:E1579)))))</f>
        <v/>
      </c>
      <c r="J1580" s="14" t="str">
        <f aca="true">IF(OR(E1580="",E1580="!!!",F1580="NEW"),"",COUNTBLANK(OFFSET(A$1,,,SUMPRODUCT(MAX(ROW(E$2:E1580)*(E1580=E$2:E1580)))))-COUNTBLANK(OFFSET(A$1,,,SUMPRODUCT(MAX(ROW(E$1:E1579)*(E1580=E$1:E1579))))))</f>
        <v/>
      </c>
      <c r="K1580" s="14" t="str">
        <f aca="false">IF(OR(E1580="",E1580="!!!",F1580="NEW"),"",INDEX(J$1:J1579,SUMPRODUCT(MAX(ROW(E$1:E1579)*(E1580=E$1:E1579)))))</f>
        <v/>
      </c>
      <c r="L1580" s="15"/>
    </row>
    <row r="1581" customFormat="false" ht="12.75" hidden="false" customHeight="false" outlineLevel="0" collapsed="false">
      <c r="A1581" s="0" t="s">
        <v>628</v>
      </c>
      <c r="B1581" s="0" t="s">
        <v>71</v>
      </c>
      <c r="C1581" s="0" t="s">
        <v>111</v>
      </c>
      <c r="D1581" s="0" t="s">
        <v>29</v>
      </c>
      <c r="E1581" s="9" t="str">
        <f aca="false">IF(D1581="?OLD","!!!","")</f>
        <v>!!!</v>
      </c>
      <c r="F1581" s="10" t="str">
        <f aca="false">IF(OR(E1581="",E1581="!!!"),"",IF(NOT(ISNA(VLOOKUP(E1581,E$1:E1580,1,FALSE()))),"OLD",IF(AND(E1581&lt;&gt;"",E1581&lt;&gt;"!!!"),"NEW","")))</f>
        <v/>
      </c>
      <c r="G1581" s="11" t="str">
        <f aca="false">IF(OR(E1581="",E1581="!!!"),"",IF(OR(J1581=0,AND(J1581=1,K1581=1),AND(J1581=1,I1581="SBJ"),AND(J1581=1,I1581=0)),"?IN_FOCUS",IF(J1581&lt;=2,"?ACTIVATED",IF(J1581&lt;&gt;"","?FAMILIAR",IF(F1581="NEW",IF(ISNA(VLOOKUP(E1581,#REF!,1,FALSE())),"?TYPE_IDENTIFIABLE","?REFERENTIAL"),"_")))))</f>
        <v/>
      </c>
      <c r="H1581" s="12" t="str">
        <f aca="false">IF(J1581&lt;&gt;1,"",IF(I1581="SBJ","CB","?"))</f>
        <v/>
      </c>
      <c r="I1581" s="13" t="str">
        <f aca="false">IF(OR(E1581="",E1581="!!!",F1581="NEW"),"",INDEX(B$2:B1580,-1+SUMPRODUCT(MAX(ROW(E$2:E1580)*(E1581=E$2:E1580)))))</f>
        <v/>
      </c>
      <c r="J1581" s="14" t="str">
        <f aca="true">IF(OR(E1581="",E1581="!!!",F1581="NEW"),"",COUNTBLANK(OFFSET(A$1,,,SUMPRODUCT(MAX(ROW(E$2:E1581)*(E1581=E$2:E1581)))))-COUNTBLANK(OFFSET(A$1,,,SUMPRODUCT(MAX(ROW(E$1:E1580)*(E1581=E$1:E1580))))))</f>
        <v/>
      </c>
      <c r="K1581" s="14" t="str">
        <f aca="false">IF(OR(E1581="",E1581="!!!",F1581="NEW"),"",INDEX(J$1:J1580,SUMPRODUCT(MAX(ROW(E$1:E1580)*(E1581=E$1:E1580)))))</f>
        <v/>
      </c>
      <c r="L1581" s="15"/>
    </row>
    <row r="1582" customFormat="false" ht="12.75" hidden="false" customHeight="false" outlineLevel="0" collapsed="false">
      <c r="A1582" s="0" t="s">
        <v>685</v>
      </c>
      <c r="E1582" s="9" t="str">
        <f aca="false">IF(D1582="?OLD","!!!","")</f>
        <v/>
      </c>
      <c r="F1582" s="10" t="str">
        <f aca="false">IF(OR(E1582="",E1582="!!!"),"",IF(NOT(ISNA(VLOOKUP(E1582,E$1:E1581,1,FALSE()))),"OLD",IF(AND(E1582&lt;&gt;"",E1582&lt;&gt;"!!!"),"NEW","")))</f>
        <v/>
      </c>
      <c r="G1582" s="11" t="str">
        <f aca="false">IF(OR(E1582="",E1582="!!!"),"",IF(OR(J1582=0,AND(J1582=1,K1582=1),AND(J1582=1,I1582="SBJ"),AND(J1582=1,I1582=0)),"?IN_FOCUS",IF(J1582&lt;=2,"?ACTIVATED",IF(J1582&lt;&gt;"","?FAMILIAR",IF(F1582="NEW",IF(ISNA(VLOOKUP(E1582,#REF!,1,FALSE())),"?TYPE_IDENTIFIABLE","?REFERENTIAL"),"_")))))</f>
        <v/>
      </c>
      <c r="H1582" s="12" t="str">
        <f aca="false">IF(J1582&lt;&gt;1,"",IF(I1582="SBJ","CB","?"))</f>
        <v/>
      </c>
      <c r="I1582" s="13" t="str">
        <f aca="false">IF(OR(E1582="",E1582="!!!",F1582="NEW"),"",INDEX(B$2:B1581,-1+SUMPRODUCT(MAX(ROW(E$2:E1581)*(E1582=E$2:E1581)))))</f>
        <v/>
      </c>
      <c r="J1582" s="14" t="str">
        <f aca="true">IF(OR(E1582="",E1582="!!!",F1582="NEW"),"",COUNTBLANK(OFFSET(A$1,,,SUMPRODUCT(MAX(ROW(E$2:E1582)*(E1582=E$2:E1582)))))-COUNTBLANK(OFFSET(A$1,,,SUMPRODUCT(MAX(ROW(E$1:E1581)*(E1582=E$1:E1581))))))</f>
        <v/>
      </c>
      <c r="K1582" s="14" t="str">
        <f aca="false">IF(OR(E1582="",E1582="!!!",F1582="NEW"),"",INDEX(J$1:J1581,SUMPRODUCT(MAX(ROW(E$1:E1581)*(E1582=E$1:E1581)))))</f>
        <v/>
      </c>
      <c r="L1582" s="15"/>
    </row>
    <row r="1583" customFormat="false" ht="12.75" hidden="false" customHeight="false" outlineLevel="0" collapsed="false">
      <c r="A1583" s="0" t="s">
        <v>565</v>
      </c>
      <c r="E1583" s="9" t="str">
        <f aca="false">IF(D1583="?OLD","!!!","")</f>
        <v/>
      </c>
      <c r="F1583" s="10" t="str">
        <f aca="false">IF(OR(E1583="",E1583="!!!"),"",IF(NOT(ISNA(VLOOKUP(E1583,E$1:E1582,1,FALSE()))),"OLD",IF(AND(E1583&lt;&gt;"",E1583&lt;&gt;"!!!"),"NEW","")))</f>
        <v/>
      </c>
      <c r="G1583" s="11" t="str">
        <f aca="false">IF(OR(E1583="",E1583="!!!"),"",IF(OR(J1583=0,AND(J1583=1,K1583=1),AND(J1583=1,I1583="SBJ"),AND(J1583=1,I1583=0)),"?IN_FOCUS",IF(J1583&lt;=2,"?ACTIVATED",IF(J1583&lt;&gt;"","?FAMILIAR",IF(F1583="NEW",IF(ISNA(VLOOKUP(E1583,#REF!,1,FALSE())),"?TYPE_IDENTIFIABLE","?REFERENTIAL"),"_")))))</f>
        <v/>
      </c>
      <c r="H1583" s="12" t="str">
        <f aca="false">IF(J1583&lt;&gt;1,"",IF(I1583="SBJ","CB","?"))</f>
        <v/>
      </c>
      <c r="I1583" s="13" t="str">
        <f aca="false">IF(OR(E1583="",E1583="!!!",F1583="NEW"),"",INDEX(B$2:B1582,-1+SUMPRODUCT(MAX(ROW(E$2:E1582)*(E1583=E$2:E1582)))))</f>
        <v/>
      </c>
      <c r="J1583" s="14" t="str">
        <f aca="true">IF(OR(E1583="",E1583="!!!",F1583="NEW"),"",COUNTBLANK(OFFSET(A$1,,,SUMPRODUCT(MAX(ROW(E$2:E1583)*(E1583=E$2:E1583)))))-COUNTBLANK(OFFSET(A$1,,,SUMPRODUCT(MAX(ROW(E$1:E1582)*(E1583=E$1:E1582))))))</f>
        <v/>
      </c>
      <c r="K1583" s="14" t="str">
        <f aca="false">IF(OR(E1583="",E1583="!!!",F1583="NEW"),"",INDEX(J$1:J1582,SUMPRODUCT(MAX(ROW(E$1:E1582)*(E1583=E$1:E1582)))))</f>
        <v/>
      </c>
      <c r="L1583" s="15"/>
    </row>
    <row r="1584" customFormat="false" ht="12.75" hidden="false" customHeight="false" outlineLevel="0" collapsed="false">
      <c r="A1584" s="0" t="s">
        <v>40</v>
      </c>
      <c r="E1584" s="9" t="str">
        <f aca="false">IF(D1584="?OLD","!!!","")</f>
        <v/>
      </c>
      <c r="F1584" s="10" t="str">
        <f aca="false">IF(OR(E1584="",E1584="!!!"),"",IF(NOT(ISNA(VLOOKUP(E1584,E$1:E1583,1,FALSE()))),"OLD",IF(AND(E1584&lt;&gt;"",E1584&lt;&gt;"!!!"),"NEW","")))</f>
        <v/>
      </c>
      <c r="G1584" s="11" t="str">
        <f aca="false">IF(OR(E1584="",E1584="!!!"),"",IF(OR(J1584=0,AND(J1584=1,K1584=1),AND(J1584=1,I1584="SBJ"),AND(J1584=1,I1584=0)),"?IN_FOCUS",IF(J1584&lt;=2,"?ACTIVATED",IF(J1584&lt;&gt;"","?FAMILIAR",IF(F1584="NEW",IF(ISNA(VLOOKUP(E1584,#REF!,1,FALSE())),"?TYPE_IDENTIFIABLE","?REFERENTIAL"),"_")))))</f>
        <v/>
      </c>
      <c r="H1584" s="12" t="str">
        <f aca="false">IF(J1584&lt;&gt;1,"",IF(I1584="SBJ","CB","?"))</f>
        <v/>
      </c>
      <c r="I1584" s="13" t="str">
        <f aca="false">IF(OR(E1584="",E1584="!!!",F1584="NEW"),"",INDEX(B$2:B1583,-1+SUMPRODUCT(MAX(ROW(E$2:E1583)*(E1584=E$2:E1583)))))</f>
        <v/>
      </c>
      <c r="J1584" s="14" t="str">
        <f aca="true">IF(OR(E1584="",E1584="!!!",F1584="NEW"),"",COUNTBLANK(OFFSET(A$1,,,SUMPRODUCT(MAX(ROW(E$2:E1584)*(E1584=E$2:E1584)))))-COUNTBLANK(OFFSET(A$1,,,SUMPRODUCT(MAX(ROW(E$1:E1583)*(E1584=E$1:E1583))))))</f>
        <v/>
      </c>
      <c r="K1584" s="14" t="str">
        <f aca="false">IF(OR(E1584="",E1584="!!!",F1584="NEW"),"",INDEX(J$1:J1583,SUMPRODUCT(MAX(ROW(E$1:E1583)*(E1584=E$1:E1583)))))</f>
        <v/>
      </c>
      <c r="L1584" s="15"/>
    </row>
    <row r="1585" customFormat="false" ht="12.75" hidden="false" customHeight="false" outlineLevel="0" collapsed="false">
      <c r="A1585" s="0" t="s">
        <v>686</v>
      </c>
      <c r="E1585" s="9" t="str">
        <f aca="false">IF(D1585="?OLD","!!!","")</f>
        <v/>
      </c>
      <c r="F1585" s="10" t="str">
        <f aca="false">IF(OR(E1585="",E1585="!!!"),"",IF(NOT(ISNA(VLOOKUP(E1585,E$1:E1584,1,FALSE()))),"OLD",IF(AND(E1585&lt;&gt;"",E1585&lt;&gt;"!!!"),"NEW","")))</f>
        <v/>
      </c>
      <c r="G1585" s="11" t="str">
        <f aca="false">IF(OR(E1585="",E1585="!!!"),"",IF(OR(J1585=0,AND(J1585=1,K1585=1),AND(J1585=1,I1585="SBJ"),AND(J1585=1,I1585=0)),"?IN_FOCUS",IF(J1585&lt;=2,"?ACTIVATED",IF(J1585&lt;&gt;"","?FAMILIAR",IF(F1585="NEW",IF(ISNA(VLOOKUP(E1585,#REF!,1,FALSE())),"?TYPE_IDENTIFIABLE","?REFERENTIAL"),"_")))))</f>
        <v/>
      </c>
      <c r="H1585" s="12" t="str">
        <f aca="false">IF(J1585&lt;&gt;1,"",IF(I1585="SBJ","CB","?"))</f>
        <v/>
      </c>
      <c r="I1585" s="13" t="str">
        <f aca="false">IF(OR(E1585="",E1585="!!!",F1585="NEW"),"",INDEX(B$2:B1584,-1+SUMPRODUCT(MAX(ROW(E$2:E1584)*(E1585=E$2:E1584)))))</f>
        <v/>
      </c>
      <c r="J1585" s="14" t="str">
        <f aca="true">IF(OR(E1585="",E1585="!!!",F1585="NEW"),"",COUNTBLANK(OFFSET(A$1,,,SUMPRODUCT(MAX(ROW(E$2:E1585)*(E1585=E$2:E1585)))))-COUNTBLANK(OFFSET(A$1,,,SUMPRODUCT(MAX(ROW(E$1:E1584)*(E1585=E$1:E1584))))))</f>
        <v/>
      </c>
      <c r="K1585" s="14" t="str">
        <f aca="false">IF(OR(E1585="",E1585="!!!",F1585="NEW"),"",INDEX(J$1:J1584,SUMPRODUCT(MAX(ROW(E$1:E1584)*(E1585=E$1:E1584)))))</f>
        <v/>
      </c>
      <c r="L1585" s="15"/>
    </row>
    <row r="1586" customFormat="false" ht="12.75" hidden="false" customHeight="false" outlineLevel="0" collapsed="false">
      <c r="A1586" s="0" t="s">
        <v>687</v>
      </c>
      <c r="B1586" s="0" t="s">
        <v>54</v>
      </c>
      <c r="C1586" s="0" t="s">
        <v>43</v>
      </c>
      <c r="E1586" s="9" t="str">
        <f aca="false">IF(D1586="?OLD","!!!","")</f>
        <v/>
      </c>
      <c r="F1586" s="10" t="str">
        <f aca="false">IF(OR(E1586="",E1586="!!!"),"",IF(NOT(ISNA(VLOOKUP(E1586,E$1:E1585,1,FALSE()))),"OLD",IF(AND(E1586&lt;&gt;"",E1586&lt;&gt;"!!!"),"NEW","")))</f>
        <v/>
      </c>
      <c r="G1586" s="11" t="str">
        <f aca="false">IF(OR(E1586="",E1586="!!!"),"",IF(OR(J1586=0,AND(J1586=1,K1586=1),AND(J1586=1,I1586="SBJ"),AND(J1586=1,I1586=0)),"?IN_FOCUS",IF(J1586&lt;=2,"?ACTIVATED",IF(J1586&lt;&gt;"","?FAMILIAR",IF(F1586="NEW",IF(ISNA(VLOOKUP(E1586,#REF!,1,FALSE())),"?TYPE_IDENTIFIABLE","?REFERENTIAL"),"_")))))</f>
        <v/>
      </c>
      <c r="H1586" s="12" t="str">
        <f aca="false">IF(J1586&lt;&gt;1,"",IF(I1586="SBJ","CB","?"))</f>
        <v/>
      </c>
      <c r="I1586" s="13" t="str">
        <f aca="false">IF(OR(E1586="",E1586="!!!",F1586="NEW"),"",INDEX(B$2:B1585,-1+SUMPRODUCT(MAX(ROW(E$2:E1585)*(E1586=E$2:E1585)))))</f>
        <v/>
      </c>
      <c r="J1586" s="14" t="str">
        <f aca="true">IF(OR(E1586="",E1586="!!!",F1586="NEW"),"",COUNTBLANK(OFFSET(A$1,,,SUMPRODUCT(MAX(ROW(E$2:E1586)*(E1586=E$2:E1586)))))-COUNTBLANK(OFFSET(A$1,,,SUMPRODUCT(MAX(ROW(E$1:E1585)*(E1586=E$1:E1585))))))</f>
        <v/>
      </c>
      <c r="K1586" s="14" t="str">
        <f aca="false">IF(OR(E1586="",E1586="!!!",F1586="NEW"),"",INDEX(J$1:J1585,SUMPRODUCT(MAX(ROW(E$1:E1585)*(E1586=E$1:E1585)))))</f>
        <v/>
      </c>
      <c r="L1586" s="15"/>
    </row>
    <row r="1587" customFormat="false" ht="12.75" hidden="false" customHeight="false" outlineLevel="0" collapsed="false">
      <c r="A1587" s="0" t="s">
        <v>178</v>
      </c>
      <c r="E1587" s="9" t="str">
        <f aca="false">IF(D1587="?OLD","!!!","")</f>
        <v/>
      </c>
      <c r="F1587" s="10" t="str">
        <f aca="false">IF(OR(E1587="",E1587="!!!"),"",IF(NOT(ISNA(VLOOKUP(E1587,E$1:E1586,1,FALSE()))),"OLD",IF(AND(E1587&lt;&gt;"",E1587&lt;&gt;"!!!"),"NEW","")))</f>
        <v/>
      </c>
      <c r="G1587" s="11" t="str">
        <f aca="false">IF(OR(E1587="",E1587="!!!"),"",IF(OR(J1587=0,AND(J1587=1,K1587=1),AND(J1587=1,I1587="SBJ"),AND(J1587=1,I1587=0)),"?IN_FOCUS",IF(J1587&lt;=2,"?ACTIVATED",IF(J1587&lt;&gt;"","?FAMILIAR",IF(F1587="NEW",IF(ISNA(VLOOKUP(E1587,#REF!,1,FALSE())),"?TYPE_IDENTIFIABLE","?REFERENTIAL"),"_")))))</f>
        <v/>
      </c>
      <c r="H1587" s="12" t="str">
        <f aca="false">IF(J1587&lt;&gt;1,"",IF(I1587="SBJ","CB","?"))</f>
        <v/>
      </c>
      <c r="I1587" s="13" t="str">
        <f aca="false">IF(OR(E1587="",E1587="!!!",F1587="NEW"),"",INDEX(B$2:B1586,-1+SUMPRODUCT(MAX(ROW(E$2:E1586)*(E1587=E$2:E1586)))))</f>
        <v/>
      </c>
      <c r="J1587" s="14" t="str">
        <f aca="true">IF(OR(E1587="",E1587="!!!",F1587="NEW"),"",COUNTBLANK(OFFSET(A$1,,,SUMPRODUCT(MAX(ROW(E$2:E1587)*(E1587=E$2:E1587)))))-COUNTBLANK(OFFSET(A$1,,,SUMPRODUCT(MAX(ROW(E$1:E1586)*(E1587=E$1:E1586))))))</f>
        <v/>
      </c>
      <c r="K1587" s="14" t="str">
        <f aca="false">IF(OR(E1587="",E1587="!!!",F1587="NEW"),"",INDEX(J$1:J1586,SUMPRODUCT(MAX(ROW(E$1:E1586)*(E1587=E$1:E1586)))))</f>
        <v/>
      </c>
      <c r="L1587" s="15"/>
    </row>
    <row r="1588" customFormat="false" ht="12.75" hidden="false" customHeight="false" outlineLevel="0" collapsed="false">
      <c r="A1588" s="0" t="s">
        <v>40</v>
      </c>
      <c r="E1588" s="9" t="str">
        <f aca="false">IF(D1588="?OLD","!!!","")</f>
        <v/>
      </c>
      <c r="F1588" s="10" t="str">
        <f aca="false">IF(OR(E1588="",E1588="!!!"),"",IF(NOT(ISNA(VLOOKUP(E1588,E$1:E1587,1,FALSE()))),"OLD",IF(AND(E1588&lt;&gt;"",E1588&lt;&gt;"!!!"),"NEW","")))</f>
        <v/>
      </c>
      <c r="G1588" s="11" t="str">
        <f aca="false">IF(OR(E1588="",E1588="!!!"),"",IF(OR(J1588=0,AND(J1588=1,K1588=1),AND(J1588=1,I1588="SBJ"),AND(J1588=1,I1588=0)),"?IN_FOCUS",IF(J1588&lt;=2,"?ACTIVATED",IF(J1588&lt;&gt;"","?FAMILIAR",IF(F1588="NEW",IF(ISNA(VLOOKUP(E1588,#REF!,1,FALSE())),"?TYPE_IDENTIFIABLE","?REFERENTIAL"),"_")))))</f>
        <v/>
      </c>
      <c r="H1588" s="12" t="str">
        <f aca="false">IF(J1588&lt;&gt;1,"",IF(I1588="SBJ","CB","?"))</f>
        <v/>
      </c>
      <c r="I1588" s="13" t="str">
        <f aca="false">IF(OR(E1588="",E1588="!!!",F1588="NEW"),"",INDEX(B$2:B1587,-1+SUMPRODUCT(MAX(ROW(E$2:E1587)*(E1588=E$2:E1587)))))</f>
        <v/>
      </c>
      <c r="J1588" s="14" t="str">
        <f aca="true">IF(OR(E1588="",E1588="!!!",F1588="NEW"),"",COUNTBLANK(OFFSET(A$1,,,SUMPRODUCT(MAX(ROW(E$2:E1588)*(E1588=E$2:E1588)))))-COUNTBLANK(OFFSET(A$1,,,SUMPRODUCT(MAX(ROW(E$1:E1587)*(E1588=E$1:E1587))))))</f>
        <v/>
      </c>
      <c r="K1588" s="14" t="str">
        <f aca="false">IF(OR(E1588="",E1588="!!!",F1588="NEW"),"",INDEX(J$1:J1587,SUMPRODUCT(MAX(ROW(E$1:E1587)*(E1588=E$1:E1587)))))</f>
        <v/>
      </c>
      <c r="L1588" s="15"/>
    </row>
    <row r="1589" customFormat="false" ht="12.75" hidden="false" customHeight="false" outlineLevel="0" collapsed="false">
      <c r="A1589" s="0" t="s">
        <v>688</v>
      </c>
      <c r="E1589" s="9" t="str">
        <f aca="false">IF(D1589="?OLD","!!!","")</f>
        <v/>
      </c>
      <c r="F1589" s="10" t="str">
        <f aca="false">IF(OR(E1589="",E1589="!!!"),"",IF(NOT(ISNA(VLOOKUP(E1589,E$1:E1588,1,FALSE()))),"OLD",IF(AND(E1589&lt;&gt;"",E1589&lt;&gt;"!!!"),"NEW","")))</f>
        <v/>
      </c>
      <c r="G1589" s="11" t="str">
        <f aca="false">IF(OR(E1589="",E1589="!!!"),"",IF(OR(J1589=0,AND(J1589=1,K1589=1),AND(J1589=1,I1589="SBJ"),AND(J1589=1,I1589=0)),"?IN_FOCUS",IF(J1589&lt;=2,"?ACTIVATED",IF(J1589&lt;&gt;"","?FAMILIAR",IF(F1589="NEW",IF(ISNA(VLOOKUP(E1589,#REF!,1,FALSE())),"?TYPE_IDENTIFIABLE","?REFERENTIAL"),"_")))))</f>
        <v/>
      </c>
      <c r="H1589" s="12" t="str">
        <f aca="false">IF(J1589&lt;&gt;1,"",IF(I1589="SBJ","CB","?"))</f>
        <v/>
      </c>
      <c r="I1589" s="13" t="str">
        <f aca="false">IF(OR(E1589="",E1589="!!!",F1589="NEW"),"",INDEX(B$2:B1588,-1+SUMPRODUCT(MAX(ROW(E$2:E1588)*(E1589=E$2:E1588)))))</f>
        <v/>
      </c>
      <c r="J1589" s="14" t="str">
        <f aca="true">IF(OR(E1589="",E1589="!!!",F1589="NEW"),"",COUNTBLANK(OFFSET(A$1,,,SUMPRODUCT(MAX(ROW(E$2:E1589)*(E1589=E$2:E1589)))))-COUNTBLANK(OFFSET(A$1,,,SUMPRODUCT(MAX(ROW(E$1:E1588)*(E1589=E$1:E1588))))))</f>
        <v/>
      </c>
      <c r="K1589" s="14" t="str">
        <f aca="false">IF(OR(E1589="",E1589="!!!",F1589="NEW"),"",INDEX(J$1:J1588,SUMPRODUCT(MAX(ROW(E$1:E1588)*(E1589=E$1:E1588)))))</f>
        <v/>
      </c>
      <c r="L1589" s="15"/>
    </row>
    <row r="1590" customFormat="false" ht="12.75" hidden="false" customHeight="false" outlineLevel="0" collapsed="false">
      <c r="A1590" s="0" t="s">
        <v>689</v>
      </c>
      <c r="B1590" s="0" t="s">
        <v>54</v>
      </c>
      <c r="C1590" s="0" t="s">
        <v>43</v>
      </c>
      <c r="E1590" s="9" t="str">
        <f aca="false">IF(D1590="?OLD","!!!","")</f>
        <v/>
      </c>
      <c r="F1590" s="10" t="str">
        <f aca="false">IF(OR(E1590="",E1590="!!!"),"",IF(NOT(ISNA(VLOOKUP(E1590,E$1:E1589,1,FALSE()))),"OLD",IF(AND(E1590&lt;&gt;"",E1590&lt;&gt;"!!!"),"NEW","")))</f>
        <v/>
      </c>
      <c r="G1590" s="11" t="str">
        <f aca="false">IF(OR(E1590="",E1590="!!!"),"",IF(OR(J1590=0,AND(J1590=1,K1590=1),AND(J1590=1,I1590="SBJ"),AND(J1590=1,I1590=0)),"?IN_FOCUS",IF(J1590&lt;=2,"?ACTIVATED",IF(J1590&lt;&gt;"","?FAMILIAR",IF(F1590="NEW",IF(ISNA(VLOOKUP(E1590,#REF!,1,FALSE())),"?TYPE_IDENTIFIABLE","?REFERENTIAL"),"_")))))</f>
        <v/>
      </c>
      <c r="H1590" s="12" t="str">
        <f aca="false">IF(J1590&lt;&gt;1,"",IF(I1590="SBJ","CB","?"))</f>
        <v/>
      </c>
      <c r="I1590" s="13" t="str">
        <f aca="false">IF(OR(E1590="",E1590="!!!",F1590="NEW"),"",INDEX(B$2:B1589,-1+SUMPRODUCT(MAX(ROW(E$2:E1589)*(E1590=E$2:E1589)))))</f>
        <v/>
      </c>
      <c r="J1590" s="14" t="str">
        <f aca="true">IF(OR(E1590="",E1590="!!!",F1590="NEW"),"",COUNTBLANK(OFFSET(A$1,,,SUMPRODUCT(MAX(ROW(E$2:E1590)*(E1590=E$2:E1590)))))-COUNTBLANK(OFFSET(A$1,,,SUMPRODUCT(MAX(ROW(E$1:E1589)*(E1590=E$1:E1589))))))</f>
        <v/>
      </c>
      <c r="K1590" s="14" t="str">
        <f aca="false">IF(OR(E1590="",E1590="!!!",F1590="NEW"),"",INDEX(J$1:J1589,SUMPRODUCT(MAX(ROW(E$1:E1589)*(E1590=E$1:E1589)))))</f>
        <v/>
      </c>
      <c r="L1590" s="15"/>
    </row>
    <row r="1591" customFormat="false" ht="12.75" hidden="false" customHeight="false" outlineLevel="0" collapsed="false">
      <c r="A1591" s="0" t="s">
        <v>73</v>
      </c>
      <c r="E1591" s="9" t="str">
        <f aca="false">IF(D1591="?OLD","!!!","")</f>
        <v/>
      </c>
      <c r="F1591" s="10" t="str">
        <f aca="false">IF(OR(E1591="",E1591="!!!"),"",IF(NOT(ISNA(VLOOKUP(E1591,E$1:E1590,1,FALSE()))),"OLD",IF(AND(E1591&lt;&gt;"",E1591&lt;&gt;"!!!"),"NEW","")))</f>
        <v/>
      </c>
      <c r="G1591" s="11" t="str">
        <f aca="false">IF(OR(E1591="",E1591="!!!"),"",IF(OR(J1591=0,AND(J1591=1,K1591=1),AND(J1591=1,I1591="SBJ"),AND(J1591=1,I1591=0)),"?IN_FOCUS",IF(J1591&lt;=2,"?ACTIVATED",IF(J1591&lt;&gt;"","?FAMILIAR",IF(F1591="NEW",IF(ISNA(VLOOKUP(E1591,#REF!,1,FALSE())),"?TYPE_IDENTIFIABLE","?REFERENTIAL"),"_")))))</f>
        <v/>
      </c>
      <c r="H1591" s="12" t="str">
        <f aca="false">IF(J1591&lt;&gt;1,"",IF(I1591="SBJ","CB","?"))</f>
        <v/>
      </c>
      <c r="I1591" s="13" t="str">
        <f aca="false">IF(OR(E1591="",E1591="!!!",F1591="NEW"),"",INDEX(B$2:B1590,-1+SUMPRODUCT(MAX(ROW(E$2:E1590)*(E1591=E$2:E1590)))))</f>
        <v/>
      </c>
      <c r="J1591" s="14" t="str">
        <f aca="true">IF(OR(E1591="",E1591="!!!",F1591="NEW"),"",COUNTBLANK(OFFSET(A$1,,,SUMPRODUCT(MAX(ROW(E$2:E1591)*(E1591=E$2:E1591)))))-COUNTBLANK(OFFSET(A$1,,,SUMPRODUCT(MAX(ROW(E$1:E1590)*(E1591=E$1:E1590))))))</f>
        <v/>
      </c>
      <c r="K1591" s="14" t="str">
        <f aca="false">IF(OR(E1591="",E1591="!!!",F1591="NEW"),"",INDEX(J$1:J1590,SUMPRODUCT(MAX(ROW(E$1:E1590)*(E1591=E$1:E1590)))))</f>
        <v/>
      </c>
      <c r="L1591" s="15"/>
    </row>
    <row r="1592" customFormat="false" ht="12.75" hidden="false" customHeight="false" outlineLevel="0" collapsed="false">
      <c r="E1592" s="9" t="str">
        <f aca="false">IF(D1592="?OLD","!!!","")</f>
        <v/>
      </c>
      <c r="F1592" s="10" t="str">
        <f aca="false">IF(OR(E1592="",E1592="!!!"),"",IF(NOT(ISNA(VLOOKUP(E1592,E$1:E1591,1,FALSE()))),"OLD",IF(AND(E1592&lt;&gt;"",E1592&lt;&gt;"!!!"),"NEW","")))</f>
        <v/>
      </c>
      <c r="G1592" s="11" t="str">
        <f aca="false">IF(OR(E1592="",E1592="!!!"),"",IF(OR(J1592=0,AND(J1592=1,K1592=1),AND(J1592=1,I1592="SBJ"),AND(J1592=1,I1592=0)),"?IN_FOCUS",IF(J1592&lt;=2,"?ACTIVATED",IF(J1592&lt;&gt;"","?FAMILIAR",IF(F1592="NEW",IF(ISNA(VLOOKUP(E1592,#REF!,1,FALSE())),"?TYPE_IDENTIFIABLE","?REFERENTIAL"),"_")))))</f>
        <v/>
      </c>
      <c r="H1592" s="12" t="str">
        <f aca="false">IF(J1592&lt;&gt;1,"",IF(I1592="SBJ","CB","?"))</f>
        <v/>
      </c>
      <c r="I1592" s="13" t="str">
        <f aca="false">IF(OR(E1592="",E1592="!!!",F1592="NEW"),"",INDEX(B$2:B1591,-1+SUMPRODUCT(MAX(ROW(E$2:E1591)*(E1592=E$2:E1591)))))</f>
        <v/>
      </c>
      <c r="J1592" s="14" t="str">
        <f aca="true">IF(OR(E1592="",E1592="!!!",F1592="NEW"),"",COUNTBLANK(OFFSET(A$1,,,SUMPRODUCT(MAX(ROW(E$2:E1592)*(E1592=E$2:E1592)))))-COUNTBLANK(OFFSET(A$1,,,SUMPRODUCT(MAX(ROW(E$1:E1591)*(E1592=E$1:E1591))))))</f>
        <v/>
      </c>
      <c r="K1592" s="14" t="str">
        <f aca="false">IF(OR(E1592="",E1592="!!!",F1592="NEW"),"",INDEX(J$1:J1591,SUMPRODUCT(MAX(ROW(E$1:E1591)*(E1592=E$1:E1591)))))</f>
        <v/>
      </c>
      <c r="L1592" s="15"/>
    </row>
    <row r="1593" customFormat="false" ht="12.75" hidden="false" customHeight="false" outlineLevel="0" collapsed="false">
      <c r="A1593" s="0" t="s">
        <v>690</v>
      </c>
      <c r="E1593" s="9" t="str">
        <f aca="false">IF(D1593="?OLD","!!!","")</f>
        <v/>
      </c>
      <c r="F1593" s="10" t="str">
        <f aca="false">IF(OR(E1593="",E1593="!!!"),"",IF(NOT(ISNA(VLOOKUP(E1593,E$1:E1592,1,FALSE()))),"OLD",IF(AND(E1593&lt;&gt;"",E1593&lt;&gt;"!!!"),"NEW","")))</f>
        <v/>
      </c>
      <c r="G1593" s="11" t="str">
        <f aca="false">IF(OR(E1593="",E1593="!!!"),"",IF(OR(J1593=0,AND(J1593=1,K1593=1),AND(J1593=1,I1593="SBJ"),AND(J1593=1,I1593=0)),"?IN_FOCUS",IF(J1593&lt;=2,"?ACTIVATED",IF(J1593&lt;&gt;"","?FAMILIAR",IF(F1593="NEW",IF(ISNA(VLOOKUP(E1593,#REF!,1,FALSE())),"?TYPE_IDENTIFIABLE","?REFERENTIAL"),"_")))))</f>
        <v/>
      </c>
      <c r="H1593" s="12" t="str">
        <f aca="false">IF(J1593&lt;&gt;1,"",IF(I1593="SBJ","CB","?"))</f>
        <v/>
      </c>
      <c r="I1593" s="13" t="str">
        <f aca="false">IF(OR(E1593="",E1593="!!!",F1593="NEW"),"",INDEX(B$2:B1592,-1+SUMPRODUCT(MAX(ROW(E$2:E1592)*(E1593=E$2:E1592)))))</f>
        <v/>
      </c>
      <c r="J1593" s="14" t="str">
        <f aca="true">IF(OR(E1593="",E1593="!!!",F1593="NEW"),"",COUNTBLANK(OFFSET(A$1,,,SUMPRODUCT(MAX(ROW(E$2:E1593)*(E1593=E$2:E1593)))))-COUNTBLANK(OFFSET(A$1,,,SUMPRODUCT(MAX(ROW(E$1:E1592)*(E1593=E$1:E1592))))))</f>
        <v/>
      </c>
      <c r="K1593" s="14" t="str">
        <f aca="false">IF(OR(E1593="",E1593="!!!",F1593="NEW"),"",INDEX(J$1:J1592,SUMPRODUCT(MAX(ROW(E$1:E1592)*(E1593=E$1:E1592)))))</f>
        <v/>
      </c>
      <c r="L1593" s="15"/>
    </row>
    <row r="1594" customFormat="false" ht="12.75" hidden="false" customHeight="false" outlineLevel="0" collapsed="false">
      <c r="A1594" s="0" t="s">
        <v>21</v>
      </c>
      <c r="E1594" s="9" t="str">
        <f aca="false">IF(D1594="?OLD","!!!","")</f>
        <v/>
      </c>
      <c r="F1594" s="10" t="str">
        <f aca="false">IF(OR(E1594="",E1594="!!!"),"",IF(NOT(ISNA(VLOOKUP(E1594,E$1:E1593,1,FALSE()))),"OLD",IF(AND(E1594&lt;&gt;"",E1594&lt;&gt;"!!!"),"NEW","")))</f>
        <v/>
      </c>
      <c r="G1594" s="11" t="str">
        <f aca="false">IF(OR(E1594="",E1594="!!!"),"",IF(OR(J1594=0,AND(J1594=1,K1594=1),AND(J1594=1,I1594="SBJ"),AND(J1594=1,I1594=0)),"?IN_FOCUS",IF(J1594&lt;=2,"?ACTIVATED",IF(J1594&lt;&gt;"","?FAMILIAR",IF(F1594="NEW",IF(ISNA(VLOOKUP(E1594,#REF!,1,FALSE())),"?TYPE_IDENTIFIABLE","?REFERENTIAL"),"_")))))</f>
        <v/>
      </c>
      <c r="H1594" s="12" t="str">
        <f aca="false">IF(J1594&lt;&gt;1,"",IF(I1594="SBJ","CB","?"))</f>
        <v/>
      </c>
      <c r="I1594" s="13" t="str">
        <f aca="false">IF(OR(E1594="",E1594="!!!",F1594="NEW"),"",INDEX(B$2:B1593,-1+SUMPRODUCT(MAX(ROW(E$2:E1593)*(E1594=E$2:E1593)))))</f>
        <v/>
      </c>
      <c r="J1594" s="14" t="str">
        <f aca="true">IF(OR(E1594="",E1594="!!!",F1594="NEW"),"",COUNTBLANK(OFFSET(A$1,,,SUMPRODUCT(MAX(ROW(E$2:E1594)*(E1594=E$2:E1594)))))-COUNTBLANK(OFFSET(A$1,,,SUMPRODUCT(MAX(ROW(E$1:E1593)*(E1594=E$1:E1593))))))</f>
        <v/>
      </c>
      <c r="K1594" s="14" t="str">
        <f aca="false">IF(OR(E1594="",E1594="!!!",F1594="NEW"),"",INDEX(J$1:J1593,SUMPRODUCT(MAX(ROW(E$1:E1593)*(E1594=E$1:E1593)))))</f>
        <v/>
      </c>
      <c r="L1594" s="15"/>
    </row>
    <row r="1595" customFormat="false" ht="12.75" hidden="false" customHeight="false" outlineLevel="0" collapsed="false">
      <c r="A1595" s="0" t="s">
        <v>691</v>
      </c>
      <c r="E1595" s="9" t="str">
        <f aca="false">IF(D1595="?OLD","!!!","")</f>
        <v/>
      </c>
      <c r="F1595" s="10" t="str">
        <f aca="false">IF(OR(E1595="",E1595="!!!"),"",IF(NOT(ISNA(VLOOKUP(E1595,E$1:E1594,1,FALSE()))),"OLD",IF(AND(E1595&lt;&gt;"",E1595&lt;&gt;"!!!"),"NEW","")))</f>
        <v/>
      </c>
      <c r="G1595" s="11" t="str">
        <f aca="false">IF(OR(E1595="",E1595="!!!"),"",IF(OR(J1595=0,AND(J1595=1,K1595=1),AND(J1595=1,I1595="SBJ"),AND(J1595=1,I1595=0)),"?IN_FOCUS",IF(J1595&lt;=2,"?ACTIVATED",IF(J1595&lt;&gt;"","?FAMILIAR",IF(F1595="NEW",IF(ISNA(VLOOKUP(E1595,#REF!,1,FALSE())),"?TYPE_IDENTIFIABLE","?REFERENTIAL"),"_")))))</f>
        <v/>
      </c>
      <c r="H1595" s="12" t="str">
        <f aca="false">IF(J1595&lt;&gt;1,"",IF(I1595="SBJ","CB","?"))</f>
        <v/>
      </c>
      <c r="I1595" s="13" t="str">
        <f aca="false">IF(OR(E1595="",E1595="!!!",F1595="NEW"),"",INDEX(B$2:B1594,-1+SUMPRODUCT(MAX(ROW(E$2:E1594)*(E1595=E$2:E1594)))))</f>
        <v/>
      </c>
      <c r="J1595" s="14" t="str">
        <f aca="true">IF(OR(E1595="",E1595="!!!",F1595="NEW"),"",COUNTBLANK(OFFSET(A$1,,,SUMPRODUCT(MAX(ROW(E$2:E1595)*(E1595=E$2:E1595)))))-COUNTBLANK(OFFSET(A$1,,,SUMPRODUCT(MAX(ROW(E$1:E1594)*(E1595=E$1:E1594))))))</f>
        <v/>
      </c>
      <c r="K1595" s="14" t="str">
        <f aca="false">IF(OR(E1595="",E1595="!!!",F1595="NEW"),"",INDEX(J$1:J1594,SUMPRODUCT(MAX(ROW(E$1:E1594)*(E1595=E$1:E1594)))))</f>
        <v/>
      </c>
      <c r="L1595" s="15"/>
    </row>
    <row r="1596" customFormat="false" ht="12.75" hidden="false" customHeight="false" outlineLevel="0" collapsed="false">
      <c r="A1596" s="0" t="s">
        <v>53</v>
      </c>
      <c r="B1596" s="0" t="s">
        <v>28</v>
      </c>
      <c r="C1596" s="0" t="s">
        <v>55</v>
      </c>
      <c r="D1596" s="0" t="s">
        <v>29</v>
      </c>
      <c r="E1596" s="9" t="str">
        <f aca="false">IF(D1596="?OLD","!!!","")</f>
        <v>!!!</v>
      </c>
      <c r="F1596" s="10" t="str">
        <f aca="false">IF(OR(E1596="",E1596="!!!"),"",IF(NOT(ISNA(VLOOKUP(E1596,E$1:E1595,1,FALSE()))),"OLD",IF(AND(E1596&lt;&gt;"",E1596&lt;&gt;"!!!"),"NEW","")))</f>
        <v/>
      </c>
      <c r="G1596" s="11" t="str">
        <f aca="false">IF(OR(E1596="",E1596="!!!"),"",IF(OR(J1596=0,AND(J1596=1,K1596=1),AND(J1596=1,I1596="SBJ"),AND(J1596=1,I1596=0)),"?IN_FOCUS",IF(J1596&lt;=2,"?ACTIVATED",IF(J1596&lt;&gt;"","?FAMILIAR",IF(F1596="NEW",IF(ISNA(VLOOKUP(E1596,#REF!,1,FALSE())),"?TYPE_IDENTIFIABLE","?REFERENTIAL"),"_")))))</f>
        <v/>
      </c>
      <c r="H1596" s="12" t="str">
        <f aca="false">IF(J1596&lt;&gt;1,"",IF(I1596="SBJ","CB","?"))</f>
        <v/>
      </c>
      <c r="I1596" s="13" t="str">
        <f aca="false">IF(OR(E1596="",E1596="!!!",F1596="NEW"),"",INDEX(B$2:B1595,-1+SUMPRODUCT(MAX(ROW(E$2:E1595)*(E1596=E$2:E1595)))))</f>
        <v/>
      </c>
      <c r="J1596" s="14" t="str">
        <f aca="true">IF(OR(E1596="",E1596="!!!",F1596="NEW"),"",COUNTBLANK(OFFSET(A$1,,,SUMPRODUCT(MAX(ROW(E$2:E1596)*(E1596=E$2:E1596)))))-COUNTBLANK(OFFSET(A$1,,,SUMPRODUCT(MAX(ROW(E$1:E1595)*(E1596=E$1:E1595))))))</f>
        <v/>
      </c>
      <c r="K1596" s="14" t="str">
        <f aca="false">IF(OR(E1596="",E1596="!!!",F1596="NEW"),"",INDEX(J$1:J1595,SUMPRODUCT(MAX(ROW(E$1:E1595)*(E1596=E$1:E1595)))))</f>
        <v/>
      </c>
      <c r="L1596" s="15"/>
    </row>
    <row r="1597" customFormat="false" ht="12.75" hidden="false" customHeight="false" outlineLevel="0" collapsed="false">
      <c r="A1597" s="0" t="s">
        <v>692</v>
      </c>
      <c r="B1597" s="0" t="s">
        <v>37</v>
      </c>
      <c r="C1597" s="0" t="s">
        <v>15</v>
      </c>
      <c r="D1597" s="0" t="s">
        <v>29</v>
      </c>
      <c r="E1597" s="9" t="str">
        <f aca="false">IF(D1597="?OLD","!!!","")</f>
        <v>!!!</v>
      </c>
      <c r="F1597" s="10" t="str">
        <f aca="false">IF(OR(E1597="",E1597="!!!"),"",IF(NOT(ISNA(VLOOKUP(E1597,E$1:E1596,1,FALSE()))),"OLD",IF(AND(E1597&lt;&gt;"",E1597&lt;&gt;"!!!"),"NEW","")))</f>
        <v/>
      </c>
      <c r="G1597" s="11" t="str">
        <f aca="false">IF(OR(E1597="",E1597="!!!"),"",IF(OR(J1597=0,AND(J1597=1,K1597=1),AND(J1597=1,I1597="SBJ"),AND(J1597=1,I1597=0)),"?IN_FOCUS",IF(J1597&lt;=2,"?ACTIVATED",IF(J1597&lt;&gt;"","?FAMILIAR",IF(F1597="NEW",IF(ISNA(VLOOKUP(E1597,#REF!,1,FALSE())),"?TYPE_IDENTIFIABLE","?REFERENTIAL"),"_")))))</f>
        <v/>
      </c>
      <c r="H1597" s="12" t="str">
        <f aca="false">IF(J1597&lt;&gt;1,"",IF(I1597="SBJ","CB","?"))</f>
        <v/>
      </c>
      <c r="I1597" s="13" t="str">
        <f aca="false">IF(OR(E1597="",E1597="!!!",F1597="NEW"),"",INDEX(B$2:B1596,-1+SUMPRODUCT(MAX(ROW(E$2:E1596)*(E1597=E$2:E1596)))))</f>
        <v/>
      </c>
      <c r="J1597" s="14" t="str">
        <f aca="true">IF(OR(E1597="",E1597="!!!",F1597="NEW"),"",COUNTBLANK(OFFSET(A$1,,,SUMPRODUCT(MAX(ROW(E$2:E1597)*(E1597=E$2:E1597)))))-COUNTBLANK(OFFSET(A$1,,,SUMPRODUCT(MAX(ROW(E$1:E1596)*(E1597=E$1:E1596))))))</f>
        <v/>
      </c>
      <c r="K1597" s="14" t="str">
        <f aca="false">IF(OR(E1597="",E1597="!!!",F1597="NEW"),"",INDEX(J$1:J1596,SUMPRODUCT(MAX(ROW(E$1:E1596)*(E1597=E$1:E1596)))))</f>
        <v/>
      </c>
      <c r="L1597" s="15"/>
    </row>
    <row r="1598" customFormat="false" ht="12.75" hidden="false" customHeight="false" outlineLevel="0" collapsed="false">
      <c r="A1598" s="0" t="s">
        <v>693</v>
      </c>
      <c r="E1598" s="9" t="str">
        <f aca="false">IF(D1598="?OLD","!!!","")</f>
        <v/>
      </c>
      <c r="F1598" s="10" t="str">
        <f aca="false">IF(OR(E1598="",E1598="!!!"),"",IF(NOT(ISNA(VLOOKUP(E1598,E$1:E1597,1,FALSE()))),"OLD",IF(AND(E1598&lt;&gt;"",E1598&lt;&gt;"!!!"),"NEW","")))</f>
        <v/>
      </c>
      <c r="G1598" s="11" t="str">
        <f aca="false">IF(OR(E1598="",E1598="!!!"),"",IF(OR(J1598=0,AND(J1598=1,K1598=1),AND(J1598=1,I1598="SBJ"),AND(J1598=1,I1598=0)),"?IN_FOCUS",IF(J1598&lt;=2,"?ACTIVATED",IF(J1598&lt;&gt;"","?FAMILIAR",IF(F1598="NEW",IF(ISNA(VLOOKUP(E1598,#REF!,1,FALSE())),"?TYPE_IDENTIFIABLE","?REFERENTIAL"),"_")))))</f>
        <v/>
      </c>
      <c r="H1598" s="12" t="str">
        <f aca="false">IF(J1598&lt;&gt;1,"",IF(I1598="SBJ","CB","?"))</f>
        <v/>
      </c>
      <c r="I1598" s="13" t="str">
        <f aca="false">IF(OR(E1598="",E1598="!!!",F1598="NEW"),"",INDEX(B$2:B1597,-1+SUMPRODUCT(MAX(ROW(E$2:E1597)*(E1598=E$2:E1597)))))</f>
        <v/>
      </c>
      <c r="J1598" s="14" t="str">
        <f aca="true">IF(OR(E1598="",E1598="!!!",F1598="NEW"),"",COUNTBLANK(OFFSET(A$1,,,SUMPRODUCT(MAX(ROW(E$2:E1598)*(E1598=E$2:E1598)))))-COUNTBLANK(OFFSET(A$1,,,SUMPRODUCT(MAX(ROW(E$1:E1597)*(E1598=E$1:E1597))))))</f>
        <v/>
      </c>
      <c r="K1598" s="14" t="str">
        <f aca="false">IF(OR(E1598="",E1598="!!!",F1598="NEW"),"",INDEX(J$1:J1597,SUMPRODUCT(MAX(ROW(E$1:E1597)*(E1598=E$1:E1597)))))</f>
        <v/>
      </c>
      <c r="L1598" s="15"/>
    </row>
    <row r="1599" customFormat="false" ht="12.75" hidden="false" customHeight="false" outlineLevel="0" collapsed="false">
      <c r="A1599" s="0" t="s">
        <v>178</v>
      </c>
      <c r="E1599" s="9" t="str">
        <f aca="false">IF(D1599="?OLD","!!!","")</f>
        <v/>
      </c>
      <c r="F1599" s="10" t="str">
        <f aca="false">IF(OR(E1599="",E1599="!!!"),"",IF(NOT(ISNA(VLOOKUP(E1599,E$1:E1598,1,FALSE()))),"OLD",IF(AND(E1599&lt;&gt;"",E1599&lt;&gt;"!!!"),"NEW","")))</f>
        <v/>
      </c>
      <c r="G1599" s="11" t="str">
        <f aca="false">IF(OR(E1599="",E1599="!!!"),"",IF(OR(J1599=0,AND(J1599=1,K1599=1),AND(J1599=1,I1599="SBJ"),AND(J1599=1,I1599=0)),"?IN_FOCUS",IF(J1599&lt;=2,"?ACTIVATED",IF(J1599&lt;&gt;"","?FAMILIAR",IF(F1599="NEW",IF(ISNA(VLOOKUP(E1599,#REF!,1,FALSE())),"?TYPE_IDENTIFIABLE","?REFERENTIAL"),"_")))))</f>
        <v/>
      </c>
      <c r="H1599" s="12" t="str">
        <f aca="false">IF(J1599&lt;&gt;1,"",IF(I1599="SBJ","CB","?"))</f>
        <v/>
      </c>
      <c r="I1599" s="13" t="str">
        <f aca="false">IF(OR(E1599="",E1599="!!!",F1599="NEW"),"",INDEX(B$2:B1598,-1+SUMPRODUCT(MAX(ROW(E$2:E1598)*(E1599=E$2:E1598)))))</f>
        <v/>
      </c>
      <c r="J1599" s="14" t="str">
        <f aca="true">IF(OR(E1599="",E1599="!!!",F1599="NEW"),"",COUNTBLANK(OFFSET(A$1,,,SUMPRODUCT(MAX(ROW(E$2:E1599)*(E1599=E$2:E1599)))))-COUNTBLANK(OFFSET(A$1,,,SUMPRODUCT(MAX(ROW(E$1:E1598)*(E1599=E$1:E1598))))))</f>
        <v/>
      </c>
      <c r="K1599" s="14" t="str">
        <f aca="false">IF(OR(E1599="",E1599="!!!",F1599="NEW"),"",INDEX(J$1:J1598,SUMPRODUCT(MAX(ROW(E$1:E1598)*(E1599=E$1:E1598)))))</f>
        <v/>
      </c>
      <c r="L1599" s="15"/>
    </row>
    <row r="1600" customFormat="false" ht="12.75" hidden="false" customHeight="false" outlineLevel="0" collapsed="false">
      <c r="A1600" s="0" t="s">
        <v>66</v>
      </c>
      <c r="E1600" s="9" t="str">
        <f aca="false">IF(D1600="?OLD","!!!","")</f>
        <v/>
      </c>
      <c r="F1600" s="10" t="str">
        <f aca="false">IF(OR(E1600="",E1600="!!!"),"",IF(NOT(ISNA(VLOOKUP(E1600,E$1:E1599,1,FALSE()))),"OLD",IF(AND(E1600&lt;&gt;"",E1600&lt;&gt;"!!!"),"NEW","")))</f>
        <v/>
      </c>
      <c r="G1600" s="11" t="str">
        <f aca="false">IF(OR(E1600="",E1600="!!!"),"",IF(OR(J1600=0,AND(J1600=1,K1600=1),AND(J1600=1,I1600="SBJ"),AND(J1600=1,I1600=0)),"?IN_FOCUS",IF(J1600&lt;=2,"?ACTIVATED",IF(J1600&lt;&gt;"","?FAMILIAR",IF(F1600="NEW",IF(ISNA(VLOOKUP(E1600,#REF!,1,FALSE())),"?TYPE_IDENTIFIABLE","?REFERENTIAL"),"_")))))</f>
        <v/>
      </c>
      <c r="H1600" s="12" t="str">
        <f aca="false">IF(J1600&lt;&gt;1,"",IF(I1600="SBJ","CB","?"))</f>
        <v/>
      </c>
      <c r="I1600" s="13" t="str">
        <f aca="false">IF(OR(E1600="",E1600="!!!",F1600="NEW"),"",INDEX(B$2:B1599,-1+SUMPRODUCT(MAX(ROW(E$2:E1599)*(E1600=E$2:E1599)))))</f>
        <v/>
      </c>
      <c r="J1600" s="14" t="str">
        <f aca="true">IF(OR(E1600="",E1600="!!!",F1600="NEW"),"",COUNTBLANK(OFFSET(A$1,,,SUMPRODUCT(MAX(ROW(E$2:E1600)*(E1600=E$2:E1600)))))-COUNTBLANK(OFFSET(A$1,,,SUMPRODUCT(MAX(ROW(E$1:E1599)*(E1600=E$1:E1599))))))</f>
        <v/>
      </c>
      <c r="K1600" s="14" t="str">
        <f aca="false">IF(OR(E1600="",E1600="!!!",F1600="NEW"),"",INDEX(J$1:J1599,SUMPRODUCT(MAX(ROW(E$1:E1599)*(E1600=E$1:E1599)))))</f>
        <v/>
      </c>
      <c r="L1600" s="15"/>
    </row>
    <row r="1601" customFormat="false" ht="12.75" hidden="false" customHeight="false" outlineLevel="0" collapsed="false">
      <c r="A1601" s="0" t="s">
        <v>694</v>
      </c>
      <c r="B1601" s="0" t="s">
        <v>62</v>
      </c>
      <c r="C1601" s="0" t="s">
        <v>111</v>
      </c>
      <c r="D1601" s="0" t="s">
        <v>29</v>
      </c>
      <c r="E1601" s="9" t="str">
        <f aca="false">IF(D1601="?OLD","!!!","")</f>
        <v>!!!</v>
      </c>
      <c r="F1601" s="10" t="str">
        <f aca="false">IF(OR(E1601="",E1601="!!!"),"",IF(NOT(ISNA(VLOOKUP(E1601,E$1:E1600,1,FALSE()))),"OLD",IF(AND(E1601&lt;&gt;"",E1601&lt;&gt;"!!!"),"NEW","")))</f>
        <v/>
      </c>
      <c r="G1601" s="11" t="str">
        <f aca="false">IF(OR(E1601="",E1601="!!!"),"",IF(OR(J1601=0,AND(J1601=1,K1601=1),AND(J1601=1,I1601="SBJ"),AND(J1601=1,I1601=0)),"?IN_FOCUS",IF(J1601&lt;=2,"?ACTIVATED",IF(J1601&lt;&gt;"","?FAMILIAR",IF(F1601="NEW",IF(ISNA(VLOOKUP(E1601,#REF!,1,FALSE())),"?TYPE_IDENTIFIABLE","?REFERENTIAL"),"_")))))</f>
        <v/>
      </c>
      <c r="H1601" s="12" t="str">
        <f aca="false">IF(J1601&lt;&gt;1,"",IF(I1601="SBJ","CB","?"))</f>
        <v/>
      </c>
      <c r="I1601" s="13" t="str">
        <f aca="false">IF(OR(E1601="",E1601="!!!",F1601="NEW"),"",INDEX(B$2:B1600,-1+SUMPRODUCT(MAX(ROW(E$2:E1600)*(E1601=E$2:E1600)))))</f>
        <v/>
      </c>
      <c r="J1601" s="14" t="str">
        <f aca="true">IF(OR(E1601="",E1601="!!!",F1601="NEW"),"",COUNTBLANK(OFFSET(A$1,,,SUMPRODUCT(MAX(ROW(E$2:E1601)*(E1601=E$2:E1601)))))-COUNTBLANK(OFFSET(A$1,,,SUMPRODUCT(MAX(ROW(E$1:E1600)*(E1601=E$1:E1600))))))</f>
        <v/>
      </c>
      <c r="K1601" s="14" t="str">
        <f aca="false">IF(OR(E1601="",E1601="!!!",F1601="NEW"),"",INDEX(J$1:J1600,SUMPRODUCT(MAX(ROW(E$1:E1600)*(E1601=E$1:E1600)))))</f>
        <v/>
      </c>
      <c r="L1601" s="15"/>
    </row>
    <row r="1602" customFormat="false" ht="12.75" hidden="false" customHeight="false" outlineLevel="0" collapsed="false">
      <c r="A1602" s="0" t="s">
        <v>136</v>
      </c>
      <c r="E1602" s="9" t="str">
        <f aca="false">IF(D1602="?OLD","!!!","")</f>
        <v/>
      </c>
      <c r="F1602" s="10" t="str">
        <f aca="false">IF(OR(E1602="",E1602="!!!"),"",IF(NOT(ISNA(VLOOKUP(E1602,E$1:E1601,1,FALSE()))),"OLD",IF(AND(E1602&lt;&gt;"",E1602&lt;&gt;"!!!"),"NEW","")))</f>
        <v/>
      </c>
      <c r="G1602" s="11" t="str">
        <f aca="false">IF(OR(E1602="",E1602="!!!"),"",IF(OR(J1602=0,AND(J1602=1,K1602=1),AND(J1602=1,I1602="SBJ"),AND(J1602=1,I1602=0)),"?IN_FOCUS",IF(J1602&lt;=2,"?ACTIVATED",IF(J1602&lt;&gt;"","?FAMILIAR",IF(F1602="NEW",IF(ISNA(VLOOKUP(E1602,#REF!,1,FALSE())),"?TYPE_IDENTIFIABLE","?REFERENTIAL"),"_")))))</f>
        <v/>
      </c>
      <c r="H1602" s="12" t="str">
        <f aca="false">IF(J1602&lt;&gt;1,"",IF(I1602="SBJ","CB","?"))</f>
        <v/>
      </c>
      <c r="I1602" s="13" t="str">
        <f aca="false">IF(OR(E1602="",E1602="!!!",F1602="NEW"),"",INDEX(B$2:B1601,-1+SUMPRODUCT(MAX(ROW(E$2:E1601)*(E1602=E$2:E1601)))))</f>
        <v/>
      </c>
      <c r="J1602" s="14" t="str">
        <f aca="true">IF(OR(E1602="",E1602="!!!",F1602="NEW"),"",COUNTBLANK(OFFSET(A$1,,,SUMPRODUCT(MAX(ROW(E$2:E1602)*(E1602=E$2:E1602)))))-COUNTBLANK(OFFSET(A$1,,,SUMPRODUCT(MAX(ROW(E$1:E1601)*(E1602=E$1:E1601))))))</f>
        <v/>
      </c>
      <c r="K1602" s="14" t="str">
        <f aca="false">IF(OR(E1602="",E1602="!!!",F1602="NEW"),"",INDEX(J$1:J1601,SUMPRODUCT(MAX(ROW(E$1:E1601)*(E1602=E$1:E1601)))))</f>
        <v/>
      </c>
      <c r="L1602" s="15"/>
    </row>
    <row r="1603" customFormat="false" ht="12.75" hidden="false" customHeight="false" outlineLevel="0" collapsed="false">
      <c r="A1603" s="0" t="s">
        <v>141</v>
      </c>
      <c r="B1603" s="0" t="s">
        <v>28</v>
      </c>
      <c r="C1603" s="0" t="s">
        <v>15</v>
      </c>
      <c r="D1603" s="0" t="s">
        <v>29</v>
      </c>
      <c r="E1603" s="9" t="str">
        <f aca="false">IF(D1603="?OLD","!!!","")</f>
        <v>!!!</v>
      </c>
      <c r="F1603" s="10" t="str">
        <f aca="false">IF(OR(E1603="",E1603="!!!"),"",IF(NOT(ISNA(VLOOKUP(E1603,E$1:E1602,1,FALSE()))),"OLD",IF(AND(E1603&lt;&gt;"",E1603&lt;&gt;"!!!"),"NEW","")))</f>
        <v/>
      </c>
      <c r="G1603" s="11" t="str">
        <f aca="false">IF(OR(E1603="",E1603="!!!"),"",IF(OR(J1603=0,AND(J1603=1,K1603=1),AND(J1603=1,I1603="SBJ"),AND(J1603=1,I1603=0)),"?IN_FOCUS",IF(J1603&lt;=2,"?ACTIVATED",IF(J1603&lt;&gt;"","?FAMILIAR",IF(F1603="NEW",IF(ISNA(VLOOKUP(E1603,#REF!,1,FALSE())),"?TYPE_IDENTIFIABLE","?REFERENTIAL"),"_")))))</f>
        <v/>
      </c>
      <c r="H1603" s="12" t="str">
        <f aca="false">IF(J1603&lt;&gt;1,"",IF(I1603="SBJ","CB","?"))</f>
        <v/>
      </c>
      <c r="I1603" s="13" t="str">
        <f aca="false">IF(OR(E1603="",E1603="!!!",F1603="NEW"),"",INDEX(B$2:B1602,-1+SUMPRODUCT(MAX(ROW(E$2:E1602)*(E1603=E$2:E1602)))))</f>
        <v/>
      </c>
      <c r="J1603" s="14" t="str">
        <f aca="true">IF(OR(E1603="",E1603="!!!",F1603="NEW"),"",COUNTBLANK(OFFSET(A$1,,,SUMPRODUCT(MAX(ROW(E$2:E1603)*(E1603=E$2:E1603)))))-COUNTBLANK(OFFSET(A$1,,,SUMPRODUCT(MAX(ROW(E$1:E1602)*(E1603=E$1:E1602))))))</f>
        <v/>
      </c>
      <c r="K1603" s="14" t="str">
        <f aca="false">IF(OR(E1603="",E1603="!!!",F1603="NEW"),"",INDEX(J$1:J1602,SUMPRODUCT(MAX(ROW(E$1:E1602)*(E1603=E$1:E1602)))))</f>
        <v/>
      </c>
      <c r="L1603" s="15"/>
    </row>
    <row r="1604" customFormat="false" ht="12.75" hidden="false" customHeight="false" outlineLevel="0" collapsed="false">
      <c r="A1604" s="0" t="s">
        <v>19</v>
      </c>
      <c r="E1604" s="9" t="str">
        <f aca="false">IF(D1604="?OLD","!!!","")</f>
        <v/>
      </c>
      <c r="F1604" s="10" t="str">
        <f aca="false">IF(OR(E1604="",E1604="!!!"),"",IF(NOT(ISNA(VLOOKUP(E1604,E$1:E1603,1,FALSE()))),"OLD",IF(AND(E1604&lt;&gt;"",E1604&lt;&gt;"!!!"),"NEW","")))</f>
        <v/>
      </c>
      <c r="G1604" s="11" t="str">
        <f aca="false">IF(OR(E1604="",E1604="!!!"),"",IF(OR(J1604=0,AND(J1604=1,K1604=1),AND(J1604=1,I1604="SBJ"),AND(J1604=1,I1604=0)),"?IN_FOCUS",IF(J1604&lt;=2,"?ACTIVATED",IF(J1604&lt;&gt;"","?FAMILIAR",IF(F1604="NEW",IF(ISNA(VLOOKUP(E1604,#REF!,1,FALSE())),"?TYPE_IDENTIFIABLE","?REFERENTIAL"),"_")))))</f>
        <v/>
      </c>
      <c r="H1604" s="12" t="str">
        <f aca="false">IF(J1604&lt;&gt;1,"",IF(I1604="SBJ","CB","?"))</f>
        <v/>
      </c>
      <c r="I1604" s="13" t="str">
        <f aca="false">IF(OR(E1604="",E1604="!!!",F1604="NEW"),"",INDEX(B$2:B1603,-1+SUMPRODUCT(MAX(ROW(E$2:E1603)*(E1604=E$2:E1603)))))</f>
        <v/>
      </c>
      <c r="J1604" s="14" t="str">
        <f aca="true">IF(OR(E1604="",E1604="!!!",F1604="NEW"),"",COUNTBLANK(OFFSET(A$1,,,SUMPRODUCT(MAX(ROW(E$2:E1604)*(E1604=E$2:E1604)))))-COUNTBLANK(OFFSET(A$1,,,SUMPRODUCT(MAX(ROW(E$1:E1603)*(E1604=E$1:E1603))))))</f>
        <v/>
      </c>
      <c r="K1604" s="14" t="str">
        <f aca="false">IF(OR(E1604="",E1604="!!!",F1604="NEW"),"",INDEX(J$1:J1603,SUMPRODUCT(MAX(ROW(E$1:E1603)*(E1604=E$1:E1603)))))</f>
        <v/>
      </c>
      <c r="L1604" s="15"/>
    </row>
    <row r="1605" customFormat="false" ht="12.75" hidden="false" customHeight="false" outlineLevel="0" collapsed="false">
      <c r="A1605" s="0" t="s">
        <v>142</v>
      </c>
      <c r="B1605" s="0" t="s">
        <v>22</v>
      </c>
      <c r="C1605" s="0" t="s">
        <v>38</v>
      </c>
      <c r="D1605" s="0" t="s">
        <v>29</v>
      </c>
      <c r="E1605" s="9" t="str">
        <f aca="false">IF(D1605="?OLD","!!!","")</f>
        <v>!!!</v>
      </c>
      <c r="F1605" s="10" t="str">
        <f aca="false">IF(OR(E1605="",E1605="!!!"),"",IF(NOT(ISNA(VLOOKUP(E1605,E$1:E1604,1,FALSE()))),"OLD",IF(AND(E1605&lt;&gt;"",E1605&lt;&gt;"!!!"),"NEW","")))</f>
        <v/>
      </c>
      <c r="G1605" s="11" t="str">
        <f aca="false">IF(OR(E1605="",E1605="!!!"),"",IF(OR(J1605=0,AND(J1605=1,K1605=1),AND(J1605=1,I1605="SBJ"),AND(J1605=1,I1605=0)),"?IN_FOCUS",IF(J1605&lt;=2,"?ACTIVATED",IF(J1605&lt;&gt;"","?FAMILIAR",IF(F1605="NEW",IF(ISNA(VLOOKUP(E1605,#REF!,1,FALSE())),"?TYPE_IDENTIFIABLE","?REFERENTIAL"),"_")))))</f>
        <v/>
      </c>
      <c r="H1605" s="12" t="str">
        <f aca="false">IF(J1605&lt;&gt;1,"",IF(I1605="SBJ","CB","?"))</f>
        <v/>
      </c>
      <c r="I1605" s="13" t="str">
        <f aca="false">IF(OR(E1605="",E1605="!!!",F1605="NEW"),"",INDEX(B$2:B1604,-1+SUMPRODUCT(MAX(ROW(E$2:E1604)*(E1605=E$2:E1604)))))</f>
        <v/>
      </c>
      <c r="J1605" s="14" t="str">
        <f aca="true">IF(OR(E1605="",E1605="!!!",F1605="NEW"),"",COUNTBLANK(OFFSET(A$1,,,SUMPRODUCT(MAX(ROW(E$2:E1605)*(E1605=E$2:E1605)))))-COUNTBLANK(OFFSET(A$1,,,SUMPRODUCT(MAX(ROW(E$1:E1604)*(E1605=E$1:E1604))))))</f>
        <v/>
      </c>
      <c r="K1605" s="14" t="str">
        <f aca="false">IF(OR(E1605="",E1605="!!!",F1605="NEW"),"",INDEX(J$1:J1604,SUMPRODUCT(MAX(ROW(E$1:E1604)*(E1605=E$1:E1604)))))</f>
        <v/>
      </c>
      <c r="L1605" s="15"/>
    </row>
    <row r="1606" customFormat="false" ht="12.75" hidden="false" customHeight="false" outlineLevel="0" collapsed="false">
      <c r="A1606" s="0" t="s">
        <v>88</v>
      </c>
      <c r="E1606" s="9" t="str">
        <f aca="false">IF(D1606="?OLD","!!!","")</f>
        <v/>
      </c>
      <c r="F1606" s="10" t="str">
        <f aca="false">IF(OR(E1606="",E1606="!!!"),"",IF(NOT(ISNA(VLOOKUP(E1606,E$1:E1605,1,FALSE()))),"OLD",IF(AND(E1606&lt;&gt;"",E1606&lt;&gt;"!!!"),"NEW","")))</f>
        <v/>
      </c>
      <c r="G1606" s="11" t="str">
        <f aca="false">IF(OR(E1606="",E1606="!!!"),"",IF(OR(J1606=0,AND(J1606=1,K1606=1),AND(J1606=1,I1606="SBJ"),AND(J1606=1,I1606=0)),"?IN_FOCUS",IF(J1606&lt;=2,"?ACTIVATED",IF(J1606&lt;&gt;"","?FAMILIAR",IF(F1606="NEW",IF(ISNA(VLOOKUP(E1606,#REF!,1,FALSE())),"?TYPE_IDENTIFIABLE","?REFERENTIAL"),"_")))))</f>
        <v/>
      </c>
      <c r="H1606" s="12" t="str">
        <f aca="false">IF(J1606&lt;&gt;1,"",IF(I1606="SBJ","CB","?"))</f>
        <v/>
      </c>
      <c r="I1606" s="13" t="str">
        <f aca="false">IF(OR(E1606="",E1606="!!!",F1606="NEW"),"",INDEX(B$2:B1605,-1+SUMPRODUCT(MAX(ROW(E$2:E1605)*(E1606=E$2:E1605)))))</f>
        <v/>
      </c>
      <c r="J1606" s="14" t="str">
        <f aca="true">IF(OR(E1606="",E1606="!!!",F1606="NEW"),"",COUNTBLANK(OFFSET(A$1,,,SUMPRODUCT(MAX(ROW(E$2:E1606)*(E1606=E$2:E1606)))))-COUNTBLANK(OFFSET(A$1,,,SUMPRODUCT(MAX(ROW(E$1:E1605)*(E1606=E$1:E1605))))))</f>
        <v/>
      </c>
      <c r="K1606" s="14" t="str">
        <f aca="false">IF(OR(E1606="",E1606="!!!",F1606="NEW"),"",INDEX(J$1:J1605,SUMPRODUCT(MAX(ROW(E$1:E1605)*(E1606=E$1:E1605)))))</f>
        <v/>
      </c>
      <c r="L1606" s="15"/>
    </row>
    <row r="1607" customFormat="false" ht="12.75" hidden="false" customHeight="false" outlineLevel="0" collapsed="false">
      <c r="A1607" s="0" t="s">
        <v>695</v>
      </c>
      <c r="E1607" s="9" t="str">
        <f aca="false">IF(D1607="?OLD","!!!","")</f>
        <v/>
      </c>
      <c r="F1607" s="10" t="str">
        <f aca="false">IF(OR(E1607="",E1607="!!!"),"",IF(NOT(ISNA(VLOOKUP(E1607,E$1:E1606,1,FALSE()))),"OLD",IF(AND(E1607&lt;&gt;"",E1607&lt;&gt;"!!!"),"NEW","")))</f>
        <v/>
      </c>
      <c r="G1607" s="11" t="str">
        <f aca="false">IF(OR(E1607="",E1607="!!!"),"",IF(OR(J1607=0,AND(J1607=1,K1607=1),AND(J1607=1,I1607="SBJ"),AND(J1607=1,I1607=0)),"?IN_FOCUS",IF(J1607&lt;=2,"?ACTIVATED",IF(J1607&lt;&gt;"","?FAMILIAR",IF(F1607="NEW",IF(ISNA(VLOOKUP(E1607,#REF!,1,FALSE())),"?TYPE_IDENTIFIABLE","?REFERENTIAL"),"_")))))</f>
        <v/>
      </c>
      <c r="H1607" s="12" t="str">
        <f aca="false">IF(J1607&lt;&gt;1,"",IF(I1607="SBJ","CB","?"))</f>
        <v/>
      </c>
      <c r="I1607" s="13" t="str">
        <f aca="false">IF(OR(E1607="",E1607="!!!",F1607="NEW"),"",INDEX(B$2:B1606,-1+SUMPRODUCT(MAX(ROW(E$2:E1606)*(E1607=E$2:E1606)))))</f>
        <v/>
      </c>
      <c r="J1607" s="14" t="str">
        <f aca="true">IF(OR(E1607="",E1607="!!!",F1607="NEW"),"",COUNTBLANK(OFFSET(A$1,,,SUMPRODUCT(MAX(ROW(E$2:E1607)*(E1607=E$2:E1607)))))-COUNTBLANK(OFFSET(A$1,,,SUMPRODUCT(MAX(ROW(E$1:E1606)*(E1607=E$1:E1606))))))</f>
        <v/>
      </c>
      <c r="K1607" s="14" t="str">
        <f aca="false">IF(OR(E1607="",E1607="!!!",F1607="NEW"),"",INDEX(J$1:J1606,SUMPRODUCT(MAX(ROW(E$1:E1606)*(E1607=E$1:E1606)))))</f>
        <v/>
      </c>
      <c r="L1607" s="15"/>
    </row>
    <row r="1608" customFormat="false" ht="12.75" hidden="false" customHeight="false" outlineLevel="0" collapsed="false">
      <c r="A1608" s="0" t="s">
        <v>53</v>
      </c>
      <c r="B1608" s="0" t="s">
        <v>22</v>
      </c>
      <c r="C1608" s="0" t="s">
        <v>55</v>
      </c>
      <c r="D1608" s="0" t="s">
        <v>29</v>
      </c>
      <c r="E1608" s="9" t="str">
        <f aca="false">IF(D1608="?OLD","!!!","")</f>
        <v>!!!</v>
      </c>
      <c r="F1608" s="10" t="str">
        <f aca="false">IF(OR(E1608="",E1608="!!!"),"",IF(NOT(ISNA(VLOOKUP(E1608,E$1:E1607,1,FALSE()))),"OLD",IF(AND(E1608&lt;&gt;"",E1608&lt;&gt;"!!!"),"NEW","")))</f>
        <v/>
      </c>
      <c r="G1608" s="11" t="str">
        <f aca="false">IF(OR(E1608="",E1608="!!!"),"",IF(OR(J1608=0,AND(J1608=1,K1608=1),AND(J1608=1,I1608="SBJ"),AND(J1608=1,I1608=0)),"?IN_FOCUS",IF(J1608&lt;=2,"?ACTIVATED",IF(J1608&lt;&gt;"","?FAMILIAR",IF(F1608="NEW",IF(ISNA(VLOOKUP(E1608,#REF!,1,FALSE())),"?TYPE_IDENTIFIABLE","?REFERENTIAL"),"_")))))</f>
        <v/>
      </c>
      <c r="H1608" s="12" t="str">
        <f aca="false">IF(J1608&lt;&gt;1,"",IF(I1608="SBJ","CB","?"))</f>
        <v/>
      </c>
      <c r="I1608" s="13" t="str">
        <f aca="false">IF(OR(E1608="",E1608="!!!",F1608="NEW"),"",INDEX(B$2:B1607,-1+SUMPRODUCT(MAX(ROW(E$2:E1607)*(E1608=E$2:E1607)))))</f>
        <v/>
      </c>
      <c r="J1608" s="14" t="str">
        <f aca="true">IF(OR(E1608="",E1608="!!!",F1608="NEW"),"",COUNTBLANK(OFFSET(A$1,,,SUMPRODUCT(MAX(ROW(E$2:E1608)*(E1608=E$2:E1608)))))-COUNTBLANK(OFFSET(A$1,,,SUMPRODUCT(MAX(ROW(E$1:E1607)*(E1608=E$1:E1607))))))</f>
        <v/>
      </c>
      <c r="K1608" s="14" t="str">
        <f aca="false">IF(OR(E1608="",E1608="!!!",F1608="NEW"),"",INDEX(J$1:J1607,SUMPRODUCT(MAX(ROW(E$1:E1607)*(E1608=E$1:E1607)))))</f>
        <v/>
      </c>
      <c r="L1608" s="15"/>
    </row>
    <row r="1609" customFormat="false" ht="12.75" hidden="false" customHeight="false" outlineLevel="0" collapsed="false">
      <c r="A1609" s="0" t="s">
        <v>696</v>
      </c>
      <c r="B1609" s="0" t="s">
        <v>103</v>
      </c>
      <c r="C1609" s="0" t="s">
        <v>15</v>
      </c>
      <c r="D1609" s="0" t="s">
        <v>29</v>
      </c>
      <c r="E1609" s="9" t="str">
        <f aca="false">IF(D1609="?OLD","!!!","")</f>
        <v>!!!</v>
      </c>
      <c r="F1609" s="10" t="str">
        <f aca="false">IF(OR(E1609="",E1609="!!!"),"",IF(NOT(ISNA(VLOOKUP(E1609,E$1:E1608,1,FALSE()))),"OLD",IF(AND(E1609&lt;&gt;"",E1609&lt;&gt;"!!!"),"NEW","")))</f>
        <v/>
      </c>
      <c r="G1609" s="11" t="str">
        <f aca="false">IF(OR(E1609="",E1609="!!!"),"",IF(OR(J1609=0,AND(J1609=1,K1609=1),AND(J1609=1,I1609="SBJ"),AND(J1609=1,I1609=0)),"?IN_FOCUS",IF(J1609&lt;=2,"?ACTIVATED",IF(J1609&lt;&gt;"","?FAMILIAR",IF(F1609="NEW",IF(ISNA(VLOOKUP(E1609,#REF!,1,FALSE())),"?TYPE_IDENTIFIABLE","?REFERENTIAL"),"_")))))</f>
        <v/>
      </c>
      <c r="H1609" s="12" t="str">
        <f aca="false">IF(J1609&lt;&gt;1,"",IF(I1609="SBJ","CB","?"))</f>
        <v/>
      </c>
      <c r="I1609" s="13" t="str">
        <f aca="false">IF(OR(E1609="",E1609="!!!",F1609="NEW"),"",INDEX(B$2:B1608,-1+SUMPRODUCT(MAX(ROW(E$2:E1608)*(E1609=E$2:E1608)))))</f>
        <v/>
      </c>
      <c r="J1609" s="14" t="str">
        <f aca="true">IF(OR(E1609="",E1609="!!!",F1609="NEW"),"",COUNTBLANK(OFFSET(A$1,,,SUMPRODUCT(MAX(ROW(E$2:E1609)*(E1609=E$2:E1609)))))-COUNTBLANK(OFFSET(A$1,,,SUMPRODUCT(MAX(ROW(E$1:E1608)*(E1609=E$1:E1608))))))</f>
        <v/>
      </c>
      <c r="K1609" s="14" t="str">
        <f aca="false">IF(OR(E1609="",E1609="!!!",F1609="NEW"),"",INDEX(J$1:J1608,SUMPRODUCT(MAX(ROW(E$1:E1608)*(E1609=E$1:E1608)))))</f>
        <v/>
      </c>
      <c r="L1609" s="15"/>
    </row>
    <row r="1610" customFormat="false" ht="12.75" hidden="false" customHeight="false" outlineLevel="0" collapsed="false">
      <c r="A1610" s="0" t="s">
        <v>136</v>
      </c>
      <c r="E1610" s="9" t="str">
        <f aca="false">IF(D1610="?OLD","!!!","")</f>
        <v/>
      </c>
      <c r="F1610" s="10" t="str">
        <f aca="false">IF(OR(E1610="",E1610="!!!"),"",IF(NOT(ISNA(VLOOKUP(E1610,E$1:E1609,1,FALSE()))),"OLD",IF(AND(E1610&lt;&gt;"",E1610&lt;&gt;"!!!"),"NEW","")))</f>
        <v/>
      </c>
      <c r="G1610" s="11" t="str">
        <f aca="false">IF(OR(E1610="",E1610="!!!"),"",IF(OR(J1610=0,AND(J1610=1,K1610=1),AND(J1610=1,I1610="SBJ"),AND(J1610=1,I1610=0)),"?IN_FOCUS",IF(J1610&lt;=2,"?ACTIVATED",IF(J1610&lt;&gt;"","?FAMILIAR",IF(F1610="NEW",IF(ISNA(VLOOKUP(E1610,#REF!,1,FALSE())),"?TYPE_IDENTIFIABLE","?REFERENTIAL"),"_")))))</f>
        <v/>
      </c>
      <c r="H1610" s="12" t="str">
        <f aca="false">IF(J1610&lt;&gt;1,"",IF(I1610="SBJ","CB","?"))</f>
        <v/>
      </c>
      <c r="I1610" s="13" t="str">
        <f aca="false">IF(OR(E1610="",E1610="!!!",F1610="NEW"),"",INDEX(B$2:B1609,-1+SUMPRODUCT(MAX(ROW(E$2:E1609)*(E1610=E$2:E1609)))))</f>
        <v/>
      </c>
      <c r="J1610" s="14" t="str">
        <f aca="true">IF(OR(E1610="",E1610="!!!",F1610="NEW"),"",COUNTBLANK(OFFSET(A$1,,,SUMPRODUCT(MAX(ROW(E$2:E1610)*(E1610=E$2:E1610)))))-COUNTBLANK(OFFSET(A$1,,,SUMPRODUCT(MAX(ROW(E$1:E1609)*(E1610=E$1:E1609))))))</f>
        <v/>
      </c>
      <c r="K1610" s="14" t="str">
        <f aca="false">IF(OR(E1610="",E1610="!!!",F1610="NEW"),"",INDEX(J$1:J1609,SUMPRODUCT(MAX(ROW(E$1:E1609)*(E1610=E$1:E1609)))))</f>
        <v/>
      </c>
      <c r="L1610" s="15"/>
    </row>
    <row r="1611" customFormat="false" ht="12.75" hidden="false" customHeight="false" outlineLevel="0" collapsed="false">
      <c r="A1611" s="0" t="s">
        <v>53</v>
      </c>
      <c r="B1611" s="0" t="s">
        <v>22</v>
      </c>
      <c r="C1611" s="0" t="s">
        <v>55</v>
      </c>
      <c r="D1611" s="0" t="s">
        <v>29</v>
      </c>
      <c r="E1611" s="9" t="str">
        <f aca="false">IF(D1611="?OLD","!!!","")</f>
        <v>!!!</v>
      </c>
      <c r="F1611" s="10" t="str">
        <f aca="false">IF(OR(E1611="",E1611="!!!"),"",IF(NOT(ISNA(VLOOKUP(E1611,E$1:E1610,1,FALSE()))),"OLD",IF(AND(E1611&lt;&gt;"",E1611&lt;&gt;"!!!"),"NEW","")))</f>
        <v/>
      </c>
      <c r="G1611" s="11" t="str">
        <f aca="false">IF(OR(E1611="",E1611="!!!"),"",IF(OR(J1611=0,AND(J1611=1,K1611=1),AND(J1611=1,I1611="SBJ"),AND(J1611=1,I1611=0)),"?IN_FOCUS",IF(J1611&lt;=2,"?ACTIVATED",IF(J1611&lt;&gt;"","?FAMILIAR",IF(F1611="NEW",IF(ISNA(VLOOKUP(E1611,#REF!,1,FALSE())),"?TYPE_IDENTIFIABLE","?REFERENTIAL"),"_")))))</f>
        <v/>
      </c>
      <c r="H1611" s="12" t="str">
        <f aca="false">IF(J1611&lt;&gt;1,"",IF(I1611="SBJ","CB","?"))</f>
        <v/>
      </c>
      <c r="I1611" s="13" t="str">
        <f aca="false">IF(OR(E1611="",E1611="!!!",F1611="NEW"),"",INDEX(B$2:B1610,-1+SUMPRODUCT(MAX(ROW(E$2:E1610)*(E1611=E$2:E1610)))))</f>
        <v/>
      </c>
      <c r="J1611" s="14" t="str">
        <f aca="true">IF(OR(E1611="",E1611="!!!",F1611="NEW"),"",COUNTBLANK(OFFSET(A$1,,,SUMPRODUCT(MAX(ROW(E$2:E1611)*(E1611=E$2:E1611)))))-COUNTBLANK(OFFSET(A$1,,,SUMPRODUCT(MAX(ROW(E$1:E1610)*(E1611=E$1:E1610))))))</f>
        <v/>
      </c>
      <c r="K1611" s="14" t="str">
        <f aca="false">IF(OR(E1611="",E1611="!!!",F1611="NEW"),"",INDEX(J$1:J1610,SUMPRODUCT(MAX(ROW(E$1:E1610)*(E1611=E$1:E1610)))))</f>
        <v/>
      </c>
      <c r="L1611" s="15"/>
    </row>
    <row r="1612" customFormat="false" ht="12.75" hidden="false" customHeight="false" outlineLevel="0" collapsed="false">
      <c r="A1612" s="0" t="s">
        <v>697</v>
      </c>
      <c r="B1612" s="0" t="s">
        <v>28</v>
      </c>
      <c r="C1612" s="0" t="s">
        <v>15</v>
      </c>
      <c r="D1612" s="0" t="s">
        <v>29</v>
      </c>
      <c r="E1612" s="9" t="str">
        <f aca="false">IF(D1612="?OLD","!!!","")</f>
        <v>!!!</v>
      </c>
      <c r="F1612" s="10" t="str">
        <f aca="false">IF(OR(E1612="",E1612="!!!"),"",IF(NOT(ISNA(VLOOKUP(E1612,E$1:E1611,1,FALSE()))),"OLD",IF(AND(E1612&lt;&gt;"",E1612&lt;&gt;"!!!"),"NEW","")))</f>
        <v/>
      </c>
      <c r="G1612" s="11" t="str">
        <f aca="false">IF(OR(E1612="",E1612="!!!"),"",IF(OR(J1612=0,AND(J1612=1,K1612=1),AND(J1612=1,I1612="SBJ"),AND(J1612=1,I1612=0)),"?IN_FOCUS",IF(J1612&lt;=2,"?ACTIVATED",IF(J1612&lt;&gt;"","?FAMILIAR",IF(F1612="NEW",IF(ISNA(VLOOKUP(E1612,#REF!,1,FALSE())),"?TYPE_IDENTIFIABLE","?REFERENTIAL"),"_")))))</f>
        <v/>
      </c>
      <c r="H1612" s="12" t="str">
        <f aca="false">IF(J1612&lt;&gt;1,"",IF(I1612="SBJ","CB","?"))</f>
        <v/>
      </c>
      <c r="I1612" s="13" t="str">
        <f aca="false">IF(OR(E1612="",E1612="!!!",F1612="NEW"),"",INDEX(B$2:B1611,-1+SUMPRODUCT(MAX(ROW(E$2:E1611)*(E1612=E$2:E1611)))))</f>
        <v/>
      </c>
      <c r="J1612" s="14" t="str">
        <f aca="true">IF(OR(E1612="",E1612="!!!",F1612="NEW"),"",COUNTBLANK(OFFSET(A$1,,,SUMPRODUCT(MAX(ROW(E$2:E1612)*(E1612=E$2:E1612)))))-COUNTBLANK(OFFSET(A$1,,,SUMPRODUCT(MAX(ROW(E$1:E1611)*(E1612=E$1:E1611))))))</f>
        <v/>
      </c>
      <c r="K1612" s="14" t="str">
        <f aca="false">IF(OR(E1612="",E1612="!!!",F1612="NEW"),"",INDEX(J$1:J1611,SUMPRODUCT(MAX(ROW(E$1:E1611)*(E1612=E$1:E1611)))))</f>
        <v/>
      </c>
      <c r="L1612" s="15"/>
    </row>
    <row r="1613" customFormat="false" ht="12.75" hidden="false" customHeight="false" outlineLevel="0" collapsed="false">
      <c r="A1613" s="0" t="s">
        <v>73</v>
      </c>
      <c r="E1613" s="9" t="str">
        <f aca="false">IF(D1613="?OLD","!!!","")</f>
        <v/>
      </c>
      <c r="F1613" s="10" t="str">
        <f aca="false">IF(OR(E1613="",E1613="!!!"),"",IF(NOT(ISNA(VLOOKUP(E1613,E$1:E1612,1,FALSE()))),"OLD",IF(AND(E1613&lt;&gt;"",E1613&lt;&gt;"!!!"),"NEW","")))</f>
        <v/>
      </c>
      <c r="G1613" s="11" t="str">
        <f aca="false">IF(OR(E1613="",E1613="!!!"),"",IF(OR(J1613=0,AND(J1613=1,K1613=1),AND(J1613=1,I1613="SBJ"),AND(J1613=1,I1613=0)),"?IN_FOCUS",IF(J1613&lt;=2,"?ACTIVATED",IF(J1613&lt;&gt;"","?FAMILIAR",IF(F1613="NEW",IF(ISNA(VLOOKUP(E1613,#REF!,1,FALSE())),"?TYPE_IDENTIFIABLE","?REFERENTIAL"),"_")))))</f>
        <v/>
      </c>
      <c r="H1613" s="12" t="str">
        <f aca="false">IF(J1613&lt;&gt;1,"",IF(I1613="SBJ","CB","?"))</f>
        <v/>
      </c>
      <c r="I1613" s="13" t="str">
        <f aca="false">IF(OR(E1613="",E1613="!!!",F1613="NEW"),"",INDEX(B$2:B1612,-1+SUMPRODUCT(MAX(ROW(E$2:E1612)*(E1613=E$2:E1612)))))</f>
        <v/>
      </c>
      <c r="J1613" s="14" t="str">
        <f aca="true">IF(OR(E1613="",E1613="!!!",F1613="NEW"),"",COUNTBLANK(OFFSET(A$1,,,SUMPRODUCT(MAX(ROW(E$2:E1613)*(E1613=E$2:E1613)))))-COUNTBLANK(OFFSET(A$1,,,SUMPRODUCT(MAX(ROW(E$1:E1612)*(E1613=E$1:E1612))))))</f>
        <v/>
      </c>
      <c r="K1613" s="14" t="str">
        <f aca="false">IF(OR(E1613="",E1613="!!!",F1613="NEW"),"",INDEX(J$1:J1612,SUMPRODUCT(MAX(ROW(E$1:E1612)*(E1613=E$1:E1612)))))</f>
        <v/>
      </c>
      <c r="L1613" s="15"/>
    </row>
    <row r="1614" customFormat="false" ht="12.75" hidden="false" customHeight="false" outlineLevel="0" collapsed="false">
      <c r="E1614" s="9" t="str">
        <f aca="false">IF(D1614="?OLD","!!!","")</f>
        <v/>
      </c>
      <c r="F1614" s="10" t="str">
        <f aca="false">IF(OR(E1614="",E1614="!!!"),"",IF(NOT(ISNA(VLOOKUP(E1614,E$1:E1613,1,FALSE()))),"OLD",IF(AND(E1614&lt;&gt;"",E1614&lt;&gt;"!!!"),"NEW","")))</f>
        <v/>
      </c>
      <c r="G1614" s="11" t="str">
        <f aca="false">IF(OR(E1614="",E1614="!!!"),"",IF(OR(J1614=0,AND(J1614=1,K1614=1),AND(J1614=1,I1614="SBJ"),AND(J1614=1,I1614=0)),"?IN_FOCUS",IF(J1614&lt;=2,"?ACTIVATED",IF(J1614&lt;&gt;"","?FAMILIAR",IF(F1614="NEW",IF(ISNA(VLOOKUP(E1614,#REF!,1,FALSE())),"?TYPE_IDENTIFIABLE","?REFERENTIAL"),"_")))))</f>
        <v/>
      </c>
      <c r="H1614" s="12" t="str">
        <f aca="false">IF(J1614&lt;&gt;1,"",IF(I1614="SBJ","CB","?"))</f>
        <v/>
      </c>
      <c r="I1614" s="13" t="str">
        <f aca="false">IF(OR(E1614="",E1614="!!!",F1614="NEW"),"",INDEX(B$2:B1613,-1+SUMPRODUCT(MAX(ROW(E$2:E1613)*(E1614=E$2:E1613)))))</f>
        <v/>
      </c>
      <c r="J1614" s="14" t="str">
        <f aca="true">IF(OR(E1614="",E1614="!!!",F1614="NEW"),"",COUNTBLANK(OFFSET(A$1,,,SUMPRODUCT(MAX(ROW(E$2:E1614)*(E1614=E$2:E1614)))))-COUNTBLANK(OFFSET(A$1,,,SUMPRODUCT(MAX(ROW(E$1:E1613)*(E1614=E$1:E1613))))))</f>
        <v/>
      </c>
      <c r="K1614" s="14" t="str">
        <f aca="false">IF(OR(E1614="",E1614="!!!",F1614="NEW"),"",INDEX(J$1:J1613,SUMPRODUCT(MAX(ROW(E$1:E1613)*(E1614=E$1:E1613)))))</f>
        <v/>
      </c>
      <c r="L1614" s="15"/>
    </row>
    <row r="1615" customFormat="false" ht="12.75" hidden="false" customHeight="false" outlineLevel="0" collapsed="false">
      <c r="A1615" s="0" t="s">
        <v>260</v>
      </c>
      <c r="E1615" s="9" t="str">
        <f aca="false">IF(D1615="?OLD","!!!","")</f>
        <v/>
      </c>
      <c r="F1615" s="10" t="str">
        <f aca="false">IF(OR(E1615="",E1615="!!!"),"",IF(NOT(ISNA(VLOOKUP(E1615,E$1:E1614,1,FALSE()))),"OLD",IF(AND(E1615&lt;&gt;"",E1615&lt;&gt;"!!!"),"NEW","")))</f>
        <v/>
      </c>
      <c r="G1615" s="11" t="str">
        <f aca="false">IF(OR(E1615="",E1615="!!!"),"",IF(OR(J1615=0,AND(J1615=1,K1615=1),AND(J1615=1,I1615="SBJ"),AND(J1615=1,I1615=0)),"?IN_FOCUS",IF(J1615&lt;=2,"?ACTIVATED",IF(J1615&lt;&gt;"","?FAMILIAR",IF(F1615="NEW",IF(ISNA(VLOOKUP(E1615,#REF!,1,FALSE())),"?TYPE_IDENTIFIABLE","?REFERENTIAL"),"_")))))</f>
        <v/>
      </c>
      <c r="H1615" s="12" t="str">
        <f aca="false">IF(J1615&lt;&gt;1,"",IF(I1615="SBJ","CB","?"))</f>
        <v/>
      </c>
      <c r="I1615" s="13" t="str">
        <f aca="false">IF(OR(E1615="",E1615="!!!",F1615="NEW"),"",INDEX(B$2:B1614,-1+SUMPRODUCT(MAX(ROW(E$2:E1614)*(E1615=E$2:E1614)))))</f>
        <v/>
      </c>
      <c r="J1615" s="14" t="str">
        <f aca="true">IF(OR(E1615="",E1615="!!!",F1615="NEW"),"",COUNTBLANK(OFFSET(A$1,,,SUMPRODUCT(MAX(ROW(E$2:E1615)*(E1615=E$2:E1615)))))-COUNTBLANK(OFFSET(A$1,,,SUMPRODUCT(MAX(ROW(E$1:E1614)*(E1615=E$1:E1614))))))</f>
        <v/>
      </c>
      <c r="K1615" s="14" t="str">
        <f aca="false">IF(OR(E1615="",E1615="!!!",F1615="NEW"),"",INDEX(J$1:J1614,SUMPRODUCT(MAX(ROW(E$1:E1614)*(E1615=E$1:E1614)))))</f>
        <v/>
      </c>
      <c r="L1615" s="15"/>
    </row>
    <row r="1616" customFormat="false" ht="12.75" hidden="false" customHeight="false" outlineLevel="0" collapsed="false">
      <c r="A1616" s="0" t="s">
        <v>698</v>
      </c>
      <c r="E1616" s="9" t="str">
        <f aca="false">IF(D1616="?OLD","!!!","")</f>
        <v/>
      </c>
      <c r="F1616" s="10" t="str">
        <f aca="false">IF(OR(E1616="",E1616="!!!"),"",IF(NOT(ISNA(VLOOKUP(E1616,E$1:E1615,1,FALSE()))),"OLD",IF(AND(E1616&lt;&gt;"",E1616&lt;&gt;"!!!"),"NEW","")))</f>
        <v/>
      </c>
      <c r="G1616" s="11" t="str">
        <f aca="false">IF(OR(E1616="",E1616="!!!"),"",IF(OR(J1616=0,AND(J1616=1,K1616=1),AND(J1616=1,I1616="SBJ"),AND(J1616=1,I1616=0)),"?IN_FOCUS",IF(J1616&lt;=2,"?ACTIVATED",IF(J1616&lt;&gt;"","?FAMILIAR",IF(F1616="NEW",IF(ISNA(VLOOKUP(E1616,#REF!,1,FALSE())),"?TYPE_IDENTIFIABLE","?REFERENTIAL"),"_")))))</f>
        <v/>
      </c>
      <c r="H1616" s="12" t="str">
        <f aca="false">IF(J1616&lt;&gt;1,"",IF(I1616="SBJ","CB","?"))</f>
        <v/>
      </c>
      <c r="I1616" s="13" t="str">
        <f aca="false">IF(OR(E1616="",E1616="!!!",F1616="NEW"),"",INDEX(B$2:B1615,-1+SUMPRODUCT(MAX(ROW(E$2:E1615)*(E1616=E$2:E1615)))))</f>
        <v/>
      </c>
      <c r="J1616" s="14" t="str">
        <f aca="true">IF(OR(E1616="",E1616="!!!",F1616="NEW"),"",COUNTBLANK(OFFSET(A$1,,,SUMPRODUCT(MAX(ROW(E$2:E1616)*(E1616=E$2:E1616)))))-COUNTBLANK(OFFSET(A$1,,,SUMPRODUCT(MAX(ROW(E$1:E1615)*(E1616=E$1:E1615))))))</f>
        <v/>
      </c>
      <c r="K1616" s="14" t="str">
        <f aca="false">IF(OR(E1616="",E1616="!!!",F1616="NEW"),"",INDEX(J$1:J1615,SUMPRODUCT(MAX(ROW(E$1:E1615)*(E1616=E$1:E1615)))))</f>
        <v/>
      </c>
      <c r="L1616" s="15"/>
    </row>
    <row r="1617" customFormat="false" ht="12.75" hidden="false" customHeight="false" outlineLevel="0" collapsed="false">
      <c r="A1617" s="0" t="s">
        <v>262</v>
      </c>
      <c r="E1617" s="9" t="str">
        <f aca="false">IF(D1617="?OLD","!!!","")</f>
        <v/>
      </c>
      <c r="F1617" s="10" t="str">
        <f aca="false">IF(OR(E1617="",E1617="!!!"),"",IF(NOT(ISNA(VLOOKUP(E1617,E$1:E1616,1,FALSE()))),"OLD",IF(AND(E1617&lt;&gt;"",E1617&lt;&gt;"!!!"),"NEW","")))</f>
        <v/>
      </c>
      <c r="G1617" s="11" t="str">
        <f aca="false">IF(OR(E1617="",E1617="!!!"),"",IF(OR(J1617=0,AND(J1617=1,K1617=1),AND(J1617=1,I1617="SBJ"),AND(J1617=1,I1617=0)),"?IN_FOCUS",IF(J1617&lt;=2,"?ACTIVATED",IF(J1617&lt;&gt;"","?FAMILIAR",IF(F1617="NEW",IF(ISNA(VLOOKUP(E1617,#REF!,1,FALSE())),"?TYPE_IDENTIFIABLE","?REFERENTIAL"),"_")))))</f>
        <v/>
      </c>
      <c r="H1617" s="12" t="str">
        <f aca="false">IF(J1617&lt;&gt;1,"",IF(I1617="SBJ","CB","?"))</f>
        <v/>
      </c>
      <c r="I1617" s="13" t="str">
        <f aca="false">IF(OR(E1617="",E1617="!!!",F1617="NEW"),"",INDEX(B$2:B1616,-1+SUMPRODUCT(MAX(ROW(E$2:E1616)*(E1617=E$2:E1616)))))</f>
        <v/>
      </c>
      <c r="J1617" s="14" t="str">
        <f aca="true">IF(OR(E1617="",E1617="!!!",F1617="NEW"),"",COUNTBLANK(OFFSET(A$1,,,SUMPRODUCT(MAX(ROW(E$2:E1617)*(E1617=E$2:E1617)))))-COUNTBLANK(OFFSET(A$1,,,SUMPRODUCT(MAX(ROW(E$1:E1616)*(E1617=E$1:E1616))))))</f>
        <v/>
      </c>
      <c r="K1617" s="14" t="str">
        <f aca="false">IF(OR(E1617="",E1617="!!!",F1617="NEW"),"",INDEX(J$1:J1616,SUMPRODUCT(MAX(ROW(E$1:E1616)*(E1617=E$1:E1616)))))</f>
        <v/>
      </c>
      <c r="L1617" s="15"/>
    </row>
    <row r="1618" customFormat="false" ht="12.75" hidden="false" customHeight="false" outlineLevel="0" collapsed="false">
      <c r="A1618" s="0" t="s">
        <v>699</v>
      </c>
      <c r="E1618" s="9" t="str">
        <f aca="false">IF(D1618="?OLD","!!!","")</f>
        <v/>
      </c>
      <c r="F1618" s="10" t="str">
        <f aca="false">IF(OR(E1618="",E1618="!!!"),"",IF(NOT(ISNA(VLOOKUP(E1618,E$1:E1617,1,FALSE()))),"OLD",IF(AND(E1618&lt;&gt;"",E1618&lt;&gt;"!!!"),"NEW","")))</f>
        <v/>
      </c>
      <c r="G1618" s="11" t="str">
        <f aca="false">IF(OR(E1618="",E1618="!!!"),"",IF(OR(J1618=0,AND(J1618=1,K1618=1),AND(J1618=1,I1618="SBJ"),AND(J1618=1,I1618=0)),"?IN_FOCUS",IF(J1618&lt;=2,"?ACTIVATED",IF(J1618&lt;&gt;"","?FAMILIAR",IF(F1618="NEW",IF(ISNA(VLOOKUP(E1618,#REF!,1,FALSE())),"?TYPE_IDENTIFIABLE","?REFERENTIAL"),"_")))))</f>
        <v/>
      </c>
      <c r="H1618" s="12" t="str">
        <f aca="false">IF(J1618&lt;&gt;1,"",IF(I1618="SBJ","CB","?"))</f>
        <v/>
      </c>
      <c r="I1618" s="13" t="str">
        <f aca="false">IF(OR(E1618="",E1618="!!!",F1618="NEW"),"",INDEX(B$2:B1617,-1+SUMPRODUCT(MAX(ROW(E$2:E1617)*(E1618=E$2:E1617)))))</f>
        <v/>
      </c>
      <c r="J1618" s="14" t="str">
        <f aca="true">IF(OR(E1618="",E1618="!!!",F1618="NEW"),"",COUNTBLANK(OFFSET(A$1,,,SUMPRODUCT(MAX(ROW(E$2:E1618)*(E1618=E$2:E1618)))))-COUNTBLANK(OFFSET(A$1,,,SUMPRODUCT(MAX(ROW(E$1:E1617)*(E1618=E$1:E1617))))))</f>
        <v/>
      </c>
      <c r="K1618" s="14" t="str">
        <f aca="false">IF(OR(E1618="",E1618="!!!",F1618="NEW"),"",INDEX(J$1:J1617,SUMPRODUCT(MAX(ROW(E$1:E1617)*(E1618=E$1:E1617)))))</f>
        <v/>
      </c>
      <c r="L1618" s="15"/>
    </row>
    <row r="1619" customFormat="false" ht="12.75" hidden="false" customHeight="false" outlineLevel="0" collapsed="false">
      <c r="A1619" s="0" t="s">
        <v>46</v>
      </c>
      <c r="B1619" s="0" t="s">
        <v>42</v>
      </c>
      <c r="C1619" s="0" t="s">
        <v>38</v>
      </c>
      <c r="D1619" s="0" t="s">
        <v>29</v>
      </c>
      <c r="E1619" s="9" t="str">
        <f aca="false">IF(D1619="?OLD","!!!","")</f>
        <v>!!!</v>
      </c>
      <c r="F1619" s="10" t="str">
        <f aca="false">IF(OR(E1619="",E1619="!!!"),"",IF(NOT(ISNA(VLOOKUP(E1619,E$1:E1618,1,FALSE()))),"OLD",IF(AND(E1619&lt;&gt;"",E1619&lt;&gt;"!!!"),"NEW","")))</f>
        <v/>
      </c>
      <c r="G1619" s="11" t="str">
        <f aca="false">IF(OR(E1619="",E1619="!!!"),"",IF(OR(J1619=0,AND(J1619=1,K1619=1),AND(J1619=1,I1619="SBJ"),AND(J1619=1,I1619=0)),"?IN_FOCUS",IF(J1619&lt;=2,"?ACTIVATED",IF(J1619&lt;&gt;"","?FAMILIAR",IF(F1619="NEW",IF(ISNA(VLOOKUP(E1619,#REF!,1,FALSE())),"?TYPE_IDENTIFIABLE","?REFERENTIAL"),"_")))))</f>
        <v/>
      </c>
      <c r="H1619" s="12" t="str">
        <f aca="false">IF(J1619&lt;&gt;1,"",IF(I1619="SBJ","CB","?"))</f>
        <v/>
      </c>
      <c r="I1619" s="13" t="str">
        <f aca="false">IF(OR(E1619="",E1619="!!!",F1619="NEW"),"",INDEX(B$2:B1618,-1+SUMPRODUCT(MAX(ROW(E$2:E1618)*(E1619=E$2:E1618)))))</f>
        <v/>
      </c>
      <c r="J1619" s="14" t="str">
        <f aca="true">IF(OR(E1619="",E1619="!!!",F1619="NEW"),"",COUNTBLANK(OFFSET(A$1,,,SUMPRODUCT(MAX(ROW(E$2:E1619)*(E1619=E$2:E1619)))))-COUNTBLANK(OFFSET(A$1,,,SUMPRODUCT(MAX(ROW(E$1:E1618)*(E1619=E$1:E1618))))))</f>
        <v/>
      </c>
      <c r="K1619" s="14" t="str">
        <f aca="false">IF(OR(E1619="",E1619="!!!",F1619="NEW"),"",INDEX(J$1:J1618,SUMPRODUCT(MAX(ROW(E$1:E1618)*(E1619=E$1:E1618)))))</f>
        <v/>
      </c>
      <c r="L1619" s="15"/>
    </row>
    <row r="1620" customFormat="false" ht="12.75" hidden="false" customHeight="false" outlineLevel="0" collapsed="false">
      <c r="A1620" s="0" t="s">
        <v>343</v>
      </c>
      <c r="E1620" s="9" t="str">
        <f aca="false">IF(D1620="?OLD","!!!","")</f>
        <v/>
      </c>
      <c r="F1620" s="10" t="str">
        <f aca="false">IF(OR(E1620="",E1620="!!!"),"",IF(NOT(ISNA(VLOOKUP(E1620,E$1:E1619,1,FALSE()))),"OLD",IF(AND(E1620&lt;&gt;"",E1620&lt;&gt;"!!!"),"NEW","")))</f>
        <v/>
      </c>
      <c r="G1620" s="11" t="str">
        <f aca="false">IF(OR(E1620="",E1620="!!!"),"",IF(OR(J1620=0,AND(J1620=1,K1620=1),AND(J1620=1,I1620="SBJ"),AND(J1620=1,I1620=0)),"?IN_FOCUS",IF(J1620&lt;=2,"?ACTIVATED",IF(J1620&lt;&gt;"","?FAMILIAR",IF(F1620="NEW",IF(ISNA(VLOOKUP(E1620,#REF!,1,FALSE())),"?TYPE_IDENTIFIABLE","?REFERENTIAL"),"_")))))</f>
        <v/>
      </c>
      <c r="H1620" s="12" t="str">
        <f aca="false">IF(J1620&lt;&gt;1,"",IF(I1620="SBJ","CB","?"))</f>
        <v/>
      </c>
      <c r="I1620" s="13" t="str">
        <f aca="false">IF(OR(E1620="",E1620="!!!",F1620="NEW"),"",INDEX(B$2:B1619,-1+SUMPRODUCT(MAX(ROW(E$2:E1619)*(E1620=E$2:E1619)))))</f>
        <v/>
      </c>
      <c r="J1620" s="14" t="str">
        <f aca="true">IF(OR(E1620="",E1620="!!!",F1620="NEW"),"",COUNTBLANK(OFFSET(A$1,,,SUMPRODUCT(MAX(ROW(E$2:E1620)*(E1620=E$2:E1620)))))-COUNTBLANK(OFFSET(A$1,,,SUMPRODUCT(MAX(ROW(E$1:E1619)*(E1620=E$1:E1619))))))</f>
        <v/>
      </c>
      <c r="K1620" s="14" t="str">
        <f aca="false">IF(OR(E1620="",E1620="!!!",F1620="NEW"),"",INDEX(J$1:J1619,SUMPRODUCT(MAX(ROW(E$1:E1619)*(E1620=E$1:E1619)))))</f>
        <v/>
      </c>
      <c r="L1620" s="15"/>
    </row>
    <row r="1621" customFormat="false" ht="12.75" hidden="false" customHeight="false" outlineLevel="0" collapsed="false">
      <c r="A1621" s="0" t="s">
        <v>427</v>
      </c>
      <c r="E1621" s="9" t="str">
        <f aca="false">IF(D1621="?OLD","!!!","")</f>
        <v/>
      </c>
      <c r="F1621" s="10" t="str">
        <f aca="false">IF(OR(E1621="",E1621="!!!"),"",IF(NOT(ISNA(VLOOKUP(E1621,E$1:E1620,1,FALSE()))),"OLD",IF(AND(E1621&lt;&gt;"",E1621&lt;&gt;"!!!"),"NEW","")))</f>
        <v/>
      </c>
      <c r="G1621" s="11" t="str">
        <f aca="false">IF(OR(E1621="",E1621="!!!"),"",IF(OR(J1621=0,AND(J1621=1,K1621=1),AND(J1621=1,I1621="SBJ"),AND(J1621=1,I1621=0)),"?IN_FOCUS",IF(J1621&lt;=2,"?ACTIVATED",IF(J1621&lt;&gt;"","?FAMILIAR",IF(F1621="NEW",IF(ISNA(VLOOKUP(E1621,#REF!,1,FALSE())),"?TYPE_IDENTIFIABLE","?REFERENTIAL"),"_")))))</f>
        <v/>
      </c>
      <c r="H1621" s="12" t="str">
        <f aca="false">IF(J1621&lt;&gt;1,"",IF(I1621="SBJ","CB","?"))</f>
        <v/>
      </c>
      <c r="I1621" s="13" t="str">
        <f aca="false">IF(OR(E1621="",E1621="!!!",F1621="NEW"),"",INDEX(B$2:B1620,-1+SUMPRODUCT(MAX(ROW(E$2:E1620)*(E1621=E$2:E1620)))))</f>
        <v/>
      </c>
      <c r="J1621" s="14" t="str">
        <f aca="true">IF(OR(E1621="",E1621="!!!",F1621="NEW"),"",COUNTBLANK(OFFSET(A$1,,,SUMPRODUCT(MAX(ROW(E$2:E1621)*(E1621=E$2:E1621)))))-COUNTBLANK(OFFSET(A$1,,,SUMPRODUCT(MAX(ROW(E$1:E1620)*(E1621=E$1:E1620))))))</f>
        <v/>
      </c>
      <c r="K1621" s="14" t="str">
        <f aca="false">IF(OR(E1621="",E1621="!!!",F1621="NEW"),"",INDEX(J$1:J1620,SUMPRODUCT(MAX(ROW(E$1:E1620)*(E1621=E$1:E1620)))))</f>
        <v/>
      </c>
      <c r="L1621" s="15"/>
    </row>
    <row r="1622" customFormat="false" ht="12.75" hidden="false" customHeight="false" outlineLevel="0" collapsed="false">
      <c r="A1622" s="0" t="s">
        <v>513</v>
      </c>
      <c r="E1622" s="9" t="str">
        <f aca="false">IF(D1622="?OLD","!!!","")</f>
        <v/>
      </c>
      <c r="F1622" s="10" t="str">
        <f aca="false">IF(OR(E1622="",E1622="!!!"),"",IF(NOT(ISNA(VLOOKUP(E1622,E$1:E1621,1,FALSE()))),"OLD",IF(AND(E1622&lt;&gt;"",E1622&lt;&gt;"!!!"),"NEW","")))</f>
        <v/>
      </c>
      <c r="G1622" s="11" t="str">
        <f aca="false">IF(OR(E1622="",E1622="!!!"),"",IF(OR(J1622=0,AND(J1622=1,K1622=1),AND(J1622=1,I1622="SBJ"),AND(J1622=1,I1622=0)),"?IN_FOCUS",IF(J1622&lt;=2,"?ACTIVATED",IF(J1622&lt;&gt;"","?FAMILIAR",IF(F1622="NEW",IF(ISNA(VLOOKUP(E1622,#REF!,1,FALSE())),"?TYPE_IDENTIFIABLE","?REFERENTIAL"),"_")))))</f>
        <v/>
      </c>
      <c r="H1622" s="12" t="str">
        <f aca="false">IF(J1622&lt;&gt;1,"",IF(I1622="SBJ","CB","?"))</f>
        <v/>
      </c>
      <c r="I1622" s="13" t="str">
        <f aca="false">IF(OR(E1622="",E1622="!!!",F1622="NEW"),"",INDEX(B$2:B1621,-1+SUMPRODUCT(MAX(ROW(E$2:E1621)*(E1622=E$2:E1621)))))</f>
        <v/>
      </c>
      <c r="J1622" s="14" t="str">
        <f aca="true">IF(OR(E1622="",E1622="!!!",F1622="NEW"),"",COUNTBLANK(OFFSET(A$1,,,SUMPRODUCT(MAX(ROW(E$2:E1622)*(E1622=E$2:E1622)))))-COUNTBLANK(OFFSET(A$1,,,SUMPRODUCT(MAX(ROW(E$1:E1621)*(E1622=E$1:E1621))))))</f>
        <v/>
      </c>
      <c r="K1622" s="14" t="str">
        <f aca="false">IF(OR(E1622="",E1622="!!!",F1622="NEW"),"",INDEX(J$1:J1621,SUMPRODUCT(MAX(ROW(E$1:E1621)*(E1622=E$1:E1621)))))</f>
        <v/>
      </c>
      <c r="L1622" s="15"/>
    </row>
    <row r="1623" customFormat="false" ht="12.75" hidden="false" customHeight="false" outlineLevel="0" collapsed="false">
      <c r="A1623" s="0" t="s">
        <v>136</v>
      </c>
      <c r="E1623" s="9" t="str">
        <f aca="false">IF(D1623="?OLD","!!!","")</f>
        <v/>
      </c>
      <c r="F1623" s="10" t="str">
        <f aca="false">IF(OR(E1623="",E1623="!!!"),"",IF(NOT(ISNA(VLOOKUP(E1623,E$1:E1622,1,FALSE()))),"OLD",IF(AND(E1623&lt;&gt;"",E1623&lt;&gt;"!!!"),"NEW","")))</f>
        <v/>
      </c>
      <c r="G1623" s="11" t="str">
        <f aca="false">IF(OR(E1623="",E1623="!!!"),"",IF(OR(J1623=0,AND(J1623=1,K1623=1),AND(J1623=1,I1623="SBJ"),AND(J1623=1,I1623=0)),"?IN_FOCUS",IF(J1623&lt;=2,"?ACTIVATED",IF(J1623&lt;&gt;"","?FAMILIAR",IF(F1623="NEW",IF(ISNA(VLOOKUP(E1623,#REF!,1,FALSE())),"?TYPE_IDENTIFIABLE","?REFERENTIAL"),"_")))))</f>
        <v/>
      </c>
      <c r="H1623" s="12" t="str">
        <f aca="false">IF(J1623&lt;&gt;1,"",IF(I1623="SBJ","CB","?"))</f>
        <v/>
      </c>
      <c r="I1623" s="13" t="str">
        <f aca="false">IF(OR(E1623="",E1623="!!!",F1623="NEW"),"",INDEX(B$2:B1622,-1+SUMPRODUCT(MAX(ROW(E$2:E1622)*(E1623=E$2:E1622)))))</f>
        <v/>
      </c>
      <c r="J1623" s="14" t="str">
        <f aca="true">IF(OR(E1623="",E1623="!!!",F1623="NEW"),"",COUNTBLANK(OFFSET(A$1,,,SUMPRODUCT(MAX(ROW(E$2:E1623)*(E1623=E$2:E1623)))))-COUNTBLANK(OFFSET(A$1,,,SUMPRODUCT(MAX(ROW(E$1:E1622)*(E1623=E$1:E1622))))))</f>
        <v/>
      </c>
      <c r="K1623" s="14" t="str">
        <f aca="false">IF(OR(E1623="",E1623="!!!",F1623="NEW"),"",INDEX(J$1:J1622,SUMPRODUCT(MAX(ROW(E$1:E1622)*(E1623=E$1:E1622)))))</f>
        <v/>
      </c>
      <c r="L1623" s="15"/>
    </row>
    <row r="1624" customFormat="false" ht="12.75" hidden="false" customHeight="false" outlineLevel="0" collapsed="false">
      <c r="A1624" s="0" t="s">
        <v>40</v>
      </c>
      <c r="E1624" s="9" t="str">
        <f aca="false">IF(D1624="?OLD","!!!","")</f>
        <v/>
      </c>
      <c r="F1624" s="10" t="str">
        <f aca="false">IF(OR(E1624="",E1624="!!!"),"",IF(NOT(ISNA(VLOOKUP(E1624,E$1:E1623,1,FALSE()))),"OLD",IF(AND(E1624&lt;&gt;"",E1624&lt;&gt;"!!!"),"NEW","")))</f>
        <v/>
      </c>
      <c r="G1624" s="11" t="str">
        <f aca="false">IF(OR(E1624="",E1624="!!!"),"",IF(OR(J1624=0,AND(J1624=1,K1624=1),AND(J1624=1,I1624="SBJ"),AND(J1624=1,I1624=0)),"?IN_FOCUS",IF(J1624&lt;=2,"?ACTIVATED",IF(J1624&lt;&gt;"","?FAMILIAR",IF(F1624="NEW",IF(ISNA(VLOOKUP(E1624,#REF!,1,FALSE())),"?TYPE_IDENTIFIABLE","?REFERENTIAL"),"_")))))</f>
        <v/>
      </c>
      <c r="H1624" s="12" t="str">
        <f aca="false">IF(J1624&lt;&gt;1,"",IF(I1624="SBJ","CB","?"))</f>
        <v/>
      </c>
      <c r="I1624" s="13" t="str">
        <f aca="false">IF(OR(E1624="",E1624="!!!",F1624="NEW"),"",INDEX(B$2:B1623,-1+SUMPRODUCT(MAX(ROW(E$2:E1623)*(E1624=E$2:E1623)))))</f>
        <v/>
      </c>
      <c r="J1624" s="14" t="str">
        <f aca="true">IF(OR(E1624="",E1624="!!!",F1624="NEW"),"",COUNTBLANK(OFFSET(A$1,,,SUMPRODUCT(MAX(ROW(E$2:E1624)*(E1624=E$2:E1624)))))-COUNTBLANK(OFFSET(A$1,,,SUMPRODUCT(MAX(ROW(E$1:E1623)*(E1624=E$1:E1623))))))</f>
        <v/>
      </c>
      <c r="K1624" s="14" t="str">
        <f aca="false">IF(OR(E1624="",E1624="!!!",F1624="NEW"),"",INDEX(J$1:J1623,SUMPRODUCT(MAX(ROW(E$1:E1623)*(E1624=E$1:E1623)))))</f>
        <v/>
      </c>
      <c r="L1624" s="15"/>
    </row>
    <row r="1625" customFormat="false" ht="12.75" hidden="false" customHeight="false" outlineLevel="0" collapsed="false">
      <c r="A1625" s="0" t="s">
        <v>700</v>
      </c>
      <c r="B1625" s="0" t="s">
        <v>62</v>
      </c>
      <c r="C1625" s="0" t="s">
        <v>43</v>
      </c>
      <c r="E1625" s="9" t="str">
        <f aca="false">IF(D1625="?OLD","!!!","")</f>
        <v/>
      </c>
      <c r="F1625" s="10" t="str">
        <f aca="false">IF(OR(E1625="",E1625="!!!"),"",IF(NOT(ISNA(VLOOKUP(E1625,E$1:E1624,1,FALSE()))),"OLD",IF(AND(E1625&lt;&gt;"",E1625&lt;&gt;"!!!"),"NEW","")))</f>
        <v/>
      </c>
      <c r="G1625" s="11" t="str">
        <f aca="false">IF(OR(E1625="",E1625="!!!"),"",IF(OR(J1625=0,AND(J1625=1,K1625=1),AND(J1625=1,I1625="SBJ"),AND(J1625=1,I1625=0)),"?IN_FOCUS",IF(J1625&lt;=2,"?ACTIVATED",IF(J1625&lt;&gt;"","?FAMILIAR",IF(F1625="NEW",IF(ISNA(VLOOKUP(E1625,#REF!,1,FALSE())),"?TYPE_IDENTIFIABLE","?REFERENTIAL"),"_")))))</f>
        <v/>
      </c>
      <c r="H1625" s="12" t="str">
        <f aca="false">IF(J1625&lt;&gt;1,"",IF(I1625="SBJ","CB","?"))</f>
        <v/>
      </c>
      <c r="I1625" s="13" t="str">
        <f aca="false">IF(OR(E1625="",E1625="!!!",F1625="NEW"),"",INDEX(B$2:B1624,-1+SUMPRODUCT(MAX(ROW(E$2:E1624)*(E1625=E$2:E1624)))))</f>
        <v/>
      </c>
      <c r="J1625" s="14" t="str">
        <f aca="true">IF(OR(E1625="",E1625="!!!",F1625="NEW"),"",COUNTBLANK(OFFSET(A$1,,,SUMPRODUCT(MAX(ROW(E$2:E1625)*(E1625=E$2:E1625)))))-COUNTBLANK(OFFSET(A$1,,,SUMPRODUCT(MAX(ROW(E$1:E1624)*(E1625=E$1:E1624))))))</f>
        <v/>
      </c>
      <c r="K1625" s="14" t="str">
        <f aca="false">IF(OR(E1625="",E1625="!!!",F1625="NEW"),"",INDEX(J$1:J1624,SUMPRODUCT(MAX(ROW(E$1:E1624)*(E1625=E$1:E1624)))))</f>
        <v/>
      </c>
      <c r="L1625" s="15"/>
    </row>
    <row r="1626" customFormat="false" ht="12.75" hidden="false" customHeight="false" outlineLevel="0" collapsed="false">
      <c r="A1626" s="0" t="s">
        <v>19</v>
      </c>
      <c r="E1626" s="9" t="str">
        <f aca="false">IF(D1626="?OLD","!!!","")</f>
        <v/>
      </c>
      <c r="F1626" s="10" t="str">
        <f aca="false">IF(OR(E1626="",E1626="!!!"),"",IF(NOT(ISNA(VLOOKUP(E1626,E$1:E1625,1,FALSE()))),"OLD",IF(AND(E1626&lt;&gt;"",E1626&lt;&gt;"!!!"),"NEW","")))</f>
        <v/>
      </c>
      <c r="G1626" s="11" t="str">
        <f aca="false">IF(OR(E1626="",E1626="!!!"),"",IF(OR(J1626=0,AND(J1626=1,K1626=1),AND(J1626=1,I1626="SBJ"),AND(J1626=1,I1626=0)),"?IN_FOCUS",IF(J1626&lt;=2,"?ACTIVATED",IF(J1626&lt;&gt;"","?FAMILIAR",IF(F1626="NEW",IF(ISNA(VLOOKUP(E1626,#REF!,1,FALSE())),"?TYPE_IDENTIFIABLE","?REFERENTIAL"),"_")))))</f>
        <v/>
      </c>
      <c r="H1626" s="12" t="str">
        <f aca="false">IF(J1626&lt;&gt;1,"",IF(I1626="SBJ","CB","?"))</f>
        <v/>
      </c>
      <c r="I1626" s="13" t="str">
        <f aca="false">IF(OR(E1626="",E1626="!!!",F1626="NEW"),"",INDEX(B$2:B1625,-1+SUMPRODUCT(MAX(ROW(E$2:E1625)*(E1626=E$2:E1625)))))</f>
        <v/>
      </c>
      <c r="J1626" s="14" t="str">
        <f aca="true">IF(OR(E1626="",E1626="!!!",F1626="NEW"),"",COUNTBLANK(OFFSET(A$1,,,SUMPRODUCT(MAX(ROW(E$2:E1626)*(E1626=E$2:E1626)))))-COUNTBLANK(OFFSET(A$1,,,SUMPRODUCT(MAX(ROW(E$1:E1625)*(E1626=E$1:E1625))))))</f>
        <v/>
      </c>
      <c r="K1626" s="14" t="str">
        <f aca="false">IF(OR(E1626="",E1626="!!!",F1626="NEW"),"",INDEX(J$1:J1625,SUMPRODUCT(MAX(ROW(E$1:E1625)*(E1626=E$1:E1625)))))</f>
        <v/>
      </c>
      <c r="L1626" s="15"/>
    </row>
    <row r="1627" customFormat="false" ht="12.75" hidden="false" customHeight="false" outlineLevel="0" collapsed="false">
      <c r="A1627" s="0" t="s">
        <v>373</v>
      </c>
      <c r="E1627" s="9" t="str">
        <f aca="false">IF(D1627="?OLD","!!!","")</f>
        <v/>
      </c>
      <c r="F1627" s="10" t="str">
        <f aca="false">IF(OR(E1627="",E1627="!!!"),"",IF(NOT(ISNA(VLOOKUP(E1627,E$1:E1626,1,FALSE()))),"OLD",IF(AND(E1627&lt;&gt;"",E1627&lt;&gt;"!!!"),"NEW","")))</f>
        <v/>
      </c>
      <c r="G1627" s="11" t="str">
        <f aca="false">IF(OR(E1627="",E1627="!!!"),"",IF(OR(J1627=0,AND(J1627=1,K1627=1),AND(J1627=1,I1627="SBJ"),AND(J1627=1,I1627=0)),"?IN_FOCUS",IF(J1627&lt;=2,"?ACTIVATED",IF(J1627&lt;&gt;"","?FAMILIAR",IF(F1627="NEW",IF(ISNA(VLOOKUP(E1627,#REF!,1,FALSE())),"?TYPE_IDENTIFIABLE","?REFERENTIAL"),"_")))))</f>
        <v/>
      </c>
      <c r="H1627" s="12" t="str">
        <f aca="false">IF(J1627&lt;&gt;1,"",IF(I1627="SBJ","CB","?"))</f>
        <v/>
      </c>
      <c r="I1627" s="13" t="str">
        <f aca="false">IF(OR(E1627="",E1627="!!!",F1627="NEW"),"",INDEX(B$2:B1626,-1+SUMPRODUCT(MAX(ROW(E$2:E1626)*(E1627=E$2:E1626)))))</f>
        <v/>
      </c>
      <c r="J1627" s="14" t="str">
        <f aca="true">IF(OR(E1627="",E1627="!!!",F1627="NEW"),"",COUNTBLANK(OFFSET(A$1,,,SUMPRODUCT(MAX(ROW(E$2:E1627)*(E1627=E$2:E1627)))))-COUNTBLANK(OFFSET(A$1,,,SUMPRODUCT(MAX(ROW(E$1:E1626)*(E1627=E$1:E1626))))))</f>
        <v/>
      </c>
      <c r="K1627" s="14" t="str">
        <f aca="false">IF(OR(E1627="",E1627="!!!",F1627="NEW"),"",INDEX(J$1:J1626,SUMPRODUCT(MAX(ROW(E$1:E1626)*(E1627=E$1:E1626)))))</f>
        <v/>
      </c>
      <c r="L1627" s="15"/>
    </row>
    <row r="1628" customFormat="false" ht="12.75" hidden="false" customHeight="false" outlineLevel="0" collapsed="false">
      <c r="A1628" s="0" t="s">
        <v>701</v>
      </c>
      <c r="B1628" s="0" t="s">
        <v>28</v>
      </c>
      <c r="C1628" s="0" t="s">
        <v>43</v>
      </c>
      <c r="E1628" s="9" t="str">
        <f aca="false">IF(D1628="?OLD","!!!","")</f>
        <v/>
      </c>
      <c r="F1628" s="10" t="str">
        <f aca="false">IF(OR(E1628="",E1628="!!!"),"",IF(NOT(ISNA(VLOOKUP(E1628,E$1:E1627,1,FALSE()))),"OLD",IF(AND(E1628&lt;&gt;"",E1628&lt;&gt;"!!!"),"NEW","")))</f>
        <v/>
      </c>
      <c r="G1628" s="11" t="str">
        <f aca="false">IF(OR(E1628="",E1628="!!!"),"",IF(OR(J1628=0,AND(J1628=1,K1628=1),AND(J1628=1,I1628="SBJ"),AND(J1628=1,I1628=0)),"?IN_FOCUS",IF(J1628&lt;=2,"?ACTIVATED",IF(J1628&lt;&gt;"","?FAMILIAR",IF(F1628="NEW",IF(ISNA(VLOOKUP(E1628,#REF!,1,FALSE())),"?TYPE_IDENTIFIABLE","?REFERENTIAL"),"_")))))</f>
        <v/>
      </c>
      <c r="H1628" s="12" t="str">
        <f aca="false">IF(J1628&lt;&gt;1,"",IF(I1628="SBJ","CB","?"))</f>
        <v/>
      </c>
      <c r="I1628" s="13" t="str">
        <f aca="false">IF(OR(E1628="",E1628="!!!",F1628="NEW"),"",INDEX(B$2:B1627,-1+SUMPRODUCT(MAX(ROW(E$2:E1627)*(E1628=E$2:E1627)))))</f>
        <v/>
      </c>
      <c r="J1628" s="14" t="str">
        <f aca="true">IF(OR(E1628="",E1628="!!!",F1628="NEW"),"",COUNTBLANK(OFFSET(A$1,,,SUMPRODUCT(MAX(ROW(E$2:E1628)*(E1628=E$2:E1628)))))-COUNTBLANK(OFFSET(A$1,,,SUMPRODUCT(MAX(ROW(E$1:E1627)*(E1628=E$1:E1627))))))</f>
        <v/>
      </c>
      <c r="K1628" s="14" t="str">
        <f aca="false">IF(OR(E1628="",E1628="!!!",F1628="NEW"),"",INDEX(J$1:J1627,SUMPRODUCT(MAX(ROW(E$1:E1627)*(E1628=E$1:E1627)))))</f>
        <v/>
      </c>
      <c r="L1628" s="15"/>
    </row>
    <row r="1629" customFormat="false" ht="12.75" hidden="false" customHeight="false" outlineLevel="0" collapsed="false">
      <c r="A1629" s="0" t="s">
        <v>66</v>
      </c>
      <c r="E1629" s="9" t="str">
        <f aca="false">IF(D1629="?OLD","!!!","")</f>
        <v/>
      </c>
      <c r="F1629" s="10" t="str">
        <f aca="false">IF(OR(E1629="",E1629="!!!"),"",IF(NOT(ISNA(VLOOKUP(E1629,E$1:E1628,1,FALSE()))),"OLD",IF(AND(E1629&lt;&gt;"",E1629&lt;&gt;"!!!"),"NEW","")))</f>
        <v/>
      </c>
      <c r="G1629" s="11" t="str">
        <f aca="false">IF(OR(E1629="",E1629="!!!"),"",IF(OR(J1629=0,AND(J1629=1,K1629=1),AND(J1629=1,I1629="SBJ"),AND(J1629=1,I1629=0)),"?IN_FOCUS",IF(J1629&lt;=2,"?ACTIVATED",IF(J1629&lt;&gt;"","?FAMILIAR",IF(F1629="NEW",IF(ISNA(VLOOKUP(E1629,#REF!,1,FALSE())),"?TYPE_IDENTIFIABLE","?REFERENTIAL"),"_")))))</f>
        <v/>
      </c>
      <c r="H1629" s="12" t="str">
        <f aca="false">IF(J1629&lt;&gt;1,"",IF(I1629="SBJ","CB","?"))</f>
        <v/>
      </c>
      <c r="I1629" s="13" t="str">
        <f aca="false">IF(OR(E1629="",E1629="!!!",F1629="NEW"),"",INDEX(B$2:B1628,-1+SUMPRODUCT(MAX(ROW(E$2:E1628)*(E1629=E$2:E1628)))))</f>
        <v/>
      </c>
      <c r="J1629" s="14" t="str">
        <f aca="true">IF(OR(E1629="",E1629="!!!",F1629="NEW"),"",COUNTBLANK(OFFSET(A$1,,,SUMPRODUCT(MAX(ROW(E$2:E1629)*(E1629=E$2:E1629)))))-COUNTBLANK(OFFSET(A$1,,,SUMPRODUCT(MAX(ROW(E$1:E1628)*(E1629=E$1:E1628))))))</f>
        <v/>
      </c>
      <c r="K1629" s="14" t="str">
        <f aca="false">IF(OR(E1629="",E1629="!!!",F1629="NEW"),"",INDEX(J$1:J1628,SUMPRODUCT(MAX(ROW(E$1:E1628)*(E1629=E$1:E1628)))))</f>
        <v/>
      </c>
      <c r="L1629" s="15"/>
    </row>
    <row r="1630" customFormat="false" ht="12.75" hidden="false" customHeight="false" outlineLevel="0" collapsed="false">
      <c r="A1630" s="0" t="s">
        <v>433</v>
      </c>
      <c r="B1630" s="0" t="s">
        <v>14</v>
      </c>
      <c r="C1630" s="0" t="s">
        <v>111</v>
      </c>
      <c r="D1630" s="0" t="s">
        <v>29</v>
      </c>
      <c r="E1630" s="9" t="str">
        <f aca="false">IF(D1630="?OLD","!!!","")</f>
        <v>!!!</v>
      </c>
      <c r="F1630" s="10" t="str">
        <f aca="false">IF(OR(E1630="",E1630="!!!"),"",IF(NOT(ISNA(VLOOKUP(E1630,E$1:E1629,1,FALSE()))),"OLD",IF(AND(E1630&lt;&gt;"",E1630&lt;&gt;"!!!"),"NEW","")))</f>
        <v/>
      </c>
      <c r="G1630" s="11" t="str">
        <f aca="false">IF(OR(E1630="",E1630="!!!"),"",IF(OR(J1630=0,AND(J1630=1,K1630=1),AND(J1630=1,I1630="SBJ"),AND(J1630=1,I1630=0)),"?IN_FOCUS",IF(J1630&lt;=2,"?ACTIVATED",IF(J1630&lt;&gt;"","?FAMILIAR",IF(F1630="NEW",IF(ISNA(VLOOKUP(E1630,#REF!,1,FALSE())),"?TYPE_IDENTIFIABLE","?REFERENTIAL"),"_")))))</f>
        <v/>
      </c>
      <c r="H1630" s="12" t="str">
        <f aca="false">IF(J1630&lt;&gt;1,"",IF(I1630="SBJ","CB","?"))</f>
        <v/>
      </c>
      <c r="I1630" s="13" t="str">
        <f aca="false">IF(OR(E1630="",E1630="!!!",F1630="NEW"),"",INDEX(B$2:B1629,-1+SUMPRODUCT(MAX(ROW(E$2:E1629)*(E1630=E$2:E1629)))))</f>
        <v/>
      </c>
      <c r="J1630" s="14" t="str">
        <f aca="true">IF(OR(E1630="",E1630="!!!",F1630="NEW"),"",COUNTBLANK(OFFSET(A$1,,,SUMPRODUCT(MAX(ROW(E$2:E1630)*(E1630=E$2:E1630)))))-COUNTBLANK(OFFSET(A$1,,,SUMPRODUCT(MAX(ROW(E$1:E1629)*(E1630=E$1:E1629))))))</f>
        <v/>
      </c>
      <c r="K1630" s="14" t="str">
        <f aca="false">IF(OR(E1630="",E1630="!!!",F1630="NEW"),"",INDEX(J$1:J1629,SUMPRODUCT(MAX(ROW(E$1:E1629)*(E1630=E$1:E1629)))))</f>
        <v/>
      </c>
      <c r="L1630" s="15"/>
    </row>
    <row r="1631" customFormat="false" ht="12.75" hidden="false" customHeight="false" outlineLevel="0" collapsed="false">
      <c r="A1631" s="0" t="s">
        <v>367</v>
      </c>
      <c r="E1631" s="9" t="str">
        <f aca="false">IF(D1631="?OLD","!!!","")</f>
        <v/>
      </c>
      <c r="F1631" s="10" t="str">
        <f aca="false">IF(OR(E1631="",E1631="!!!"),"",IF(NOT(ISNA(VLOOKUP(E1631,E$1:E1630,1,FALSE()))),"OLD",IF(AND(E1631&lt;&gt;"",E1631&lt;&gt;"!!!"),"NEW","")))</f>
        <v/>
      </c>
      <c r="G1631" s="11" t="str">
        <f aca="false">IF(OR(E1631="",E1631="!!!"),"",IF(OR(J1631=0,AND(J1631=1,K1631=1),AND(J1631=1,I1631="SBJ"),AND(J1631=1,I1631=0)),"?IN_FOCUS",IF(J1631&lt;=2,"?ACTIVATED",IF(J1631&lt;&gt;"","?FAMILIAR",IF(F1631="NEW",IF(ISNA(VLOOKUP(E1631,#REF!,1,FALSE())),"?TYPE_IDENTIFIABLE","?REFERENTIAL"),"_")))))</f>
        <v/>
      </c>
      <c r="H1631" s="12" t="str">
        <f aca="false">IF(J1631&lt;&gt;1,"",IF(I1631="SBJ","CB","?"))</f>
        <v/>
      </c>
      <c r="I1631" s="13" t="str">
        <f aca="false">IF(OR(E1631="",E1631="!!!",F1631="NEW"),"",INDEX(B$2:B1630,-1+SUMPRODUCT(MAX(ROW(E$2:E1630)*(E1631=E$2:E1630)))))</f>
        <v/>
      </c>
      <c r="J1631" s="14" t="str">
        <f aca="true">IF(OR(E1631="",E1631="!!!",F1631="NEW"),"",COUNTBLANK(OFFSET(A$1,,,SUMPRODUCT(MAX(ROW(E$2:E1631)*(E1631=E$2:E1631)))))-COUNTBLANK(OFFSET(A$1,,,SUMPRODUCT(MAX(ROW(E$1:E1630)*(E1631=E$1:E1630))))))</f>
        <v/>
      </c>
      <c r="K1631" s="14" t="str">
        <f aca="false">IF(OR(E1631="",E1631="!!!",F1631="NEW"),"",INDEX(J$1:J1630,SUMPRODUCT(MAX(ROW(E$1:E1630)*(E1631=E$1:E1630)))))</f>
        <v/>
      </c>
      <c r="L1631" s="15"/>
    </row>
    <row r="1632" customFormat="false" ht="12.75" hidden="false" customHeight="false" outlineLevel="0" collapsed="false">
      <c r="A1632" s="0" t="s">
        <v>168</v>
      </c>
      <c r="E1632" s="9" t="str">
        <f aca="false">IF(D1632="?OLD","!!!","")</f>
        <v/>
      </c>
      <c r="F1632" s="10" t="str">
        <f aca="false">IF(OR(E1632="",E1632="!!!"),"",IF(NOT(ISNA(VLOOKUP(E1632,E$1:E1631,1,FALSE()))),"OLD",IF(AND(E1632&lt;&gt;"",E1632&lt;&gt;"!!!"),"NEW","")))</f>
        <v/>
      </c>
      <c r="G1632" s="11" t="str">
        <f aca="false">IF(OR(E1632="",E1632="!!!"),"",IF(OR(J1632=0,AND(J1632=1,K1632=1),AND(J1632=1,I1632="SBJ"),AND(J1632=1,I1632=0)),"?IN_FOCUS",IF(J1632&lt;=2,"?ACTIVATED",IF(J1632&lt;&gt;"","?FAMILIAR",IF(F1632="NEW",IF(ISNA(VLOOKUP(E1632,#REF!,1,FALSE())),"?TYPE_IDENTIFIABLE","?REFERENTIAL"),"_")))))</f>
        <v/>
      </c>
      <c r="H1632" s="12" t="str">
        <f aca="false">IF(J1632&lt;&gt;1,"",IF(I1632="SBJ","CB","?"))</f>
        <v/>
      </c>
      <c r="I1632" s="13" t="str">
        <f aca="false">IF(OR(E1632="",E1632="!!!",F1632="NEW"),"",INDEX(B$2:B1631,-1+SUMPRODUCT(MAX(ROW(E$2:E1631)*(E1632=E$2:E1631)))))</f>
        <v/>
      </c>
      <c r="J1632" s="14" t="str">
        <f aca="true">IF(OR(E1632="",E1632="!!!",F1632="NEW"),"",COUNTBLANK(OFFSET(A$1,,,SUMPRODUCT(MAX(ROW(E$2:E1632)*(E1632=E$2:E1632)))))-COUNTBLANK(OFFSET(A$1,,,SUMPRODUCT(MAX(ROW(E$1:E1631)*(E1632=E$1:E1631))))))</f>
        <v/>
      </c>
      <c r="K1632" s="14" t="str">
        <f aca="false">IF(OR(E1632="",E1632="!!!",F1632="NEW"),"",INDEX(J$1:J1631,SUMPRODUCT(MAX(ROW(E$1:E1631)*(E1632=E$1:E1631)))))</f>
        <v/>
      </c>
      <c r="L1632" s="15"/>
    </row>
    <row r="1633" customFormat="false" ht="12.75" hidden="false" customHeight="false" outlineLevel="0" collapsed="false">
      <c r="A1633" s="0" t="s">
        <v>659</v>
      </c>
      <c r="E1633" s="9" t="str">
        <f aca="false">IF(D1633="?OLD","!!!","")</f>
        <v/>
      </c>
      <c r="F1633" s="10" t="str">
        <f aca="false">IF(OR(E1633="",E1633="!!!"),"",IF(NOT(ISNA(VLOOKUP(E1633,E$1:E1632,1,FALSE()))),"OLD",IF(AND(E1633&lt;&gt;"",E1633&lt;&gt;"!!!"),"NEW","")))</f>
        <v/>
      </c>
      <c r="G1633" s="11" t="str">
        <f aca="false">IF(OR(E1633="",E1633="!!!"),"",IF(OR(J1633=0,AND(J1633=1,K1633=1),AND(J1633=1,I1633="SBJ"),AND(J1633=1,I1633=0)),"?IN_FOCUS",IF(J1633&lt;=2,"?ACTIVATED",IF(J1633&lt;&gt;"","?FAMILIAR",IF(F1633="NEW",IF(ISNA(VLOOKUP(E1633,#REF!,1,FALSE())),"?TYPE_IDENTIFIABLE","?REFERENTIAL"),"_")))))</f>
        <v/>
      </c>
      <c r="H1633" s="12" t="str">
        <f aca="false">IF(J1633&lt;&gt;1,"",IF(I1633="SBJ","CB","?"))</f>
        <v/>
      </c>
      <c r="I1633" s="13" t="str">
        <f aca="false">IF(OR(E1633="",E1633="!!!",F1633="NEW"),"",INDEX(B$2:B1632,-1+SUMPRODUCT(MAX(ROW(E$2:E1632)*(E1633=E$2:E1632)))))</f>
        <v/>
      </c>
      <c r="J1633" s="14" t="str">
        <f aca="true">IF(OR(E1633="",E1633="!!!",F1633="NEW"),"",COUNTBLANK(OFFSET(A$1,,,SUMPRODUCT(MAX(ROW(E$2:E1633)*(E1633=E$2:E1633)))))-COUNTBLANK(OFFSET(A$1,,,SUMPRODUCT(MAX(ROW(E$1:E1632)*(E1633=E$1:E1632))))))</f>
        <v/>
      </c>
      <c r="K1633" s="14" t="str">
        <f aca="false">IF(OR(E1633="",E1633="!!!",F1633="NEW"),"",INDEX(J$1:J1632,SUMPRODUCT(MAX(ROW(E$1:E1632)*(E1633=E$1:E1632)))))</f>
        <v/>
      </c>
      <c r="L1633" s="15"/>
    </row>
    <row r="1634" customFormat="false" ht="12.75" hidden="false" customHeight="false" outlineLevel="0" collapsed="false">
      <c r="A1634" s="0" t="s">
        <v>73</v>
      </c>
      <c r="E1634" s="9" t="str">
        <f aca="false">IF(D1634="?OLD","!!!","")</f>
        <v/>
      </c>
      <c r="F1634" s="10" t="str">
        <f aca="false">IF(OR(E1634="",E1634="!!!"),"",IF(NOT(ISNA(VLOOKUP(E1634,E$1:E1633,1,FALSE()))),"OLD",IF(AND(E1634&lt;&gt;"",E1634&lt;&gt;"!!!"),"NEW","")))</f>
        <v/>
      </c>
      <c r="G1634" s="11" t="str">
        <f aca="false">IF(OR(E1634="",E1634="!!!"),"",IF(OR(J1634=0,AND(J1634=1,K1634=1),AND(J1634=1,I1634="SBJ"),AND(J1634=1,I1634=0)),"?IN_FOCUS",IF(J1634&lt;=2,"?ACTIVATED",IF(J1634&lt;&gt;"","?FAMILIAR",IF(F1634="NEW",IF(ISNA(VLOOKUP(E1634,#REF!,1,FALSE())),"?TYPE_IDENTIFIABLE","?REFERENTIAL"),"_")))))</f>
        <v/>
      </c>
      <c r="H1634" s="12" t="str">
        <f aca="false">IF(J1634&lt;&gt;1,"",IF(I1634="SBJ","CB","?"))</f>
        <v/>
      </c>
      <c r="I1634" s="13" t="str">
        <f aca="false">IF(OR(E1634="",E1634="!!!",F1634="NEW"),"",INDEX(B$2:B1633,-1+SUMPRODUCT(MAX(ROW(E$2:E1633)*(E1634=E$2:E1633)))))</f>
        <v/>
      </c>
      <c r="J1634" s="14" t="str">
        <f aca="true">IF(OR(E1634="",E1634="!!!",F1634="NEW"),"",COUNTBLANK(OFFSET(A$1,,,SUMPRODUCT(MAX(ROW(E$2:E1634)*(E1634=E$2:E1634)))))-COUNTBLANK(OFFSET(A$1,,,SUMPRODUCT(MAX(ROW(E$1:E1633)*(E1634=E$1:E1633))))))</f>
        <v/>
      </c>
      <c r="K1634" s="14" t="str">
        <f aca="false">IF(OR(E1634="",E1634="!!!",F1634="NEW"),"",INDEX(J$1:J1633,SUMPRODUCT(MAX(ROW(E$1:E1633)*(E1634=E$1:E1633)))))</f>
        <v/>
      </c>
      <c r="L1634" s="15"/>
    </row>
    <row r="1635" customFormat="false" ht="12.75" hidden="false" customHeight="false" outlineLevel="0" collapsed="false">
      <c r="E1635" s="9" t="str">
        <f aca="false">IF(D1635="?OLD","!!!","")</f>
        <v/>
      </c>
      <c r="F1635" s="10" t="str">
        <f aca="false">IF(OR(E1635="",E1635="!!!"),"",IF(NOT(ISNA(VLOOKUP(E1635,E$1:E1634,1,FALSE()))),"OLD",IF(AND(E1635&lt;&gt;"",E1635&lt;&gt;"!!!"),"NEW","")))</f>
        <v/>
      </c>
      <c r="G1635" s="11" t="str">
        <f aca="false">IF(OR(E1635="",E1635="!!!"),"",IF(OR(J1635=0,AND(J1635=1,K1635=1),AND(J1635=1,I1635="SBJ"),AND(J1635=1,I1635=0)),"?IN_FOCUS",IF(J1635&lt;=2,"?ACTIVATED",IF(J1635&lt;&gt;"","?FAMILIAR",IF(F1635="NEW",IF(ISNA(VLOOKUP(E1635,#REF!,1,FALSE())),"?TYPE_IDENTIFIABLE","?REFERENTIAL"),"_")))))</f>
        <v/>
      </c>
      <c r="H1635" s="12" t="str">
        <f aca="false">IF(J1635&lt;&gt;1,"",IF(I1635="SBJ","CB","?"))</f>
        <v/>
      </c>
      <c r="I1635" s="13" t="str">
        <f aca="false">IF(OR(E1635="",E1635="!!!",F1635="NEW"),"",INDEX(B$2:B1634,-1+SUMPRODUCT(MAX(ROW(E$2:E1634)*(E1635=E$2:E1634)))))</f>
        <v/>
      </c>
      <c r="J1635" s="14" t="str">
        <f aca="true">IF(OR(E1635="",E1635="!!!",F1635="NEW"),"",COUNTBLANK(OFFSET(A$1,,,SUMPRODUCT(MAX(ROW(E$2:E1635)*(E1635=E$2:E1635)))))-COUNTBLANK(OFFSET(A$1,,,SUMPRODUCT(MAX(ROW(E$1:E1634)*(E1635=E$1:E1634))))))</f>
        <v/>
      </c>
      <c r="K1635" s="14" t="str">
        <f aca="false">IF(OR(E1635="",E1635="!!!",F1635="NEW"),"",INDEX(J$1:J1634,SUMPRODUCT(MAX(ROW(E$1:E1634)*(E1635=E$1:E1634)))))</f>
        <v/>
      </c>
      <c r="L1635" s="15"/>
    </row>
    <row r="1636" customFormat="false" ht="12.75" hidden="false" customHeight="false" outlineLevel="0" collapsed="false">
      <c r="A1636" s="0" t="s">
        <v>260</v>
      </c>
      <c r="E1636" s="9" t="str">
        <f aca="false">IF(D1636="?OLD","!!!","")</f>
        <v/>
      </c>
      <c r="F1636" s="10" t="str">
        <f aca="false">IF(OR(E1636="",E1636="!!!"),"",IF(NOT(ISNA(VLOOKUP(E1636,E$1:E1635,1,FALSE()))),"OLD",IF(AND(E1636&lt;&gt;"",E1636&lt;&gt;"!!!"),"NEW","")))</f>
        <v/>
      </c>
      <c r="G1636" s="11" t="str">
        <f aca="false">IF(OR(E1636="",E1636="!!!"),"",IF(OR(J1636=0,AND(J1636=1,K1636=1),AND(J1636=1,I1636="SBJ"),AND(J1636=1,I1636=0)),"?IN_FOCUS",IF(J1636&lt;=2,"?ACTIVATED",IF(J1636&lt;&gt;"","?FAMILIAR",IF(F1636="NEW",IF(ISNA(VLOOKUP(E1636,#REF!,1,FALSE())),"?TYPE_IDENTIFIABLE","?REFERENTIAL"),"_")))))</f>
        <v/>
      </c>
      <c r="H1636" s="12" t="str">
        <f aca="false">IF(J1636&lt;&gt;1,"",IF(I1636="SBJ","CB","?"))</f>
        <v/>
      </c>
      <c r="I1636" s="13" t="str">
        <f aca="false">IF(OR(E1636="",E1636="!!!",F1636="NEW"),"",INDEX(B$2:B1635,-1+SUMPRODUCT(MAX(ROW(E$2:E1635)*(E1636=E$2:E1635)))))</f>
        <v/>
      </c>
      <c r="J1636" s="14" t="str">
        <f aca="true">IF(OR(E1636="",E1636="!!!",F1636="NEW"),"",COUNTBLANK(OFFSET(A$1,,,SUMPRODUCT(MAX(ROW(E$2:E1636)*(E1636=E$2:E1636)))))-COUNTBLANK(OFFSET(A$1,,,SUMPRODUCT(MAX(ROW(E$1:E1635)*(E1636=E$1:E1635))))))</f>
        <v/>
      </c>
      <c r="K1636" s="14" t="str">
        <f aca="false">IF(OR(E1636="",E1636="!!!",F1636="NEW"),"",INDEX(J$1:J1635,SUMPRODUCT(MAX(ROW(E$1:E1635)*(E1636=E$1:E1635)))))</f>
        <v/>
      </c>
      <c r="L1636" s="15"/>
    </row>
    <row r="1637" customFormat="false" ht="12.75" hidden="false" customHeight="false" outlineLevel="0" collapsed="false">
      <c r="A1637" s="0" t="s">
        <v>702</v>
      </c>
      <c r="E1637" s="9" t="str">
        <f aca="false">IF(D1637="?OLD","!!!","")</f>
        <v/>
      </c>
      <c r="F1637" s="10" t="str">
        <f aca="false">IF(OR(E1637="",E1637="!!!"),"",IF(NOT(ISNA(VLOOKUP(E1637,E$1:E1636,1,FALSE()))),"OLD",IF(AND(E1637&lt;&gt;"",E1637&lt;&gt;"!!!"),"NEW","")))</f>
        <v/>
      </c>
      <c r="G1637" s="11" t="str">
        <f aca="false">IF(OR(E1637="",E1637="!!!"),"",IF(OR(J1637=0,AND(J1637=1,K1637=1),AND(J1637=1,I1637="SBJ"),AND(J1637=1,I1637=0)),"?IN_FOCUS",IF(J1637&lt;=2,"?ACTIVATED",IF(J1637&lt;&gt;"","?FAMILIAR",IF(F1637="NEW",IF(ISNA(VLOOKUP(E1637,#REF!,1,FALSE())),"?TYPE_IDENTIFIABLE","?REFERENTIAL"),"_")))))</f>
        <v/>
      </c>
      <c r="H1637" s="12" t="str">
        <f aca="false">IF(J1637&lt;&gt;1,"",IF(I1637="SBJ","CB","?"))</f>
        <v/>
      </c>
      <c r="I1637" s="13" t="str">
        <f aca="false">IF(OR(E1637="",E1637="!!!",F1637="NEW"),"",INDEX(B$2:B1636,-1+SUMPRODUCT(MAX(ROW(E$2:E1636)*(E1637=E$2:E1636)))))</f>
        <v/>
      </c>
      <c r="J1637" s="14" t="str">
        <f aca="true">IF(OR(E1637="",E1637="!!!",F1637="NEW"),"",COUNTBLANK(OFFSET(A$1,,,SUMPRODUCT(MAX(ROW(E$2:E1637)*(E1637=E$2:E1637)))))-COUNTBLANK(OFFSET(A$1,,,SUMPRODUCT(MAX(ROW(E$1:E1636)*(E1637=E$1:E1636))))))</f>
        <v/>
      </c>
      <c r="K1637" s="14" t="str">
        <f aca="false">IF(OR(E1637="",E1637="!!!",F1637="NEW"),"",INDEX(J$1:J1636,SUMPRODUCT(MAX(ROW(E$1:E1636)*(E1637=E$1:E1636)))))</f>
        <v/>
      </c>
      <c r="L1637" s="15"/>
    </row>
    <row r="1638" customFormat="false" ht="12.75" hidden="false" customHeight="false" outlineLevel="0" collapsed="false">
      <c r="A1638" s="0" t="s">
        <v>703</v>
      </c>
      <c r="E1638" s="9" t="str">
        <f aca="false">IF(D1638="?OLD","!!!","")</f>
        <v/>
      </c>
      <c r="F1638" s="10" t="str">
        <f aca="false">IF(OR(E1638="",E1638="!!!"),"",IF(NOT(ISNA(VLOOKUP(E1638,E$1:E1637,1,FALSE()))),"OLD",IF(AND(E1638&lt;&gt;"",E1638&lt;&gt;"!!!"),"NEW","")))</f>
        <v/>
      </c>
      <c r="G1638" s="11" t="str">
        <f aca="false">IF(OR(E1638="",E1638="!!!"),"",IF(OR(J1638=0,AND(J1638=1,K1638=1),AND(J1638=1,I1638="SBJ"),AND(J1638=1,I1638=0)),"?IN_FOCUS",IF(J1638&lt;=2,"?ACTIVATED",IF(J1638&lt;&gt;"","?FAMILIAR",IF(F1638="NEW",IF(ISNA(VLOOKUP(E1638,#REF!,1,FALSE())),"?TYPE_IDENTIFIABLE","?REFERENTIAL"),"_")))))</f>
        <v/>
      </c>
      <c r="H1638" s="12" t="str">
        <f aca="false">IF(J1638&lt;&gt;1,"",IF(I1638="SBJ","CB","?"))</f>
        <v/>
      </c>
      <c r="I1638" s="13" t="str">
        <f aca="false">IF(OR(E1638="",E1638="!!!",F1638="NEW"),"",INDEX(B$2:B1637,-1+SUMPRODUCT(MAX(ROW(E$2:E1637)*(E1638=E$2:E1637)))))</f>
        <v/>
      </c>
      <c r="J1638" s="14" t="str">
        <f aca="true">IF(OR(E1638="",E1638="!!!",F1638="NEW"),"",COUNTBLANK(OFFSET(A$1,,,SUMPRODUCT(MAX(ROW(E$2:E1638)*(E1638=E$2:E1638)))))-COUNTBLANK(OFFSET(A$1,,,SUMPRODUCT(MAX(ROW(E$1:E1637)*(E1638=E$1:E1637))))))</f>
        <v/>
      </c>
      <c r="K1638" s="14" t="str">
        <f aca="false">IF(OR(E1638="",E1638="!!!",F1638="NEW"),"",INDEX(J$1:J1637,SUMPRODUCT(MAX(ROW(E$1:E1637)*(E1638=E$1:E1637)))))</f>
        <v/>
      </c>
      <c r="L1638" s="15"/>
    </row>
    <row r="1639" customFormat="false" ht="12.75" hidden="false" customHeight="false" outlineLevel="0" collapsed="false">
      <c r="A1639" s="0" t="s">
        <v>619</v>
      </c>
      <c r="E1639" s="9" t="str">
        <f aca="false">IF(D1639="?OLD","!!!","")</f>
        <v/>
      </c>
      <c r="F1639" s="10" t="str">
        <f aca="false">IF(OR(E1639="",E1639="!!!"),"",IF(NOT(ISNA(VLOOKUP(E1639,E$1:E1638,1,FALSE()))),"OLD",IF(AND(E1639&lt;&gt;"",E1639&lt;&gt;"!!!"),"NEW","")))</f>
        <v/>
      </c>
      <c r="G1639" s="11" t="str">
        <f aca="false">IF(OR(E1639="",E1639="!!!"),"",IF(OR(J1639=0,AND(J1639=1,K1639=1),AND(J1639=1,I1639="SBJ"),AND(J1639=1,I1639=0)),"?IN_FOCUS",IF(J1639&lt;=2,"?ACTIVATED",IF(J1639&lt;&gt;"","?FAMILIAR",IF(F1639="NEW",IF(ISNA(VLOOKUP(E1639,#REF!,1,FALSE())),"?TYPE_IDENTIFIABLE","?REFERENTIAL"),"_")))))</f>
        <v/>
      </c>
      <c r="H1639" s="12" t="str">
        <f aca="false">IF(J1639&lt;&gt;1,"",IF(I1639="SBJ","CB","?"))</f>
        <v/>
      </c>
      <c r="I1639" s="13" t="str">
        <f aca="false">IF(OR(E1639="",E1639="!!!",F1639="NEW"),"",INDEX(B$2:B1638,-1+SUMPRODUCT(MAX(ROW(E$2:E1638)*(E1639=E$2:E1638)))))</f>
        <v/>
      </c>
      <c r="J1639" s="14" t="str">
        <f aca="true">IF(OR(E1639="",E1639="!!!",F1639="NEW"),"",COUNTBLANK(OFFSET(A$1,,,SUMPRODUCT(MAX(ROW(E$2:E1639)*(E1639=E$2:E1639)))))-COUNTBLANK(OFFSET(A$1,,,SUMPRODUCT(MAX(ROW(E$1:E1638)*(E1639=E$1:E1638))))))</f>
        <v/>
      </c>
      <c r="K1639" s="14" t="str">
        <f aca="false">IF(OR(E1639="",E1639="!!!",F1639="NEW"),"",INDEX(J$1:J1638,SUMPRODUCT(MAX(ROW(E$1:E1638)*(E1639=E$1:E1638)))))</f>
        <v/>
      </c>
      <c r="L1639" s="15"/>
    </row>
    <row r="1640" customFormat="false" ht="12.75" hidden="false" customHeight="false" outlineLevel="0" collapsed="false">
      <c r="A1640" s="0" t="s">
        <v>373</v>
      </c>
      <c r="E1640" s="9" t="str">
        <f aca="false">IF(D1640="?OLD","!!!","")</f>
        <v/>
      </c>
      <c r="F1640" s="10" t="str">
        <f aca="false">IF(OR(E1640="",E1640="!!!"),"",IF(NOT(ISNA(VLOOKUP(E1640,E$1:E1639,1,FALSE()))),"OLD",IF(AND(E1640&lt;&gt;"",E1640&lt;&gt;"!!!"),"NEW","")))</f>
        <v/>
      </c>
      <c r="G1640" s="11" t="str">
        <f aca="false">IF(OR(E1640="",E1640="!!!"),"",IF(OR(J1640=0,AND(J1640=1,K1640=1),AND(J1640=1,I1640="SBJ"),AND(J1640=1,I1640=0)),"?IN_FOCUS",IF(J1640&lt;=2,"?ACTIVATED",IF(J1640&lt;&gt;"","?FAMILIAR",IF(F1640="NEW",IF(ISNA(VLOOKUP(E1640,#REF!,1,FALSE())),"?TYPE_IDENTIFIABLE","?REFERENTIAL"),"_")))))</f>
        <v/>
      </c>
      <c r="H1640" s="12" t="str">
        <f aca="false">IF(J1640&lt;&gt;1,"",IF(I1640="SBJ","CB","?"))</f>
        <v/>
      </c>
      <c r="I1640" s="13" t="str">
        <f aca="false">IF(OR(E1640="",E1640="!!!",F1640="NEW"),"",INDEX(B$2:B1639,-1+SUMPRODUCT(MAX(ROW(E$2:E1639)*(E1640=E$2:E1639)))))</f>
        <v/>
      </c>
      <c r="J1640" s="14" t="str">
        <f aca="true">IF(OR(E1640="",E1640="!!!",F1640="NEW"),"",COUNTBLANK(OFFSET(A$1,,,SUMPRODUCT(MAX(ROW(E$2:E1640)*(E1640=E$2:E1640)))))-COUNTBLANK(OFFSET(A$1,,,SUMPRODUCT(MAX(ROW(E$1:E1639)*(E1640=E$1:E1639))))))</f>
        <v/>
      </c>
      <c r="K1640" s="14" t="str">
        <f aca="false">IF(OR(E1640="",E1640="!!!",F1640="NEW"),"",INDEX(J$1:J1639,SUMPRODUCT(MAX(ROW(E$1:E1639)*(E1640=E$1:E1639)))))</f>
        <v/>
      </c>
      <c r="L1640" s="15"/>
    </row>
    <row r="1641" customFormat="false" ht="12.75" hidden="false" customHeight="false" outlineLevel="0" collapsed="false">
      <c r="A1641" s="0" t="s">
        <v>701</v>
      </c>
      <c r="B1641" s="0" t="s">
        <v>62</v>
      </c>
      <c r="C1641" s="0" t="s">
        <v>43</v>
      </c>
      <c r="E1641" s="9" t="str">
        <f aca="false">IF(D1641="?OLD","!!!","")</f>
        <v/>
      </c>
      <c r="F1641" s="10" t="str">
        <f aca="false">IF(OR(E1641="",E1641="!!!"),"",IF(NOT(ISNA(VLOOKUP(E1641,E$1:E1640,1,FALSE()))),"OLD",IF(AND(E1641&lt;&gt;"",E1641&lt;&gt;"!!!"),"NEW","")))</f>
        <v/>
      </c>
      <c r="G1641" s="11" t="str">
        <f aca="false">IF(OR(E1641="",E1641="!!!"),"",IF(OR(J1641=0,AND(J1641=1,K1641=1),AND(J1641=1,I1641="SBJ"),AND(J1641=1,I1641=0)),"?IN_FOCUS",IF(J1641&lt;=2,"?ACTIVATED",IF(J1641&lt;&gt;"","?FAMILIAR",IF(F1641="NEW",IF(ISNA(VLOOKUP(E1641,#REF!,1,FALSE())),"?TYPE_IDENTIFIABLE","?REFERENTIAL"),"_")))))</f>
        <v/>
      </c>
      <c r="H1641" s="12" t="str">
        <f aca="false">IF(J1641&lt;&gt;1,"",IF(I1641="SBJ","CB","?"))</f>
        <v/>
      </c>
      <c r="I1641" s="13" t="str">
        <f aca="false">IF(OR(E1641="",E1641="!!!",F1641="NEW"),"",INDEX(B$2:B1640,-1+SUMPRODUCT(MAX(ROW(E$2:E1640)*(E1641=E$2:E1640)))))</f>
        <v/>
      </c>
      <c r="J1641" s="14" t="str">
        <f aca="true">IF(OR(E1641="",E1641="!!!",F1641="NEW"),"",COUNTBLANK(OFFSET(A$1,,,SUMPRODUCT(MAX(ROW(E$2:E1641)*(E1641=E$2:E1641)))))-COUNTBLANK(OFFSET(A$1,,,SUMPRODUCT(MAX(ROW(E$1:E1640)*(E1641=E$1:E1640))))))</f>
        <v/>
      </c>
      <c r="K1641" s="14" t="str">
        <f aca="false">IF(OR(E1641="",E1641="!!!",F1641="NEW"),"",INDEX(J$1:J1640,SUMPRODUCT(MAX(ROW(E$1:E1640)*(E1641=E$1:E1640)))))</f>
        <v/>
      </c>
      <c r="L1641" s="15"/>
    </row>
    <row r="1642" customFormat="false" ht="12.75" hidden="false" customHeight="false" outlineLevel="0" collapsed="false">
      <c r="A1642" s="0" t="s">
        <v>147</v>
      </c>
      <c r="B1642" s="0" t="s">
        <v>14</v>
      </c>
      <c r="C1642" s="0" t="s">
        <v>38</v>
      </c>
      <c r="D1642" s="0" t="s">
        <v>29</v>
      </c>
      <c r="E1642" s="9" t="str">
        <f aca="false">IF(D1642="?OLD","!!!","")</f>
        <v>!!!</v>
      </c>
      <c r="F1642" s="10" t="str">
        <f aca="false">IF(OR(E1642="",E1642="!!!"),"",IF(NOT(ISNA(VLOOKUP(E1642,E$1:E1641,1,FALSE()))),"OLD",IF(AND(E1642&lt;&gt;"",E1642&lt;&gt;"!!!"),"NEW","")))</f>
        <v/>
      </c>
      <c r="G1642" s="11" t="str">
        <f aca="false">IF(OR(E1642="",E1642="!!!"),"",IF(OR(J1642=0,AND(J1642=1,K1642=1),AND(J1642=1,I1642="SBJ"),AND(J1642=1,I1642=0)),"?IN_FOCUS",IF(J1642&lt;=2,"?ACTIVATED",IF(J1642&lt;&gt;"","?FAMILIAR",IF(F1642="NEW",IF(ISNA(VLOOKUP(E1642,#REF!,1,FALSE())),"?TYPE_IDENTIFIABLE","?REFERENTIAL"),"_")))))</f>
        <v/>
      </c>
      <c r="H1642" s="12" t="str">
        <f aca="false">IF(J1642&lt;&gt;1,"",IF(I1642="SBJ","CB","?"))</f>
        <v/>
      </c>
      <c r="I1642" s="13" t="str">
        <f aca="false">IF(OR(E1642="",E1642="!!!",F1642="NEW"),"",INDEX(B$2:B1641,-1+SUMPRODUCT(MAX(ROW(E$2:E1641)*(E1642=E$2:E1641)))))</f>
        <v/>
      </c>
      <c r="J1642" s="14" t="str">
        <f aca="true">IF(OR(E1642="",E1642="!!!",F1642="NEW"),"",COUNTBLANK(OFFSET(A$1,,,SUMPRODUCT(MAX(ROW(E$2:E1642)*(E1642=E$2:E1642)))))-COUNTBLANK(OFFSET(A$1,,,SUMPRODUCT(MAX(ROW(E$1:E1641)*(E1642=E$1:E1641))))))</f>
        <v/>
      </c>
      <c r="K1642" s="14" t="str">
        <f aca="false">IF(OR(E1642="",E1642="!!!",F1642="NEW"),"",INDEX(J$1:J1641,SUMPRODUCT(MAX(ROW(E$1:E1641)*(E1642=E$1:E1641)))))</f>
        <v/>
      </c>
      <c r="L1642" s="15"/>
    </row>
    <row r="1643" customFormat="false" ht="12.75" hidden="false" customHeight="false" outlineLevel="0" collapsed="false">
      <c r="A1643" s="0" t="s">
        <v>704</v>
      </c>
      <c r="E1643" s="9" t="str">
        <f aca="false">IF(D1643="?OLD","!!!","")</f>
        <v/>
      </c>
      <c r="F1643" s="10" t="str">
        <f aca="false">IF(OR(E1643="",E1643="!!!"),"",IF(NOT(ISNA(VLOOKUP(E1643,E$1:E1642,1,FALSE()))),"OLD",IF(AND(E1643&lt;&gt;"",E1643&lt;&gt;"!!!"),"NEW","")))</f>
        <v/>
      </c>
      <c r="G1643" s="11" t="str">
        <f aca="false">IF(OR(E1643="",E1643="!!!"),"",IF(OR(J1643=0,AND(J1643=1,K1643=1),AND(J1643=1,I1643="SBJ"),AND(J1643=1,I1643=0)),"?IN_FOCUS",IF(J1643&lt;=2,"?ACTIVATED",IF(J1643&lt;&gt;"","?FAMILIAR",IF(F1643="NEW",IF(ISNA(VLOOKUP(E1643,#REF!,1,FALSE())),"?TYPE_IDENTIFIABLE","?REFERENTIAL"),"_")))))</f>
        <v/>
      </c>
      <c r="H1643" s="12" t="str">
        <f aca="false">IF(J1643&lt;&gt;1,"",IF(I1643="SBJ","CB","?"))</f>
        <v/>
      </c>
      <c r="I1643" s="13" t="str">
        <f aca="false">IF(OR(E1643="",E1643="!!!",F1643="NEW"),"",INDEX(B$2:B1642,-1+SUMPRODUCT(MAX(ROW(E$2:E1642)*(E1643=E$2:E1642)))))</f>
        <v/>
      </c>
      <c r="J1643" s="14" t="str">
        <f aca="true">IF(OR(E1643="",E1643="!!!",F1643="NEW"),"",COUNTBLANK(OFFSET(A$1,,,SUMPRODUCT(MAX(ROW(E$2:E1643)*(E1643=E$2:E1643)))))-COUNTBLANK(OFFSET(A$1,,,SUMPRODUCT(MAX(ROW(E$1:E1642)*(E1643=E$1:E1642))))))</f>
        <v/>
      </c>
      <c r="K1643" s="14" t="str">
        <f aca="false">IF(OR(E1643="",E1643="!!!",F1643="NEW"),"",INDEX(J$1:J1642,SUMPRODUCT(MAX(ROW(E$1:E1642)*(E1643=E$1:E1642)))))</f>
        <v/>
      </c>
      <c r="L1643" s="15"/>
    </row>
    <row r="1644" customFormat="false" ht="12.75" hidden="false" customHeight="false" outlineLevel="0" collapsed="false">
      <c r="A1644" s="0" t="s">
        <v>427</v>
      </c>
      <c r="E1644" s="9" t="str">
        <f aca="false">IF(D1644="?OLD","!!!","")</f>
        <v/>
      </c>
      <c r="F1644" s="10" t="str">
        <f aca="false">IF(OR(E1644="",E1644="!!!"),"",IF(NOT(ISNA(VLOOKUP(E1644,E$1:E1643,1,FALSE()))),"OLD",IF(AND(E1644&lt;&gt;"",E1644&lt;&gt;"!!!"),"NEW","")))</f>
        <v/>
      </c>
      <c r="G1644" s="11" t="str">
        <f aca="false">IF(OR(E1644="",E1644="!!!"),"",IF(OR(J1644=0,AND(J1644=1,K1644=1),AND(J1644=1,I1644="SBJ"),AND(J1644=1,I1644=0)),"?IN_FOCUS",IF(J1644&lt;=2,"?ACTIVATED",IF(J1644&lt;&gt;"","?FAMILIAR",IF(F1644="NEW",IF(ISNA(VLOOKUP(E1644,#REF!,1,FALSE())),"?TYPE_IDENTIFIABLE","?REFERENTIAL"),"_")))))</f>
        <v/>
      </c>
      <c r="H1644" s="12" t="str">
        <f aca="false">IF(J1644&lt;&gt;1,"",IF(I1644="SBJ","CB","?"))</f>
        <v/>
      </c>
      <c r="I1644" s="13" t="str">
        <f aca="false">IF(OR(E1644="",E1644="!!!",F1644="NEW"),"",INDEX(B$2:B1643,-1+SUMPRODUCT(MAX(ROW(E$2:E1643)*(E1644=E$2:E1643)))))</f>
        <v/>
      </c>
      <c r="J1644" s="14" t="str">
        <f aca="true">IF(OR(E1644="",E1644="!!!",F1644="NEW"),"",COUNTBLANK(OFFSET(A$1,,,SUMPRODUCT(MAX(ROW(E$2:E1644)*(E1644=E$2:E1644)))))-COUNTBLANK(OFFSET(A$1,,,SUMPRODUCT(MAX(ROW(E$1:E1643)*(E1644=E$1:E1643))))))</f>
        <v/>
      </c>
      <c r="K1644" s="14" t="str">
        <f aca="false">IF(OR(E1644="",E1644="!!!",F1644="NEW"),"",INDEX(J$1:J1643,SUMPRODUCT(MAX(ROW(E$1:E1643)*(E1644=E$1:E1643)))))</f>
        <v/>
      </c>
      <c r="L1644" s="15"/>
    </row>
    <row r="1645" customFormat="false" ht="12.75" hidden="false" customHeight="false" outlineLevel="0" collapsed="false">
      <c r="A1645" s="0" t="s">
        <v>168</v>
      </c>
      <c r="E1645" s="9" t="str">
        <f aca="false">IF(D1645="?OLD","!!!","")</f>
        <v/>
      </c>
      <c r="F1645" s="10" t="str">
        <f aca="false">IF(OR(E1645="",E1645="!!!"),"",IF(NOT(ISNA(VLOOKUP(E1645,E$1:E1644,1,FALSE()))),"OLD",IF(AND(E1645&lt;&gt;"",E1645&lt;&gt;"!!!"),"NEW","")))</f>
        <v/>
      </c>
      <c r="G1645" s="11" t="str">
        <f aca="false">IF(OR(E1645="",E1645="!!!"),"",IF(OR(J1645=0,AND(J1645=1,K1645=1),AND(J1645=1,I1645="SBJ"),AND(J1645=1,I1645=0)),"?IN_FOCUS",IF(J1645&lt;=2,"?ACTIVATED",IF(J1645&lt;&gt;"","?FAMILIAR",IF(F1645="NEW",IF(ISNA(VLOOKUP(E1645,#REF!,1,FALSE())),"?TYPE_IDENTIFIABLE","?REFERENTIAL"),"_")))))</f>
        <v/>
      </c>
      <c r="H1645" s="12" t="str">
        <f aca="false">IF(J1645&lt;&gt;1,"",IF(I1645="SBJ","CB","?"))</f>
        <v/>
      </c>
      <c r="I1645" s="13" t="str">
        <f aca="false">IF(OR(E1645="",E1645="!!!",F1645="NEW"),"",INDEX(B$2:B1644,-1+SUMPRODUCT(MAX(ROW(E$2:E1644)*(E1645=E$2:E1644)))))</f>
        <v/>
      </c>
      <c r="J1645" s="14" t="str">
        <f aca="true">IF(OR(E1645="",E1645="!!!",F1645="NEW"),"",COUNTBLANK(OFFSET(A$1,,,SUMPRODUCT(MAX(ROW(E$2:E1645)*(E1645=E$2:E1645)))))-COUNTBLANK(OFFSET(A$1,,,SUMPRODUCT(MAX(ROW(E$1:E1644)*(E1645=E$1:E1644))))))</f>
        <v/>
      </c>
      <c r="K1645" s="14" t="str">
        <f aca="false">IF(OR(E1645="",E1645="!!!",F1645="NEW"),"",INDEX(J$1:J1644,SUMPRODUCT(MAX(ROW(E$1:E1644)*(E1645=E$1:E1644)))))</f>
        <v/>
      </c>
      <c r="L1645" s="15"/>
    </row>
    <row r="1646" customFormat="false" ht="12.75" hidden="false" customHeight="false" outlineLevel="0" collapsed="false">
      <c r="A1646" s="0" t="s">
        <v>705</v>
      </c>
      <c r="E1646" s="9" t="str">
        <f aca="false">IF(D1646="?OLD","!!!","")</f>
        <v/>
      </c>
      <c r="F1646" s="10" t="str">
        <f aca="false">IF(OR(E1646="",E1646="!!!"),"",IF(NOT(ISNA(VLOOKUP(E1646,E$1:E1645,1,FALSE()))),"OLD",IF(AND(E1646&lt;&gt;"",E1646&lt;&gt;"!!!"),"NEW","")))</f>
        <v/>
      </c>
      <c r="G1646" s="11" t="str">
        <f aca="false">IF(OR(E1646="",E1646="!!!"),"",IF(OR(J1646=0,AND(J1646=1,K1646=1),AND(J1646=1,I1646="SBJ"),AND(J1646=1,I1646=0)),"?IN_FOCUS",IF(J1646&lt;=2,"?ACTIVATED",IF(J1646&lt;&gt;"","?FAMILIAR",IF(F1646="NEW",IF(ISNA(VLOOKUP(E1646,#REF!,1,FALSE())),"?TYPE_IDENTIFIABLE","?REFERENTIAL"),"_")))))</f>
        <v/>
      </c>
      <c r="H1646" s="12" t="str">
        <f aca="false">IF(J1646&lt;&gt;1,"",IF(I1646="SBJ","CB","?"))</f>
        <v/>
      </c>
      <c r="I1646" s="13" t="str">
        <f aca="false">IF(OR(E1646="",E1646="!!!",F1646="NEW"),"",INDEX(B$2:B1645,-1+SUMPRODUCT(MAX(ROW(E$2:E1645)*(E1646=E$2:E1645)))))</f>
        <v/>
      </c>
      <c r="J1646" s="14" t="str">
        <f aca="true">IF(OR(E1646="",E1646="!!!",F1646="NEW"),"",COUNTBLANK(OFFSET(A$1,,,SUMPRODUCT(MAX(ROW(E$2:E1646)*(E1646=E$2:E1646)))))-COUNTBLANK(OFFSET(A$1,,,SUMPRODUCT(MAX(ROW(E$1:E1645)*(E1646=E$1:E1645))))))</f>
        <v/>
      </c>
      <c r="K1646" s="14" t="str">
        <f aca="false">IF(OR(E1646="",E1646="!!!",F1646="NEW"),"",INDEX(J$1:J1645,SUMPRODUCT(MAX(ROW(E$1:E1645)*(E1646=E$1:E1645)))))</f>
        <v/>
      </c>
      <c r="L1646" s="15"/>
    </row>
    <row r="1647" customFormat="false" ht="12.75" hidden="false" customHeight="false" outlineLevel="0" collapsed="false">
      <c r="A1647" s="0" t="s">
        <v>51</v>
      </c>
      <c r="E1647" s="9" t="str">
        <f aca="false">IF(D1647="?OLD","!!!","")</f>
        <v/>
      </c>
      <c r="F1647" s="10" t="str">
        <f aca="false">IF(OR(E1647="",E1647="!!!"),"",IF(NOT(ISNA(VLOOKUP(E1647,E$1:E1646,1,FALSE()))),"OLD",IF(AND(E1647&lt;&gt;"",E1647&lt;&gt;"!!!"),"NEW","")))</f>
        <v/>
      </c>
      <c r="G1647" s="11" t="str">
        <f aca="false">IF(OR(E1647="",E1647="!!!"),"",IF(OR(J1647=0,AND(J1647=1,K1647=1),AND(J1647=1,I1647="SBJ"),AND(J1647=1,I1647=0)),"?IN_FOCUS",IF(J1647&lt;=2,"?ACTIVATED",IF(J1647&lt;&gt;"","?FAMILIAR",IF(F1647="NEW",IF(ISNA(VLOOKUP(E1647,#REF!,1,FALSE())),"?TYPE_IDENTIFIABLE","?REFERENTIAL"),"_")))))</f>
        <v/>
      </c>
      <c r="H1647" s="12" t="str">
        <f aca="false">IF(J1647&lt;&gt;1,"",IF(I1647="SBJ","CB","?"))</f>
        <v/>
      </c>
      <c r="I1647" s="13" t="str">
        <f aca="false">IF(OR(E1647="",E1647="!!!",F1647="NEW"),"",INDEX(B$2:B1646,-1+SUMPRODUCT(MAX(ROW(E$2:E1646)*(E1647=E$2:E1646)))))</f>
        <v/>
      </c>
      <c r="J1647" s="14" t="str">
        <f aca="true">IF(OR(E1647="",E1647="!!!",F1647="NEW"),"",COUNTBLANK(OFFSET(A$1,,,SUMPRODUCT(MAX(ROW(E$2:E1647)*(E1647=E$2:E1647)))))-COUNTBLANK(OFFSET(A$1,,,SUMPRODUCT(MAX(ROW(E$1:E1646)*(E1647=E$1:E1646))))))</f>
        <v/>
      </c>
      <c r="K1647" s="14" t="str">
        <f aca="false">IF(OR(E1647="",E1647="!!!",F1647="NEW"),"",INDEX(J$1:J1646,SUMPRODUCT(MAX(ROW(E$1:E1646)*(E1647=E$1:E1646)))))</f>
        <v/>
      </c>
      <c r="L1647" s="15"/>
    </row>
    <row r="1648" customFormat="false" ht="12.75" hidden="false" customHeight="false" outlineLevel="0" collapsed="false">
      <c r="A1648" s="0" t="s">
        <v>336</v>
      </c>
      <c r="E1648" s="9" t="str">
        <f aca="false">IF(D1648="?OLD","!!!","")</f>
        <v/>
      </c>
      <c r="F1648" s="10" t="str">
        <f aca="false">IF(OR(E1648="",E1648="!!!"),"",IF(NOT(ISNA(VLOOKUP(E1648,E$1:E1647,1,FALSE()))),"OLD",IF(AND(E1648&lt;&gt;"",E1648&lt;&gt;"!!!"),"NEW","")))</f>
        <v/>
      </c>
      <c r="G1648" s="11" t="str">
        <f aca="false">IF(OR(E1648="",E1648="!!!"),"",IF(OR(J1648=0,AND(J1648=1,K1648=1),AND(J1648=1,I1648="SBJ"),AND(J1648=1,I1648=0)),"?IN_FOCUS",IF(J1648&lt;=2,"?ACTIVATED",IF(J1648&lt;&gt;"","?FAMILIAR",IF(F1648="NEW",IF(ISNA(VLOOKUP(E1648,#REF!,1,FALSE())),"?TYPE_IDENTIFIABLE","?REFERENTIAL"),"_")))))</f>
        <v/>
      </c>
      <c r="H1648" s="12" t="str">
        <f aca="false">IF(J1648&lt;&gt;1,"",IF(I1648="SBJ","CB","?"))</f>
        <v/>
      </c>
      <c r="I1648" s="13" t="str">
        <f aca="false">IF(OR(E1648="",E1648="!!!",F1648="NEW"),"",INDEX(B$2:B1647,-1+SUMPRODUCT(MAX(ROW(E$2:E1647)*(E1648=E$2:E1647)))))</f>
        <v/>
      </c>
      <c r="J1648" s="14" t="str">
        <f aca="true">IF(OR(E1648="",E1648="!!!",F1648="NEW"),"",COUNTBLANK(OFFSET(A$1,,,SUMPRODUCT(MAX(ROW(E$2:E1648)*(E1648=E$2:E1648)))))-COUNTBLANK(OFFSET(A$1,,,SUMPRODUCT(MAX(ROW(E$1:E1647)*(E1648=E$1:E1647))))))</f>
        <v/>
      </c>
      <c r="K1648" s="14" t="str">
        <f aca="false">IF(OR(E1648="",E1648="!!!",F1648="NEW"),"",INDEX(J$1:J1647,SUMPRODUCT(MAX(ROW(E$1:E1647)*(E1648=E$1:E1647)))))</f>
        <v/>
      </c>
      <c r="L1648" s="15"/>
    </row>
    <row r="1649" customFormat="false" ht="12.75" hidden="false" customHeight="false" outlineLevel="0" collapsed="false">
      <c r="A1649" s="0" t="s">
        <v>150</v>
      </c>
      <c r="B1649" s="0" t="s">
        <v>22</v>
      </c>
      <c r="C1649" s="0" t="s">
        <v>55</v>
      </c>
      <c r="D1649" s="0" t="s">
        <v>29</v>
      </c>
      <c r="E1649" s="9" t="str">
        <f aca="false">IF(D1649="?OLD","!!!","")</f>
        <v>!!!</v>
      </c>
      <c r="F1649" s="10" t="str">
        <f aca="false">IF(OR(E1649="",E1649="!!!"),"",IF(NOT(ISNA(VLOOKUP(E1649,E$1:E1648,1,FALSE()))),"OLD",IF(AND(E1649&lt;&gt;"",E1649&lt;&gt;"!!!"),"NEW","")))</f>
        <v/>
      </c>
      <c r="G1649" s="11" t="str">
        <f aca="false">IF(OR(E1649="",E1649="!!!"),"",IF(OR(J1649=0,AND(J1649=1,K1649=1),AND(J1649=1,I1649="SBJ"),AND(J1649=1,I1649=0)),"?IN_FOCUS",IF(J1649&lt;=2,"?ACTIVATED",IF(J1649&lt;&gt;"","?FAMILIAR",IF(F1649="NEW",IF(ISNA(VLOOKUP(E1649,#REF!,1,FALSE())),"?TYPE_IDENTIFIABLE","?REFERENTIAL"),"_")))))</f>
        <v/>
      </c>
      <c r="H1649" s="12" t="str">
        <f aca="false">IF(J1649&lt;&gt;1,"",IF(I1649="SBJ","CB","?"))</f>
        <v/>
      </c>
      <c r="I1649" s="13" t="str">
        <f aca="false">IF(OR(E1649="",E1649="!!!",F1649="NEW"),"",INDEX(B$2:B1648,-1+SUMPRODUCT(MAX(ROW(E$2:E1648)*(E1649=E$2:E1648)))))</f>
        <v/>
      </c>
      <c r="J1649" s="14" t="str">
        <f aca="true">IF(OR(E1649="",E1649="!!!",F1649="NEW"),"",COUNTBLANK(OFFSET(A$1,,,SUMPRODUCT(MAX(ROW(E$2:E1649)*(E1649=E$2:E1649)))))-COUNTBLANK(OFFSET(A$1,,,SUMPRODUCT(MAX(ROW(E$1:E1648)*(E1649=E$1:E1648))))))</f>
        <v/>
      </c>
      <c r="K1649" s="14" t="str">
        <f aca="false">IF(OR(E1649="",E1649="!!!",F1649="NEW"),"",INDEX(J$1:J1648,SUMPRODUCT(MAX(ROW(E$1:E1648)*(E1649=E$1:E1648)))))</f>
        <v/>
      </c>
      <c r="L1649" s="15"/>
    </row>
    <row r="1650" customFormat="false" ht="12.75" hidden="false" customHeight="false" outlineLevel="0" collapsed="false">
      <c r="A1650" s="0" t="s">
        <v>706</v>
      </c>
      <c r="B1650" s="0" t="s">
        <v>103</v>
      </c>
      <c r="C1650" s="0" t="s">
        <v>15</v>
      </c>
      <c r="D1650" s="0" t="s">
        <v>29</v>
      </c>
      <c r="E1650" s="9" t="str">
        <f aca="false">IF(D1650="?OLD","!!!","")</f>
        <v>!!!</v>
      </c>
      <c r="F1650" s="10" t="str">
        <f aca="false">IF(OR(E1650="",E1650="!!!"),"",IF(NOT(ISNA(VLOOKUP(E1650,E$1:E1649,1,FALSE()))),"OLD",IF(AND(E1650&lt;&gt;"",E1650&lt;&gt;"!!!"),"NEW","")))</f>
        <v/>
      </c>
      <c r="G1650" s="11" t="str">
        <f aca="false">IF(OR(E1650="",E1650="!!!"),"",IF(OR(J1650=0,AND(J1650=1,K1650=1),AND(J1650=1,I1650="SBJ"),AND(J1650=1,I1650=0)),"?IN_FOCUS",IF(J1650&lt;=2,"?ACTIVATED",IF(J1650&lt;&gt;"","?FAMILIAR",IF(F1650="NEW",IF(ISNA(VLOOKUP(E1650,#REF!,1,FALSE())),"?TYPE_IDENTIFIABLE","?REFERENTIAL"),"_")))))</f>
        <v/>
      </c>
      <c r="H1650" s="12" t="str">
        <f aca="false">IF(J1650&lt;&gt;1,"",IF(I1650="SBJ","CB","?"))</f>
        <v/>
      </c>
      <c r="I1650" s="13" t="str">
        <f aca="false">IF(OR(E1650="",E1650="!!!",F1650="NEW"),"",INDEX(B$2:B1649,-1+SUMPRODUCT(MAX(ROW(E$2:E1649)*(E1650=E$2:E1649)))))</f>
        <v/>
      </c>
      <c r="J1650" s="14" t="str">
        <f aca="true">IF(OR(E1650="",E1650="!!!",F1650="NEW"),"",COUNTBLANK(OFFSET(A$1,,,SUMPRODUCT(MAX(ROW(E$2:E1650)*(E1650=E$2:E1650)))))-COUNTBLANK(OFFSET(A$1,,,SUMPRODUCT(MAX(ROW(E$1:E1649)*(E1650=E$1:E1649))))))</f>
        <v/>
      </c>
      <c r="K1650" s="14" t="str">
        <f aca="false">IF(OR(E1650="",E1650="!!!",F1650="NEW"),"",INDEX(J$1:J1649,SUMPRODUCT(MAX(ROW(E$1:E1649)*(E1650=E$1:E1649)))))</f>
        <v/>
      </c>
      <c r="L1650" s="15"/>
    </row>
    <row r="1651" customFormat="false" ht="12.75" hidden="false" customHeight="false" outlineLevel="0" collapsed="false">
      <c r="A1651" s="0" t="s">
        <v>136</v>
      </c>
      <c r="E1651" s="9" t="str">
        <f aca="false">IF(D1651="?OLD","!!!","")</f>
        <v/>
      </c>
      <c r="F1651" s="10" t="str">
        <f aca="false">IF(OR(E1651="",E1651="!!!"),"",IF(NOT(ISNA(VLOOKUP(E1651,E$1:E1650,1,FALSE()))),"OLD",IF(AND(E1651&lt;&gt;"",E1651&lt;&gt;"!!!"),"NEW","")))</f>
        <v/>
      </c>
      <c r="G1651" s="11" t="str">
        <f aca="false">IF(OR(E1651="",E1651="!!!"),"",IF(OR(J1651=0,AND(J1651=1,K1651=1),AND(J1651=1,I1651="SBJ"),AND(J1651=1,I1651=0)),"?IN_FOCUS",IF(J1651&lt;=2,"?ACTIVATED",IF(J1651&lt;&gt;"","?FAMILIAR",IF(F1651="NEW",IF(ISNA(VLOOKUP(E1651,#REF!,1,FALSE())),"?TYPE_IDENTIFIABLE","?REFERENTIAL"),"_")))))</f>
        <v/>
      </c>
      <c r="H1651" s="12" t="str">
        <f aca="false">IF(J1651&lt;&gt;1,"",IF(I1651="SBJ","CB","?"))</f>
        <v/>
      </c>
      <c r="I1651" s="13" t="str">
        <f aca="false">IF(OR(E1651="",E1651="!!!",F1651="NEW"),"",INDEX(B$2:B1650,-1+SUMPRODUCT(MAX(ROW(E$2:E1650)*(E1651=E$2:E1650)))))</f>
        <v/>
      </c>
      <c r="J1651" s="14" t="str">
        <f aca="true">IF(OR(E1651="",E1651="!!!",F1651="NEW"),"",COUNTBLANK(OFFSET(A$1,,,SUMPRODUCT(MAX(ROW(E$2:E1651)*(E1651=E$2:E1651)))))-COUNTBLANK(OFFSET(A$1,,,SUMPRODUCT(MAX(ROW(E$1:E1650)*(E1651=E$1:E1650))))))</f>
        <v/>
      </c>
      <c r="K1651" s="14" t="str">
        <f aca="false">IF(OR(E1651="",E1651="!!!",F1651="NEW"),"",INDEX(J$1:J1650,SUMPRODUCT(MAX(ROW(E$1:E1650)*(E1651=E$1:E1650)))))</f>
        <v/>
      </c>
      <c r="L1651" s="15"/>
    </row>
    <row r="1652" customFormat="false" ht="12.75" hidden="false" customHeight="false" outlineLevel="0" collapsed="false">
      <c r="A1652" s="0" t="s">
        <v>141</v>
      </c>
      <c r="B1652" s="0" t="s">
        <v>28</v>
      </c>
      <c r="C1652" s="0" t="s">
        <v>15</v>
      </c>
      <c r="D1652" s="0" t="s">
        <v>29</v>
      </c>
      <c r="E1652" s="9" t="str">
        <f aca="false">IF(D1652="?OLD","!!!","")</f>
        <v>!!!</v>
      </c>
      <c r="F1652" s="10" t="str">
        <f aca="false">IF(OR(E1652="",E1652="!!!"),"",IF(NOT(ISNA(VLOOKUP(E1652,E$1:E1651,1,FALSE()))),"OLD",IF(AND(E1652&lt;&gt;"",E1652&lt;&gt;"!!!"),"NEW","")))</f>
        <v/>
      </c>
      <c r="G1652" s="11" t="str">
        <f aca="false">IF(OR(E1652="",E1652="!!!"),"",IF(OR(J1652=0,AND(J1652=1,K1652=1),AND(J1652=1,I1652="SBJ"),AND(J1652=1,I1652=0)),"?IN_FOCUS",IF(J1652&lt;=2,"?ACTIVATED",IF(J1652&lt;&gt;"","?FAMILIAR",IF(F1652="NEW",IF(ISNA(VLOOKUP(E1652,#REF!,1,FALSE())),"?TYPE_IDENTIFIABLE","?REFERENTIAL"),"_")))))</f>
        <v/>
      </c>
      <c r="H1652" s="12" t="str">
        <f aca="false">IF(J1652&lt;&gt;1,"",IF(I1652="SBJ","CB","?"))</f>
        <v/>
      </c>
      <c r="I1652" s="13" t="str">
        <f aca="false">IF(OR(E1652="",E1652="!!!",F1652="NEW"),"",INDEX(B$2:B1651,-1+SUMPRODUCT(MAX(ROW(E$2:E1651)*(E1652=E$2:E1651)))))</f>
        <v/>
      </c>
      <c r="J1652" s="14" t="str">
        <f aca="true">IF(OR(E1652="",E1652="!!!",F1652="NEW"),"",COUNTBLANK(OFFSET(A$1,,,SUMPRODUCT(MAX(ROW(E$2:E1652)*(E1652=E$2:E1652)))))-COUNTBLANK(OFFSET(A$1,,,SUMPRODUCT(MAX(ROW(E$1:E1651)*(E1652=E$1:E1651))))))</f>
        <v/>
      </c>
      <c r="K1652" s="14" t="str">
        <f aca="false">IF(OR(E1652="",E1652="!!!",F1652="NEW"),"",INDEX(J$1:J1651,SUMPRODUCT(MAX(ROW(E$1:E1651)*(E1652=E$1:E1651)))))</f>
        <v/>
      </c>
      <c r="L1652" s="15"/>
    </row>
    <row r="1653" customFormat="false" ht="12.75" hidden="false" customHeight="false" outlineLevel="0" collapsed="false">
      <c r="A1653" s="0" t="s">
        <v>19</v>
      </c>
      <c r="E1653" s="9" t="str">
        <f aca="false">IF(D1653="?OLD","!!!","")</f>
        <v/>
      </c>
      <c r="F1653" s="10" t="str">
        <f aca="false">IF(OR(E1653="",E1653="!!!"),"",IF(NOT(ISNA(VLOOKUP(E1653,E$1:E1652,1,FALSE()))),"OLD",IF(AND(E1653&lt;&gt;"",E1653&lt;&gt;"!!!"),"NEW","")))</f>
        <v/>
      </c>
      <c r="G1653" s="11" t="str">
        <f aca="false">IF(OR(E1653="",E1653="!!!"),"",IF(OR(J1653=0,AND(J1653=1,K1653=1),AND(J1653=1,I1653="SBJ"),AND(J1653=1,I1653=0)),"?IN_FOCUS",IF(J1653&lt;=2,"?ACTIVATED",IF(J1653&lt;&gt;"","?FAMILIAR",IF(F1653="NEW",IF(ISNA(VLOOKUP(E1653,#REF!,1,FALSE())),"?TYPE_IDENTIFIABLE","?REFERENTIAL"),"_")))))</f>
        <v/>
      </c>
      <c r="H1653" s="12" t="str">
        <f aca="false">IF(J1653&lt;&gt;1,"",IF(I1653="SBJ","CB","?"))</f>
        <v/>
      </c>
      <c r="I1653" s="13" t="str">
        <f aca="false">IF(OR(E1653="",E1653="!!!",F1653="NEW"),"",INDEX(B$2:B1652,-1+SUMPRODUCT(MAX(ROW(E$2:E1652)*(E1653=E$2:E1652)))))</f>
        <v/>
      </c>
      <c r="J1653" s="14" t="str">
        <f aca="true">IF(OR(E1653="",E1653="!!!",F1653="NEW"),"",COUNTBLANK(OFFSET(A$1,,,SUMPRODUCT(MAX(ROW(E$2:E1653)*(E1653=E$2:E1653)))))-COUNTBLANK(OFFSET(A$1,,,SUMPRODUCT(MAX(ROW(E$1:E1652)*(E1653=E$1:E1652))))))</f>
        <v/>
      </c>
      <c r="K1653" s="14" t="str">
        <f aca="false">IF(OR(E1653="",E1653="!!!",F1653="NEW"),"",INDEX(J$1:J1652,SUMPRODUCT(MAX(ROW(E$1:E1652)*(E1653=E$1:E1652)))))</f>
        <v/>
      </c>
      <c r="L1653" s="15"/>
    </row>
    <row r="1654" customFormat="false" ht="12.75" hidden="false" customHeight="false" outlineLevel="0" collapsed="false">
      <c r="A1654" s="0" t="s">
        <v>142</v>
      </c>
      <c r="B1654" s="0" t="s">
        <v>22</v>
      </c>
      <c r="C1654" s="0" t="s">
        <v>38</v>
      </c>
      <c r="D1654" s="0" t="s">
        <v>29</v>
      </c>
      <c r="E1654" s="9" t="str">
        <f aca="false">IF(D1654="?OLD","!!!","")</f>
        <v>!!!</v>
      </c>
      <c r="F1654" s="10" t="str">
        <f aca="false">IF(OR(E1654="",E1654="!!!"),"",IF(NOT(ISNA(VLOOKUP(E1654,E$1:E1653,1,FALSE()))),"OLD",IF(AND(E1654&lt;&gt;"",E1654&lt;&gt;"!!!"),"NEW","")))</f>
        <v/>
      </c>
      <c r="G1654" s="11" t="str">
        <f aca="false">IF(OR(E1654="",E1654="!!!"),"",IF(OR(J1654=0,AND(J1654=1,K1654=1),AND(J1654=1,I1654="SBJ"),AND(J1654=1,I1654=0)),"?IN_FOCUS",IF(J1654&lt;=2,"?ACTIVATED",IF(J1654&lt;&gt;"","?FAMILIAR",IF(F1654="NEW",IF(ISNA(VLOOKUP(E1654,#REF!,1,FALSE())),"?TYPE_IDENTIFIABLE","?REFERENTIAL"),"_")))))</f>
        <v/>
      </c>
      <c r="H1654" s="12" t="str">
        <f aca="false">IF(J1654&lt;&gt;1,"",IF(I1654="SBJ","CB","?"))</f>
        <v/>
      </c>
      <c r="I1654" s="13" t="str">
        <f aca="false">IF(OR(E1654="",E1654="!!!",F1654="NEW"),"",INDEX(B$2:B1653,-1+SUMPRODUCT(MAX(ROW(E$2:E1653)*(E1654=E$2:E1653)))))</f>
        <v/>
      </c>
      <c r="J1654" s="14" t="str">
        <f aca="true">IF(OR(E1654="",E1654="!!!",F1654="NEW"),"",COUNTBLANK(OFFSET(A$1,,,SUMPRODUCT(MAX(ROW(E$2:E1654)*(E1654=E$2:E1654)))))-COUNTBLANK(OFFSET(A$1,,,SUMPRODUCT(MAX(ROW(E$1:E1653)*(E1654=E$1:E1653))))))</f>
        <v/>
      </c>
      <c r="K1654" s="14" t="str">
        <f aca="false">IF(OR(E1654="",E1654="!!!",F1654="NEW"),"",INDEX(J$1:J1653,SUMPRODUCT(MAX(ROW(E$1:E1653)*(E1654=E$1:E1653)))))</f>
        <v/>
      </c>
      <c r="L1654" s="15"/>
    </row>
    <row r="1655" customFormat="false" ht="12.75" hidden="false" customHeight="false" outlineLevel="0" collapsed="false">
      <c r="A1655" s="0" t="s">
        <v>73</v>
      </c>
      <c r="E1655" s="9" t="str">
        <f aca="false">IF(D1655="?OLD","!!!","")</f>
        <v/>
      </c>
      <c r="F1655" s="10" t="str">
        <f aca="false">IF(OR(E1655="",E1655="!!!"),"",IF(NOT(ISNA(VLOOKUP(E1655,E$1:E1654,1,FALSE()))),"OLD",IF(AND(E1655&lt;&gt;"",E1655&lt;&gt;"!!!"),"NEW","")))</f>
        <v/>
      </c>
      <c r="G1655" s="11" t="str">
        <f aca="false">IF(OR(E1655="",E1655="!!!"),"",IF(OR(J1655=0,AND(J1655=1,K1655=1),AND(J1655=1,I1655="SBJ"),AND(J1655=1,I1655=0)),"?IN_FOCUS",IF(J1655&lt;=2,"?ACTIVATED",IF(J1655&lt;&gt;"","?FAMILIAR",IF(F1655="NEW",IF(ISNA(VLOOKUP(E1655,#REF!,1,FALSE())),"?TYPE_IDENTIFIABLE","?REFERENTIAL"),"_")))))</f>
        <v/>
      </c>
      <c r="H1655" s="12" t="str">
        <f aca="false">IF(J1655&lt;&gt;1,"",IF(I1655="SBJ","CB","?"))</f>
        <v/>
      </c>
      <c r="I1655" s="13" t="str">
        <f aca="false">IF(OR(E1655="",E1655="!!!",F1655="NEW"),"",INDEX(B$2:B1654,-1+SUMPRODUCT(MAX(ROW(E$2:E1654)*(E1655=E$2:E1654)))))</f>
        <v/>
      </c>
      <c r="J1655" s="14" t="str">
        <f aca="true">IF(OR(E1655="",E1655="!!!",F1655="NEW"),"",COUNTBLANK(OFFSET(A$1,,,SUMPRODUCT(MAX(ROW(E$2:E1655)*(E1655=E$2:E1655)))))-COUNTBLANK(OFFSET(A$1,,,SUMPRODUCT(MAX(ROW(E$1:E1654)*(E1655=E$1:E1654))))))</f>
        <v/>
      </c>
      <c r="K1655" s="14" t="str">
        <f aca="false">IF(OR(E1655="",E1655="!!!",F1655="NEW"),"",INDEX(J$1:J1654,SUMPRODUCT(MAX(ROW(E$1:E1654)*(E1655=E$1:E1654)))))</f>
        <v/>
      </c>
      <c r="L1655" s="15"/>
    </row>
    <row r="1656" customFormat="false" ht="12.75" hidden="false" customHeight="false" outlineLevel="0" collapsed="false">
      <c r="A1656" s="0" t="s">
        <v>262</v>
      </c>
      <c r="E1656" s="9" t="str">
        <f aca="false">IF(D1656="?OLD","!!!","")</f>
        <v/>
      </c>
      <c r="F1656" s="10" t="str">
        <f aca="false">IF(OR(E1656="",E1656="!!!"),"",IF(NOT(ISNA(VLOOKUP(E1656,E$1:E1655,1,FALSE()))),"OLD",IF(AND(E1656&lt;&gt;"",E1656&lt;&gt;"!!!"),"NEW","")))</f>
        <v/>
      </c>
      <c r="G1656" s="11" t="str">
        <f aca="false">IF(OR(E1656="",E1656="!!!"),"",IF(OR(J1656=0,AND(J1656=1,K1656=1),AND(J1656=1,I1656="SBJ"),AND(J1656=1,I1656=0)),"?IN_FOCUS",IF(J1656&lt;=2,"?ACTIVATED",IF(J1656&lt;&gt;"","?FAMILIAR",IF(F1656="NEW",IF(ISNA(VLOOKUP(E1656,#REF!,1,FALSE())),"?TYPE_IDENTIFIABLE","?REFERENTIAL"),"_")))))</f>
        <v/>
      </c>
      <c r="H1656" s="12" t="str">
        <f aca="false">IF(J1656&lt;&gt;1,"",IF(I1656="SBJ","CB","?"))</f>
        <v/>
      </c>
      <c r="I1656" s="13" t="str">
        <f aca="false">IF(OR(E1656="",E1656="!!!",F1656="NEW"),"",INDEX(B$2:B1655,-1+SUMPRODUCT(MAX(ROW(E$2:E1655)*(E1656=E$2:E1655)))))</f>
        <v/>
      </c>
      <c r="J1656" s="14" t="str">
        <f aca="true">IF(OR(E1656="",E1656="!!!",F1656="NEW"),"",COUNTBLANK(OFFSET(A$1,,,SUMPRODUCT(MAX(ROW(E$2:E1656)*(E1656=E$2:E1656)))))-COUNTBLANK(OFFSET(A$1,,,SUMPRODUCT(MAX(ROW(E$1:E1655)*(E1656=E$1:E1655))))))</f>
        <v/>
      </c>
      <c r="K1656" s="14" t="str">
        <f aca="false">IF(OR(E1656="",E1656="!!!",F1656="NEW"),"",INDEX(J$1:J1655,SUMPRODUCT(MAX(ROW(E$1:E1655)*(E1656=E$1:E1655)))))</f>
        <v/>
      </c>
      <c r="L1656" s="15"/>
    </row>
    <row r="1657" customFormat="false" ht="12.75" hidden="false" customHeight="false" outlineLevel="0" collapsed="false">
      <c r="E1657" s="9" t="str">
        <f aca="false">IF(D1657="?OLD","!!!","")</f>
        <v/>
      </c>
      <c r="F1657" s="10" t="str">
        <f aca="false">IF(OR(E1657="",E1657="!!!"),"",IF(NOT(ISNA(VLOOKUP(E1657,E$1:E1656,1,FALSE()))),"OLD",IF(AND(E1657&lt;&gt;"",E1657&lt;&gt;"!!!"),"NEW","")))</f>
        <v/>
      </c>
      <c r="G1657" s="11" t="str">
        <f aca="false">IF(OR(E1657="",E1657="!!!"),"",IF(OR(J1657=0,AND(J1657=1,K1657=1),AND(J1657=1,I1657="SBJ"),AND(J1657=1,I1657=0)),"?IN_FOCUS",IF(J1657&lt;=2,"?ACTIVATED",IF(J1657&lt;&gt;"","?FAMILIAR",IF(F1657="NEW",IF(ISNA(VLOOKUP(E1657,#REF!,1,FALSE())),"?TYPE_IDENTIFIABLE","?REFERENTIAL"),"_")))))</f>
        <v/>
      </c>
      <c r="H1657" s="12" t="str">
        <f aca="false">IF(J1657&lt;&gt;1,"",IF(I1657="SBJ","CB","?"))</f>
        <v/>
      </c>
      <c r="I1657" s="13" t="str">
        <f aca="false">IF(OR(E1657="",E1657="!!!",F1657="NEW"),"",INDEX(B$2:B1656,-1+SUMPRODUCT(MAX(ROW(E$2:E1656)*(E1657=E$2:E1656)))))</f>
        <v/>
      </c>
      <c r="J1657" s="14" t="str">
        <f aca="true">IF(OR(E1657="",E1657="!!!",F1657="NEW"),"",COUNTBLANK(OFFSET(A$1,,,SUMPRODUCT(MAX(ROW(E$2:E1657)*(E1657=E$2:E1657)))))-COUNTBLANK(OFFSET(A$1,,,SUMPRODUCT(MAX(ROW(E$1:E1656)*(E1657=E$1:E1656))))))</f>
        <v/>
      </c>
      <c r="K1657" s="14" t="str">
        <f aca="false">IF(OR(E1657="",E1657="!!!",F1657="NEW"),"",INDEX(J$1:J1656,SUMPRODUCT(MAX(ROW(E$1:E1656)*(E1657=E$1:E1656)))))</f>
        <v/>
      </c>
      <c r="L1657" s="15"/>
    </row>
    <row r="1658" customFormat="false" ht="12.75" hidden="false" customHeight="false" outlineLevel="0" collapsed="false">
      <c r="A1658" s="0" t="s">
        <v>260</v>
      </c>
      <c r="E1658" s="9" t="str">
        <f aca="false">IF(D1658="?OLD","!!!","")</f>
        <v/>
      </c>
      <c r="F1658" s="10" t="str">
        <f aca="false">IF(OR(E1658="",E1658="!!!"),"",IF(NOT(ISNA(VLOOKUP(E1658,E$1:E1657,1,FALSE()))),"OLD",IF(AND(E1658&lt;&gt;"",E1658&lt;&gt;"!!!"),"NEW","")))</f>
        <v/>
      </c>
      <c r="G1658" s="11" t="str">
        <f aca="false">IF(OR(E1658="",E1658="!!!"),"",IF(OR(J1658=0,AND(J1658=1,K1658=1),AND(J1658=1,I1658="SBJ"),AND(J1658=1,I1658=0)),"?IN_FOCUS",IF(J1658&lt;=2,"?ACTIVATED",IF(J1658&lt;&gt;"","?FAMILIAR",IF(F1658="NEW",IF(ISNA(VLOOKUP(E1658,#REF!,1,FALSE())),"?TYPE_IDENTIFIABLE","?REFERENTIAL"),"_")))))</f>
        <v/>
      </c>
      <c r="H1658" s="12" t="str">
        <f aca="false">IF(J1658&lt;&gt;1,"",IF(I1658="SBJ","CB","?"))</f>
        <v/>
      </c>
      <c r="I1658" s="13" t="str">
        <f aca="false">IF(OR(E1658="",E1658="!!!",F1658="NEW"),"",INDEX(B$2:B1657,-1+SUMPRODUCT(MAX(ROW(E$2:E1657)*(E1658=E$2:E1657)))))</f>
        <v/>
      </c>
      <c r="J1658" s="14" t="str">
        <f aca="true">IF(OR(E1658="",E1658="!!!",F1658="NEW"),"",COUNTBLANK(OFFSET(A$1,,,SUMPRODUCT(MAX(ROW(E$2:E1658)*(E1658=E$2:E1658)))))-COUNTBLANK(OFFSET(A$1,,,SUMPRODUCT(MAX(ROW(E$1:E1657)*(E1658=E$1:E1657))))))</f>
        <v/>
      </c>
      <c r="K1658" s="14" t="str">
        <f aca="false">IF(OR(E1658="",E1658="!!!",F1658="NEW"),"",INDEX(J$1:J1657,SUMPRODUCT(MAX(ROW(E$1:E1657)*(E1658=E$1:E1657)))))</f>
        <v/>
      </c>
      <c r="L1658" s="15"/>
    </row>
    <row r="1659" customFormat="false" ht="12.75" hidden="false" customHeight="false" outlineLevel="0" collapsed="false">
      <c r="A1659" s="0" t="s">
        <v>707</v>
      </c>
      <c r="E1659" s="9" t="str">
        <f aca="false">IF(D1659="?OLD","!!!","")</f>
        <v/>
      </c>
      <c r="F1659" s="10" t="str">
        <f aca="false">IF(OR(E1659="",E1659="!!!"),"",IF(NOT(ISNA(VLOOKUP(E1659,E$1:E1658,1,FALSE()))),"OLD",IF(AND(E1659&lt;&gt;"",E1659&lt;&gt;"!!!"),"NEW","")))</f>
        <v/>
      </c>
      <c r="G1659" s="11" t="str">
        <f aca="false">IF(OR(E1659="",E1659="!!!"),"",IF(OR(J1659=0,AND(J1659=1,K1659=1),AND(J1659=1,I1659="SBJ"),AND(J1659=1,I1659=0)),"?IN_FOCUS",IF(J1659&lt;=2,"?ACTIVATED",IF(J1659&lt;&gt;"","?FAMILIAR",IF(F1659="NEW",IF(ISNA(VLOOKUP(E1659,#REF!,1,FALSE())),"?TYPE_IDENTIFIABLE","?REFERENTIAL"),"_")))))</f>
        <v/>
      </c>
      <c r="H1659" s="12" t="str">
        <f aca="false">IF(J1659&lt;&gt;1,"",IF(I1659="SBJ","CB","?"))</f>
        <v/>
      </c>
      <c r="I1659" s="13" t="str">
        <f aca="false">IF(OR(E1659="",E1659="!!!",F1659="NEW"),"",INDEX(B$2:B1658,-1+SUMPRODUCT(MAX(ROW(E$2:E1658)*(E1659=E$2:E1658)))))</f>
        <v/>
      </c>
      <c r="J1659" s="14" t="str">
        <f aca="true">IF(OR(E1659="",E1659="!!!",F1659="NEW"),"",COUNTBLANK(OFFSET(A$1,,,SUMPRODUCT(MAX(ROW(E$2:E1659)*(E1659=E$2:E1659)))))-COUNTBLANK(OFFSET(A$1,,,SUMPRODUCT(MAX(ROW(E$1:E1658)*(E1659=E$1:E1658))))))</f>
        <v/>
      </c>
      <c r="K1659" s="14" t="str">
        <f aca="false">IF(OR(E1659="",E1659="!!!",F1659="NEW"),"",INDEX(J$1:J1658,SUMPRODUCT(MAX(ROW(E$1:E1658)*(E1659=E$1:E1658)))))</f>
        <v/>
      </c>
      <c r="L1659" s="15"/>
    </row>
    <row r="1660" customFormat="false" ht="12.75" hidden="false" customHeight="false" outlineLevel="0" collapsed="false">
      <c r="A1660" s="0" t="s">
        <v>262</v>
      </c>
      <c r="E1660" s="9" t="str">
        <f aca="false">IF(D1660="?OLD","!!!","")</f>
        <v/>
      </c>
      <c r="F1660" s="10" t="str">
        <f aca="false">IF(OR(E1660="",E1660="!!!"),"",IF(NOT(ISNA(VLOOKUP(E1660,E$1:E1659,1,FALSE()))),"OLD",IF(AND(E1660&lt;&gt;"",E1660&lt;&gt;"!!!"),"NEW","")))</f>
        <v/>
      </c>
      <c r="G1660" s="11" t="str">
        <f aca="false">IF(OR(E1660="",E1660="!!!"),"",IF(OR(J1660=0,AND(J1660=1,K1660=1),AND(J1660=1,I1660="SBJ"),AND(J1660=1,I1660=0)),"?IN_FOCUS",IF(J1660&lt;=2,"?ACTIVATED",IF(J1660&lt;&gt;"","?FAMILIAR",IF(F1660="NEW",IF(ISNA(VLOOKUP(E1660,#REF!,1,FALSE())),"?TYPE_IDENTIFIABLE","?REFERENTIAL"),"_")))))</f>
        <v/>
      </c>
      <c r="H1660" s="12" t="str">
        <f aca="false">IF(J1660&lt;&gt;1,"",IF(I1660="SBJ","CB","?"))</f>
        <v/>
      </c>
      <c r="I1660" s="13" t="str">
        <f aca="false">IF(OR(E1660="",E1660="!!!",F1660="NEW"),"",INDEX(B$2:B1659,-1+SUMPRODUCT(MAX(ROW(E$2:E1659)*(E1660=E$2:E1659)))))</f>
        <v/>
      </c>
      <c r="J1660" s="14" t="str">
        <f aca="true">IF(OR(E1660="",E1660="!!!",F1660="NEW"),"",COUNTBLANK(OFFSET(A$1,,,SUMPRODUCT(MAX(ROW(E$2:E1660)*(E1660=E$2:E1660)))))-COUNTBLANK(OFFSET(A$1,,,SUMPRODUCT(MAX(ROW(E$1:E1659)*(E1660=E$1:E1659))))))</f>
        <v/>
      </c>
      <c r="K1660" s="14" t="str">
        <f aca="false">IF(OR(E1660="",E1660="!!!",F1660="NEW"),"",INDEX(J$1:J1659,SUMPRODUCT(MAX(ROW(E$1:E1659)*(E1660=E$1:E1659)))))</f>
        <v/>
      </c>
      <c r="L1660" s="15"/>
    </row>
    <row r="1661" customFormat="false" ht="12.75" hidden="false" customHeight="false" outlineLevel="0" collapsed="false">
      <c r="A1661" s="0" t="s">
        <v>708</v>
      </c>
      <c r="E1661" s="9" t="str">
        <f aca="false">IF(D1661="?OLD","!!!","")</f>
        <v/>
      </c>
      <c r="F1661" s="10" t="str">
        <f aca="false">IF(OR(E1661="",E1661="!!!"),"",IF(NOT(ISNA(VLOOKUP(E1661,E$1:E1660,1,FALSE()))),"OLD",IF(AND(E1661&lt;&gt;"",E1661&lt;&gt;"!!!"),"NEW","")))</f>
        <v/>
      </c>
      <c r="G1661" s="11" t="str">
        <f aca="false">IF(OR(E1661="",E1661="!!!"),"",IF(OR(J1661=0,AND(J1661=1,K1661=1),AND(J1661=1,I1661="SBJ"),AND(J1661=1,I1661=0)),"?IN_FOCUS",IF(J1661&lt;=2,"?ACTIVATED",IF(J1661&lt;&gt;"","?FAMILIAR",IF(F1661="NEW",IF(ISNA(VLOOKUP(E1661,#REF!,1,FALSE())),"?TYPE_IDENTIFIABLE","?REFERENTIAL"),"_")))))</f>
        <v/>
      </c>
      <c r="H1661" s="12" t="str">
        <f aca="false">IF(J1661&lt;&gt;1,"",IF(I1661="SBJ","CB","?"))</f>
        <v/>
      </c>
      <c r="I1661" s="13" t="str">
        <f aca="false">IF(OR(E1661="",E1661="!!!",F1661="NEW"),"",INDEX(B$2:B1660,-1+SUMPRODUCT(MAX(ROW(E$2:E1660)*(E1661=E$2:E1660)))))</f>
        <v/>
      </c>
      <c r="J1661" s="14" t="str">
        <f aca="true">IF(OR(E1661="",E1661="!!!",F1661="NEW"),"",COUNTBLANK(OFFSET(A$1,,,SUMPRODUCT(MAX(ROW(E$2:E1661)*(E1661=E$2:E1661)))))-COUNTBLANK(OFFSET(A$1,,,SUMPRODUCT(MAX(ROW(E$1:E1660)*(E1661=E$1:E1660))))))</f>
        <v/>
      </c>
      <c r="K1661" s="14" t="str">
        <f aca="false">IF(OR(E1661="",E1661="!!!",F1661="NEW"),"",INDEX(J$1:J1660,SUMPRODUCT(MAX(ROW(E$1:E1660)*(E1661=E$1:E1660)))))</f>
        <v/>
      </c>
      <c r="L1661" s="15"/>
    </row>
    <row r="1662" customFormat="false" ht="12.75" hidden="false" customHeight="false" outlineLevel="0" collapsed="false">
      <c r="A1662" s="0" t="s">
        <v>147</v>
      </c>
      <c r="B1662" s="0" t="s">
        <v>14</v>
      </c>
      <c r="C1662" s="0" t="s">
        <v>38</v>
      </c>
      <c r="D1662" s="0" t="s">
        <v>29</v>
      </c>
      <c r="E1662" s="9" t="str">
        <f aca="false">IF(D1662="?OLD","!!!","")</f>
        <v>!!!</v>
      </c>
      <c r="F1662" s="10" t="str">
        <f aca="false">IF(OR(E1662="",E1662="!!!"),"",IF(NOT(ISNA(VLOOKUP(E1662,E$1:E1661,1,FALSE()))),"OLD",IF(AND(E1662&lt;&gt;"",E1662&lt;&gt;"!!!"),"NEW","")))</f>
        <v/>
      </c>
      <c r="G1662" s="11" t="str">
        <f aca="false">IF(OR(E1662="",E1662="!!!"),"",IF(OR(J1662=0,AND(J1662=1,K1662=1),AND(J1662=1,I1662="SBJ"),AND(J1662=1,I1662=0)),"?IN_FOCUS",IF(J1662&lt;=2,"?ACTIVATED",IF(J1662&lt;&gt;"","?FAMILIAR",IF(F1662="NEW",IF(ISNA(VLOOKUP(E1662,#REF!,1,FALSE())),"?TYPE_IDENTIFIABLE","?REFERENTIAL"),"_")))))</f>
        <v/>
      </c>
      <c r="H1662" s="12" t="str">
        <f aca="false">IF(J1662&lt;&gt;1,"",IF(I1662="SBJ","CB","?"))</f>
        <v/>
      </c>
      <c r="I1662" s="13" t="str">
        <f aca="false">IF(OR(E1662="",E1662="!!!",F1662="NEW"),"",INDEX(B$2:B1661,-1+SUMPRODUCT(MAX(ROW(E$2:E1661)*(E1662=E$2:E1661)))))</f>
        <v/>
      </c>
      <c r="J1662" s="14" t="str">
        <f aca="true">IF(OR(E1662="",E1662="!!!",F1662="NEW"),"",COUNTBLANK(OFFSET(A$1,,,SUMPRODUCT(MAX(ROW(E$2:E1662)*(E1662=E$2:E1662)))))-COUNTBLANK(OFFSET(A$1,,,SUMPRODUCT(MAX(ROW(E$1:E1661)*(E1662=E$1:E1661))))))</f>
        <v/>
      </c>
      <c r="K1662" s="14" t="str">
        <f aca="false">IF(OR(E1662="",E1662="!!!",F1662="NEW"),"",INDEX(J$1:J1661,SUMPRODUCT(MAX(ROW(E$1:E1661)*(E1662=E$1:E1661)))))</f>
        <v/>
      </c>
      <c r="L1662" s="15"/>
    </row>
    <row r="1663" customFormat="false" ht="12.75" hidden="false" customHeight="false" outlineLevel="0" collapsed="false">
      <c r="A1663" s="0" t="s">
        <v>709</v>
      </c>
      <c r="E1663" s="9" t="str">
        <f aca="false">IF(D1663="?OLD","!!!","")</f>
        <v/>
      </c>
      <c r="F1663" s="10" t="str">
        <f aca="false">IF(OR(E1663="",E1663="!!!"),"",IF(NOT(ISNA(VLOOKUP(E1663,E$1:E1662,1,FALSE()))),"OLD",IF(AND(E1663&lt;&gt;"",E1663&lt;&gt;"!!!"),"NEW","")))</f>
        <v/>
      </c>
      <c r="G1663" s="11" t="str">
        <f aca="false">IF(OR(E1663="",E1663="!!!"),"",IF(OR(J1663=0,AND(J1663=1,K1663=1),AND(J1663=1,I1663="SBJ"),AND(J1663=1,I1663=0)),"?IN_FOCUS",IF(J1663&lt;=2,"?ACTIVATED",IF(J1663&lt;&gt;"","?FAMILIAR",IF(F1663="NEW",IF(ISNA(VLOOKUP(E1663,#REF!,1,FALSE())),"?TYPE_IDENTIFIABLE","?REFERENTIAL"),"_")))))</f>
        <v/>
      </c>
      <c r="H1663" s="12" t="str">
        <f aca="false">IF(J1663&lt;&gt;1,"",IF(I1663="SBJ","CB","?"))</f>
        <v/>
      </c>
      <c r="I1663" s="13" t="str">
        <f aca="false">IF(OR(E1663="",E1663="!!!",F1663="NEW"),"",INDEX(B$2:B1662,-1+SUMPRODUCT(MAX(ROW(E$2:E1662)*(E1663=E$2:E1662)))))</f>
        <v/>
      </c>
      <c r="J1663" s="14" t="str">
        <f aca="true">IF(OR(E1663="",E1663="!!!",F1663="NEW"),"",COUNTBLANK(OFFSET(A$1,,,SUMPRODUCT(MAX(ROW(E$2:E1663)*(E1663=E$2:E1663)))))-COUNTBLANK(OFFSET(A$1,,,SUMPRODUCT(MAX(ROW(E$1:E1662)*(E1663=E$1:E1662))))))</f>
        <v/>
      </c>
      <c r="K1663" s="14" t="str">
        <f aca="false">IF(OR(E1663="",E1663="!!!",F1663="NEW"),"",INDEX(J$1:J1662,SUMPRODUCT(MAX(ROW(E$1:E1662)*(E1663=E$1:E1662)))))</f>
        <v/>
      </c>
      <c r="L1663" s="15"/>
    </row>
    <row r="1664" customFormat="false" ht="12.75" hidden="false" customHeight="false" outlineLevel="0" collapsed="false">
      <c r="A1664" s="0" t="s">
        <v>670</v>
      </c>
      <c r="E1664" s="9" t="str">
        <f aca="false">IF(D1664="?OLD","!!!","")</f>
        <v/>
      </c>
      <c r="F1664" s="10" t="str">
        <f aca="false">IF(OR(E1664="",E1664="!!!"),"",IF(NOT(ISNA(VLOOKUP(E1664,E$1:E1663,1,FALSE()))),"OLD",IF(AND(E1664&lt;&gt;"",E1664&lt;&gt;"!!!"),"NEW","")))</f>
        <v/>
      </c>
      <c r="G1664" s="11" t="str">
        <f aca="false">IF(OR(E1664="",E1664="!!!"),"",IF(OR(J1664=0,AND(J1664=1,K1664=1),AND(J1664=1,I1664="SBJ"),AND(J1664=1,I1664=0)),"?IN_FOCUS",IF(J1664&lt;=2,"?ACTIVATED",IF(J1664&lt;&gt;"","?FAMILIAR",IF(F1664="NEW",IF(ISNA(VLOOKUP(E1664,#REF!,1,FALSE())),"?TYPE_IDENTIFIABLE","?REFERENTIAL"),"_")))))</f>
        <v/>
      </c>
      <c r="H1664" s="12" t="str">
        <f aca="false">IF(J1664&lt;&gt;1,"",IF(I1664="SBJ","CB","?"))</f>
        <v/>
      </c>
      <c r="I1664" s="13" t="str">
        <f aca="false">IF(OR(E1664="",E1664="!!!",F1664="NEW"),"",INDEX(B$2:B1663,-1+SUMPRODUCT(MAX(ROW(E$2:E1663)*(E1664=E$2:E1663)))))</f>
        <v/>
      </c>
      <c r="J1664" s="14" t="str">
        <f aca="true">IF(OR(E1664="",E1664="!!!",F1664="NEW"),"",COUNTBLANK(OFFSET(A$1,,,SUMPRODUCT(MAX(ROW(E$2:E1664)*(E1664=E$2:E1664)))))-COUNTBLANK(OFFSET(A$1,,,SUMPRODUCT(MAX(ROW(E$1:E1663)*(E1664=E$1:E1663))))))</f>
        <v/>
      </c>
      <c r="K1664" s="14" t="str">
        <f aca="false">IF(OR(E1664="",E1664="!!!",F1664="NEW"),"",INDEX(J$1:J1663,SUMPRODUCT(MAX(ROW(E$1:E1663)*(E1664=E$1:E1663)))))</f>
        <v/>
      </c>
      <c r="L1664" s="15"/>
    </row>
    <row r="1665" customFormat="false" ht="12.75" hidden="false" customHeight="false" outlineLevel="0" collapsed="false">
      <c r="A1665" s="0" t="s">
        <v>191</v>
      </c>
      <c r="E1665" s="9" t="str">
        <f aca="false">IF(D1665="?OLD","!!!","")</f>
        <v/>
      </c>
      <c r="F1665" s="10" t="str">
        <f aca="false">IF(OR(E1665="",E1665="!!!"),"",IF(NOT(ISNA(VLOOKUP(E1665,E$1:E1664,1,FALSE()))),"OLD",IF(AND(E1665&lt;&gt;"",E1665&lt;&gt;"!!!"),"NEW","")))</f>
        <v/>
      </c>
      <c r="G1665" s="11" t="str">
        <f aca="false">IF(OR(E1665="",E1665="!!!"),"",IF(OR(J1665=0,AND(J1665=1,K1665=1),AND(J1665=1,I1665="SBJ"),AND(J1665=1,I1665=0)),"?IN_FOCUS",IF(J1665&lt;=2,"?ACTIVATED",IF(J1665&lt;&gt;"","?FAMILIAR",IF(F1665="NEW",IF(ISNA(VLOOKUP(E1665,#REF!,1,FALSE())),"?TYPE_IDENTIFIABLE","?REFERENTIAL"),"_")))))</f>
        <v/>
      </c>
      <c r="H1665" s="12" t="str">
        <f aca="false">IF(J1665&lt;&gt;1,"",IF(I1665="SBJ","CB","?"))</f>
        <v/>
      </c>
      <c r="I1665" s="13" t="str">
        <f aca="false">IF(OR(E1665="",E1665="!!!",F1665="NEW"),"",INDEX(B$2:B1664,-1+SUMPRODUCT(MAX(ROW(E$2:E1664)*(E1665=E$2:E1664)))))</f>
        <v/>
      </c>
      <c r="J1665" s="14" t="str">
        <f aca="true">IF(OR(E1665="",E1665="!!!",F1665="NEW"),"",COUNTBLANK(OFFSET(A$1,,,SUMPRODUCT(MAX(ROW(E$2:E1665)*(E1665=E$2:E1665)))))-COUNTBLANK(OFFSET(A$1,,,SUMPRODUCT(MAX(ROW(E$1:E1664)*(E1665=E$1:E1664))))))</f>
        <v/>
      </c>
      <c r="K1665" s="14" t="str">
        <f aca="false">IF(OR(E1665="",E1665="!!!",F1665="NEW"),"",INDEX(J$1:J1664,SUMPRODUCT(MAX(ROW(E$1:E1664)*(E1665=E$1:E1664)))))</f>
        <v/>
      </c>
      <c r="L1665" s="15"/>
    </row>
    <row r="1666" customFormat="false" ht="12.75" hidden="false" customHeight="false" outlineLevel="0" collapsed="false">
      <c r="A1666" s="0" t="s">
        <v>178</v>
      </c>
      <c r="E1666" s="9" t="str">
        <f aca="false">IF(D1666="?OLD","!!!","")</f>
        <v/>
      </c>
      <c r="F1666" s="10" t="str">
        <f aca="false">IF(OR(E1666="",E1666="!!!"),"",IF(NOT(ISNA(VLOOKUP(E1666,E$1:E1665,1,FALSE()))),"OLD",IF(AND(E1666&lt;&gt;"",E1666&lt;&gt;"!!!"),"NEW","")))</f>
        <v/>
      </c>
      <c r="G1666" s="11" t="str">
        <f aca="false">IF(OR(E1666="",E1666="!!!"),"",IF(OR(J1666=0,AND(J1666=1,K1666=1),AND(J1666=1,I1666="SBJ"),AND(J1666=1,I1666=0)),"?IN_FOCUS",IF(J1666&lt;=2,"?ACTIVATED",IF(J1666&lt;&gt;"","?FAMILIAR",IF(F1666="NEW",IF(ISNA(VLOOKUP(E1666,#REF!,1,FALSE())),"?TYPE_IDENTIFIABLE","?REFERENTIAL"),"_")))))</f>
        <v/>
      </c>
      <c r="H1666" s="12" t="str">
        <f aca="false">IF(J1666&lt;&gt;1,"",IF(I1666="SBJ","CB","?"))</f>
        <v/>
      </c>
      <c r="I1666" s="13" t="str">
        <f aca="false">IF(OR(E1666="",E1666="!!!",F1666="NEW"),"",INDEX(B$2:B1665,-1+SUMPRODUCT(MAX(ROW(E$2:E1665)*(E1666=E$2:E1665)))))</f>
        <v/>
      </c>
      <c r="J1666" s="14" t="str">
        <f aca="true">IF(OR(E1666="",E1666="!!!",F1666="NEW"),"",COUNTBLANK(OFFSET(A$1,,,SUMPRODUCT(MAX(ROW(E$2:E1666)*(E1666=E$2:E1666)))))-COUNTBLANK(OFFSET(A$1,,,SUMPRODUCT(MAX(ROW(E$1:E1665)*(E1666=E$1:E1665))))))</f>
        <v/>
      </c>
      <c r="K1666" s="14" t="str">
        <f aca="false">IF(OR(E1666="",E1666="!!!",F1666="NEW"),"",INDEX(J$1:J1665,SUMPRODUCT(MAX(ROW(E$1:E1665)*(E1666=E$1:E1665)))))</f>
        <v/>
      </c>
      <c r="L1666" s="15"/>
    </row>
    <row r="1667" customFormat="false" ht="12.75" hidden="false" customHeight="false" outlineLevel="0" collapsed="false">
      <c r="A1667" s="0" t="s">
        <v>710</v>
      </c>
      <c r="E1667" s="9" t="str">
        <f aca="false">IF(D1667="?OLD","!!!","")</f>
        <v/>
      </c>
      <c r="F1667" s="10" t="str">
        <f aca="false">IF(OR(E1667="",E1667="!!!"),"",IF(NOT(ISNA(VLOOKUP(E1667,E$1:E1666,1,FALSE()))),"OLD",IF(AND(E1667&lt;&gt;"",E1667&lt;&gt;"!!!"),"NEW","")))</f>
        <v/>
      </c>
      <c r="G1667" s="11" t="str">
        <f aca="false">IF(OR(E1667="",E1667="!!!"),"",IF(OR(J1667=0,AND(J1667=1,K1667=1),AND(J1667=1,I1667="SBJ"),AND(J1667=1,I1667=0)),"?IN_FOCUS",IF(J1667&lt;=2,"?ACTIVATED",IF(J1667&lt;&gt;"","?FAMILIAR",IF(F1667="NEW",IF(ISNA(VLOOKUP(E1667,#REF!,1,FALSE())),"?TYPE_IDENTIFIABLE","?REFERENTIAL"),"_")))))</f>
        <v/>
      </c>
      <c r="H1667" s="12" t="str">
        <f aca="false">IF(J1667&lt;&gt;1,"",IF(I1667="SBJ","CB","?"))</f>
        <v/>
      </c>
      <c r="I1667" s="13" t="str">
        <f aca="false">IF(OR(E1667="",E1667="!!!",F1667="NEW"),"",INDEX(B$2:B1666,-1+SUMPRODUCT(MAX(ROW(E$2:E1666)*(E1667=E$2:E1666)))))</f>
        <v/>
      </c>
      <c r="J1667" s="14" t="str">
        <f aca="true">IF(OR(E1667="",E1667="!!!",F1667="NEW"),"",COUNTBLANK(OFFSET(A$1,,,SUMPRODUCT(MAX(ROW(E$2:E1667)*(E1667=E$2:E1667)))))-COUNTBLANK(OFFSET(A$1,,,SUMPRODUCT(MAX(ROW(E$1:E1666)*(E1667=E$1:E1666))))))</f>
        <v/>
      </c>
      <c r="K1667" s="14" t="str">
        <f aca="false">IF(OR(E1667="",E1667="!!!",F1667="NEW"),"",INDEX(J$1:J1666,SUMPRODUCT(MAX(ROW(E$1:E1666)*(E1667=E$1:E1666)))))</f>
        <v/>
      </c>
      <c r="L1667" s="15"/>
    </row>
    <row r="1668" customFormat="false" ht="12.75" hidden="false" customHeight="false" outlineLevel="0" collapsed="false">
      <c r="A1668" s="0" t="s">
        <v>711</v>
      </c>
      <c r="B1668" s="0" t="s">
        <v>62</v>
      </c>
      <c r="C1668" s="0" t="s">
        <v>120</v>
      </c>
      <c r="E1668" s="9" t="str">
        <f aca="false">IF(D1668="?OLD","!!!","")</f>
        <v/>
      </c>
      <c r="F1668" s="10" t="str">
        <f aca="false">IF(OR(E1668="",E1668="!!!"),"",IF(NOT(ISNA(VLOOKUP(E1668,E$1:E1667,1,FALSE()))),"OLD",IF(AND(E1668&lt;&gt;"",E1668&lt;&gt;"!!!"),"NEW","")))</f>
        <v/>
      </c>
      <c r="G1668" s="11" t="str">
        <f aca="false">IF(OR(E1668="",E1668="!!!"),"",IF(OR(J1668=0,AND(J1668=1,K1668=1),AND(J1668=1,I1668="SBJ"),AND(J1668=1,I1668=0)),"?IN_FOCUS",IF(J1668&lt;=2,"?ACTIVATED",IF(J1668&lt;&gt;"","?FAMILIAR",IF(F1668="NEW",IF(ISNA(VLOOKUP(E1668,#REF!,1,FALSE())),"?TYPE_IDENTIFIABLE","?REFERENTIAL"),"_")))))</f>
        <v/>
      </c>
      <c r="H1668" s="12" t="str">
        <f aca="false">IF(J1668&lt;&gt;1,"",IF(I1668="SBJ","CB","?"))</f>
        <v/>
      </c>
      <c r="I1668" s="13" t="str">
        <f aca="false">IF(OR(E1668="",E1668="!!!",F1668="NEW"),"",INDEX(B$2:B1667,-1+SUMPRODUCT(MAX(ROW(E$2:E1667)*(E1668=E$2:E1667)))))</f>
        <v/>
      </c>
      <c r="J1668" s="14" t="str">
        <f aca="true">IF(OR(E1668="",E1668="!!!",F1668="NEW"),"",COUNTBLANK(OFFSET(A$1,,,SUMPRODUCT(MAX(ROW(E$2:E1668)*(E1668=E$2:E1668)))))-COUNTBLANK(OFFSET(A$1,,,SUMPRODUCT(MAX(ROW(E$1:E1667)*(E1668=E$1:E1667))))))</f>
        <v/>
      </c>
      <c r="K1668" s="14" t="str">
        <f aca="false">IF(OR(E1668="",E1668="!!!",F1668="NEW"),"",INDEX(J$1:J1667,SUMPRODUCT(MAX(ROW(E$1:E1667)*(E1668=E$1:E1667)))))</f>
        <v/>
      </c>
      <c r="L1668" s="15"/>
    </row>
    <row r="1669" customFormat="false" ht="12.75" hidden="false" customHeight="false" outlineLevel="0" collapsed="false">
      <c r="A1669" s="0" t="s">
        <v>269</v>
      </c>
      <c r="E1669" s="9" t="str">
        <f aca="false">IF(D1669="?OLD","!!!","")</f>
        <v/>
      </c>
      <c r="F1669" s="10" t="str">
        <f aca="false">IF(OR(E1669="",E1669="!!!"),"",IF(NOT(ISNA(VLOOKUP(E1669,E$1:E1668,1,FALSE()))),"OLD",IF(AND(E1669&lt;&gt;"",E1669&lt;&gt;"!!!"),"NEW","")))</f>
        <v/>
      </c>
      <c r="G1669" s="11" t="str">
        <f aca="false">IF(OR(E1669="",E1669="!!!"),"",IF(OR(J1669=0,AND(J1669=1,K1669=1),AND(J1669=1,I1669="SBJ"),AND(J1669=1,I1669=0)),"?IN_FOCUS",IF(J1669&lt;=2,"?ACTIVATED",IF(J1669&lt;&gt;"","?FAMILIAR",IF(F1669="NEW",IF(ISNA(VLOOKUP(E1669,#REF!,1,FALSE())),"?TYPE_IDENTIFIABLE","?REFERENTIAL"),"_")))))</f>
        <v/>
      </c>
      <c r="H1669" s="12" t="str">
        <f aca="false">IF(J1669&lt;&gt;1,"",IF(I1669="SBJ","CB","?"))</f>
        <v/>
      </c>
      <c r="I1669" s="13" t="str">
        <f aca="false">IF(OR(E1669="",E1669="!!!",F1669="NEW"),"",INDEX(B$2:B1668,-1+SUMPRODUCT(MAX(ROW(E$2:E1668)*(E1669=E$2:E1668)))))</f>
        <v/>
      </c>
      <c r="J1669" s="14" t="str">
        <f aca="true">IF(OR(E1669="",E1669="!!!",F1669="NEW"),"",COUNTBLANK(OFFSET(A$1,,,SUMPRODUCT(MAX(ROW(E$2:E1669)*(E1669=E$2:E1669)))))-COUNTBLANK(OFFSET(A$1,,,SUMPRODUCT(MAX(ROW(E$1:E1668)*(E1669=E$1:E1668))))))</f>
        <v/>
      </c>
      <c r="K1669" s="14" t="str">
        <f aca="false">IF(OR(E1669="",E1669="!!!",F1669="NEW"),"",INDEX(J$1:J1668,SUMPRODUCT(MAX(ROW(E$1:E1668)*(E1669=E$1:E1668)))))</f>
        <v/>
      </c>
      <c r="L1669" s="15"/>
    </row>
    <row r="1670" customFormat="false" ht="12.75" hidden="false" customHeight="false" outlineLevel="0" collapsed="false">
      <c r="A1670" s="0" t="s">
        <v>262</v>
      </c>
      <c r="E1670" s="9" t="str">
        <f aca="false">IF(D1670="?OLD","!!!","")</f>
        <v/>
      </c>
      <c r="F1670" s="10" t="str">
        <f aca="false">IF(OR(E1670="",E1670="!!!"),"",IF(NOT(ISNA(VLOOKUP(E1670,E$1:E1669,1,FALSE()))),"OLD",IF(AND(E1670&lt;&gt;"",E1670&lt;&gt;"!!!"),"NEW","")))</f>
        <v/>
      </c>
      <c r="G1670" s="11" t="str">
        <f aca="false">IF(OR(E1670="",E1670="!!!"),"",IF(OR(J1670=0,AND(J1670=1,K1670=1),AND(J1670=1,I1670="SBJ"),AND(J1670=1,I1670=0)),"?IN_FOCUS",IF(J1670&lt;=2,"?ACTIVATED",IF(J1670&lt;&gt;"","?FAMILIAR",IF(F1670="NEW",IF(ISNA(VLOOKUP(E1670,#REF!,1,FALSE())),"?TYPE_IDENTIFIABLE","?REFERENTIAL"),"_")))))</f>
        <v/>
      </c>
      <c r="H1670" s="12" t="str">
        <f aca="false">IF(J1670&lt;&gt;1,"",IF(I1670="SBJ","CB","?"))</f>
        <v/>
      </c>
      <c r="I1670" s="13" t="str">
        <f aca="false">IF(OR(E1670="",E1670="!!!",F1670="NEW"),"",INDEX(B$2:B1669,-1+SUMPRODUCT(MAX(ROW(E$2:E1669)*(E1670=E$2:E1669)))))</f>
        <v/>
      </c>
      <c r="J1670" s="14" t="str">
        <f aca="true">IF(OR(E1670="",E1670="!!!",F1670="NEW"),"",COUNTBLANK(OFFSET(A$1,,,SUMPRODUCT(MAX(ROW(E$2:E1670)*(E1670=E$2:E1670)))))-COUNTBLANK(OFFSET(A$1,,,SUMPRODUCT(MAX(ROW(E$1:E1669)*(E1670=E$1:E1669))))))</f>
        <v/>
      </c>
      <c r="K1670" s="14" t="str">
        <f aca="false">IF(OR(E1670="",E1670="!!!",F1670="NEW"),"",INDEX(J$1:J1669,SUMPRODUCT(MAX(ROW(E$1:E1669)*(E1670=E$1:E1669)))))</f>
        <v/>
      </c>
      <c r="L1670" s="15"/>
    </row>
    <row r="1671" customFormat="false" ht="12.75" hidden="false" customHeight="false" outlineLevel="0" collapsed="false">
      <c r="E1671" s="9" t="str">
        <f aca="false">IF(D1671="?OLD","!!!","")</f>
        <v/>
      </c>
      <c r="F1671" s="10" t="str">
        <f aca="false">IF(OR(E1671="",E1671="!!!"),"",IF(NOT(ISNA(VLOOKUP(E1671,E$1:E1670,1,FALSE()))),"OLD",IF(AND(E1671&lt;&gt;"",E1671&lt;&gt;"!!!"),"NEW","")))</f>
        <v/>
      </c>
      <c r="G1671" s="11" t="str">
        <f aca="false">IF(OR(E1671="",E1671="!!!"),"",IF(OR(J1671=0,AND(J1671=1,K1671=1),AND(J1671=1,I1671="SBJ"),AND(J1671=1,I1671=0)),"?IN_FOCUS",IF(J1671&lt;=2,"?ACTIVATED",IF(J1671&lt;&gt;"","?FAMILIAR",IF(F1671="NEW",IF(ISNA(VLOOKUP(E1671,#REF!,1,FALSE())),"?TYPE_IDENTIFIABLE","?REFERENTIAL"),"_")))))</f>
        <v/>
      </c>
      <c r="H1671" s="12" t="str">
        <f aca="false">IF(J1671&lt;&gt;1,"",IF(I1671="SBJ","CB","?"))</f>
        <v/>
      </c>
      <c r="I1671" s="13" t="str">
        <f aca="false">IF(OR(E1671="",E1671="!!!",F1671="NEW"),"",INDEX(B$2:B1670,-1+SUMPRODUCT(MAX(ROW(E$2:E1670)*(E1671=E$2:E1670)))))</f>
        <v/>
      </c>
      <c r="J1671" s="14" t="str">
        <f aca="true">IF(OR(E1671="",E1671="!!!",F1671="NEW"),"",COUNTBLANK(OFFSET(A$1,,,SUMPRODUCT(MAX(ROW(E$2:E1671)*(E1671=E$2:E1671)))))-COUNTBLANK(OFFSET(A$1,,,SUMPRODUCT(MAX(ROW(E$1:E1670)*(E1671=E$1:E1670))))))</f>
        <v/>
      </c>
      <c r="K1671" s="14" t="str">
        <f aca="false">IF(OR(E1671="",E1671="!!!",F1671="NEW"),"",INDEX(J$1:J1670,SUMPRODUCT(MAX(ROW(E$1:E1670)*(E1671=E$1:E1670)))))</f>
        <v/>
      </c>
      <c r="L1671" s="15"/>
    </row>
    <row r="1672" customFormat="false" ht="12.75" hidden="false" customHeight="false" outlineLevel="0" collapsed="false">
      <c r="A1672" s="0" t="s">
        <v>260</v>
      </c>
      <c r="E1672" s="9" t="str">
        <f aca="false">IF(D1672="?OLD","!!!","")</f>
        <v/>
      </c>
      <c r="F1672" s="10" t="str">
        <f aca="false">IF(OR(E1672="",E1672="!!!"),"",IF(NOT(ISNA(VLOOKUP(E1672,E$1:E1671,1,FALSE()))),"OLD",IF(AND(E1672&lt;&gt;"",E1672&lt;&gt;"!!!"),"NEW","")))</f>
        <v/>
      </c>
      <c r="G1672" s="11" t="str">
        <f aca="false">IF(OR(E1672="",E1672="!!!"),"",IF(OR(J1672=0,AND(J1672=1,K1672=1),AND(J1672=1,I1672="SBJ"),AND(J1672=1,I1672=0)),"?IN_FOCUS",IF(J1672&lt;=2,"?ACTIVATED",IF(J1672&lt;&gt;"","?FAMILIAR",IF(F1672="NEW",IF(ISNA(VLOOKUP(E1672,#REF!,1,FALSE())),"?TYPE_IDENTIFIABLE","?REFERENTIAL"),"_")))))</f>
        <v/>
      </c>
      <c r="H1672" s="12" t="str">
        <f aca="false">IF(J1672&lt;&gt;1,"",IF(I1672="SBJ","CB","?"))</f>
        <v/>
      </c>
      <c r="I1672" s="13" t="str">
        <f aca="false">IF(OR(E1672="",E1672="!!!",F1672="NEW"),"",INDEX(B$2:B1671,-1+SUMPRODUCT(MAX(ROW(E$2:E1671)*(E1672=E$2:E1671)))))</f>
        <v/>
      </c>
      <c r="J1672" s="14" t="str">
        <f aca="true">IF(OR(E1672="",E1672="!!!",F1672="NEW"),"",COUNTBLANK(OFFSET(A$1,,,SUMPRODUCT(MAX(ROW(E$2:E1672)*(E1672=E$2:E1672)))))-COUNTBLANK(OFFSET(A$1,,,SUMPRODUCT(MAX(ROW(E$1:E1671)*(E1672=E$1:E1671))))))</f>
        <v/>
      </c>
      <c r="K1672" s="14" t="str">
        <f aca="false">IF(OR(E1672="",E1672="!!!",F1672="NEW"),"",INDEX(J$1:J1671,SUMPRODUCT(MAX(ROW(E$1:E1671)*(E1672=E$1:E1671)))))</f>
        <v/>
      </c>
      <c r="L1672" s="15"/>
    </row>
    <row r="1673" customFormat="false" ht="12.75" hidden="false" customHeight="false" outlineLevel="0" collapsed="false">
      <c r="A1673" s="0" t="s">
        <v>712</v>
      </c>
      <c r="E1673" s="9" t="str">
        <f aca="false">IF(D1673="?OLD","!!!","")</f>
        <v/>
      </c>
      <c r="F1673" s="10" t="str">
        <f aca="false">IF(OR(E1673="",E1673="!!!"),"",IF(NOT(ISNA(VLOOKUP(E1673,E$1:E1672,1,FALSE()))),"OLD",IF(AND(E1673&lt;&gt;"",E1673&lt;&gt;"!!!"),"NEW","")))</f>
        <v/>
      </c>
      <c r="G1673" s="11" t="str">
        <f aca="false">IF(OR(E1673="",E1673="!!!"),"",IF(OR(J1673=0,AND(J1673=1,K1673=1),AND(J1673=1,I1673="SBJ"),AND(J1673=1,I1673=0)),"?IN_FOCUS",IF(J1673&lt;=2,"?ACTIVATED",IF(J1673&lt;&gt;"","?FAMILIAR",IF(F1673="NEW",IF(ISNA(VLOOKUP(E1673,#REF!,1,FALSE())),"?TYPE_IDENTIFIABLE","?REFERENTIAL"),"_")))))</f>
        <v/>
      </c>
      <c r="H1673" s="12" t="str">
        <f aca="false">IF(J1673&lt;&gt;1,"",IF(I1673="SBJ","CB","?"))</f>
        <v/>
      </c>
      <c r="I1673" s="13" t="str">
        <f aca="false">IF(OR(E1673="",E1673="!!!",F1673="NEW"),"",INDEX(B$2:B1672,-1+SUMPRODUCT(MAX(ROW(E$2:E1672)*(E1673=E$2:E1672)))))</f>
        <v/>
      </c>
      <c r="J1673" s="14" t="str">
        <f aca="true">IF(OR(E1673="",E1673="!!!",F1673="NEW"),"",COUNTBLANK(OFFSET(A$1,,,SUMPRODUCT(MAX(ROW(E$2:E1673)*(E1673=E$2:E1673)))))-COUNTBLANK(OFFSET(A$1,,,SUMPRODUCT(MAX(ROW(E$1:E1672)*(E1673=E$1:E1672))))))</f>
        <v/>
      </c>
      <c r="K1673" s="14" t="str">
        <f aca="false">IF(OR(E1673="",E1673="!!!",F1673="NEW"),"",INDEX(J$1:J1672,SUMPRODUCT(MAX(ROW(E$1:E1672)*(E1673=E$1:E1672)))))</f>
        <v/>
      </c>
      <c r="L1673" s="15"/>
    </row>
    <row r="1674" customFormat="false" ht="12.75" hidden="false" customHeight="false" outlineLevel="0" collapsed="false">
      <c r="A1674" s="0" t="s">
        <v>262</v>
      </c>
      <c r="E1674" s="9" t="str">
        <f aca="false">IF(D1674="?OLD","!!!","")</f>
        <v/>
      </c>
      <c r="F1674" s="10" t="str">
        <f aca="false">IF(OR(E1674="",E1674="!!!"),"",IF(NOT(ISNA(VLOOKUP(E1674,E$1:E1673,1,FALSE()))),"OLD",IF(AND(E1674&lt;&gt;"",E1674&lt;&gt;"!!!"),"NEW","")))</f>
        <v/>
      </c>
      <c r="G1674" s="11" t="str">
        <f aca="false">IF(OR(E1674="",E1674="!!!"),"",IF(OR(J1674=0,AND(J1674=1,K1674=1),AND(J1674=1,I1674="SBJ"),AND(J1674=1,I1674=0)),"?IN_FOCUS",IF(J1674&lt;=2,"?ACTIVATED",IF(J1674&lt;&gt;"","?FAMILIAR",IF(F1674="NEW",IF(ISNA(VLOOKUP(E1674,#REF!,1,FALSE())),"?TYPE_IDENTIFIABLE","?REFERENTIAL"),"_")))))</f>
        <v/>
      </c>
      <c r="H1674" s="12" t="str">
        <f aca="false">IF(J1674&lt;&gt;1,"",IF(I1674="SBJ","CB","?"))</f>
        <v/>
      </c>
      <c r="I1674" s="13" t="str">
        <f aca="false">IF(OR(E1674="",E1674="!!!",F1674="NEW"),"",INDEX(B$2:B1673,-1+SUMPRODUCT(MAX(ROW(E$2:E1673)*(E1674=E$2:E1673)))))</f>
        <v/>
      </c>
      <c r="J1674" s="14" t="str">
        <f aca="true">IF(OR(E1674="",E1674="!!!",F1674="NEW"),"",COUNTBLANK(OFFSET(A$1,,,SUMPRODUCT(MAX(ROW(E$2:E1674)*(E1674=E$2:E1674)))))-COUNTBLANK(OFFSET(A$1,,,SUMPRODUCT(MAX(ROW(E$1:E1673)*(E1674=E$1:E1673))))))</f>
        <v/>
      </c>
      <c r="K1674" s="14" t="str">
        <f aca="false">IF(OR(E1674="",E1674="!!!",F1674="NEW"),"",INDEX(J$1:J1673,SUMPRODUCT(MAX(ROW(E$1:E1673)*(E1674=E$1:E1673)))))</f>
        <v/>
      </c>
      <c r="L1674" s="15"/>
    </row>
    <row r="1675" customFormat="false" ht="12.75" hidden="false" customHeight="false" outlineLevel="0" collapsed="false">
      <c r="A1675" s="0" t="s">
        <v>380</v>
      </c>
      <c r="E1675" s="9" t="str">
        <f aca="false">IF(D1675="?OLD","!!!","")</f>
        <v/>
      </c>
      <c r="F1675" s="10" t="str">
        <f aca="false">IF(OR(E1675="",E1675="!!!"),"",IF(NOT(ISNA(VLOOKUP(E1675,E$1:E1674,1,FALSE()))),"OLD",IF(AND(E1675&lt;&gt;"",E1675&lt;&gt;"!!!"),"NEW","")))</f>
        <v/>
      </c>
      <c r="G1675" s="11" t="str">
        <f aca="false">IF(OR(E1675="",E1675="!!!"),"",IF(OR(J1675=0,AND(J1675=1,K1675=1),AND(J1675=1,I1675="SBJ"),AND(J1675=1,I1675=0)),"?IN_FOCUS",IF(J1675&lt;=2,"?ACTIVATED",IF(J1675&lt;&gt;"","?FAMILIAR",IF(F1675="NEW",IF(ISNA(VLOOKUP(E1675,#REF!,1,FALSE())),"?TYPE_IDENTIFIABLE","?REFERENTIAL"),"_")))))</f>
        <v/>
      </c>
      <c r="H1675" s="12" t="str">
        <f aca="false">IF(J1675&lt;&gt;1,"",IF(I1675="SBJ","CB","?"))</f>
        <v/>
      </c>
      <c r="I1675" s="13" t="str">
        <f aca="false">IF(OR(E1675="",E1675="!!!",F1675="NEW"),"",INDEX(B$2:B1674,-1+SUMPRODUCT(MAX(ROW(E$2:E1674)*(E1675=E$2:E1674)))))</f>
        <v/>
      </c>
      <c r="J1675" s="14" t="str">
        <f aca="true">IF(OR(E1675="",E1675="!!!",F1675="NEW"),"",COUNTBLANK(OFFSET(A$1,,,SUMPRODUCT(MAX(ROW(E$2:E1675)*(E1675=E$2:E1675)))))-COUNTBLANK(OFFSET(A$1,,,SUMPRODUCT(MAX(ROW(E$1:E1674)*(E1675=E$1:E1674))))))</f>
        <v/>
      </c>
      <c r="K1675" s="14" t="str">
        <f aca="false">IF(OR(E1675="",E1675="!!!",F1675="NEW"),"",INDEX(J$1:J1674,SUMPRODUCT(MAX(ROW(E$1:E1674)*(E1675=E$1:E1674)))))</f>
        <v/>
      </c>
      <c r="L1675" s="15"/>
    </row>
    <row r="1676" customFormat="false" ht="12.75" hidden="false" customHeight="false" outlineLevel="0" collapsed="false">
      <c r="A1676" s="0" t="s">
        <v>31</v>
      </c>
      <c r="E1676" s="9" t="str">
        <f aca="false">IF(D1676="?OLD","!!!","")</f>
        <v/>
      </c>
      <c r="F1676" s="10" t="str">
        <f aca="false">IF(OR(E1676="",E1676="!!!"),"",IF(NOT(ISNA(VLOOKUP(E1676,E$1:E1675,1,FALSE()))),"OLD",IF(AND(E1676&lt;&gt;"",E1676&lt;&gt;"!!!"),"NEW","")))</f>
        <v/>
      </c>
      <c r="G1676" s="11" t="str">
        <f aca="false">IF(OR(E1676="",E1676="!!!"),"",IF(OR(J1676=0,AND(J1676=1,K1676=1),AND(J1676=1,I1676="SBJ"),AND(J1676=1,I1676=0)),"?IN_FOCUS",IF(J1676&lt;=2,"?ACTIVATED",IF(J1676&lt;&gt;"","?FAMILIAR",IF(F1676="NEW",IF(ISNA(VLOOKUP(E1676,#REF!,1,FALSE())),"?TYPE_IDENTIFIABLE","?REFERENTIAL"),"_")))))</f>
        <v/>
      </c>
      <c r="H1676" s="12" t="str">
        <f aca="false">IF(J1676&lt;&gt;1,"",IF(I1676="SBJ","CB","?"))</f>
        <v/>
      </c>
      <c r="I1676" s="13" t="str">
        <f aca="false">IF(OR(E1676="",E1676="!!!",F1676="NEW"),"",INDEX(B$2:B1675,-1+SUMPRODUCT(MAX(ROW(E$2:E1675)*(E1676=E$2:E1675)))))</f>
        <v/>
      </c>
      <c r="J1676" s="14" t="str">
        <f aca="true">IF(OR(E1676="",E1676="!!!",F1676="NEW"),"",COUNTBLANK(OFFSET(A$1,,,SUMPRODUCT(MAX(ROW(E$2:E1676)*(E1676=E$2:E1676)))))-COUNTBLANK(OFFSET(A$1,,,SUMPRODUCT(MAX(ROW(E$1:E1675)*(E1676=E$1:E1675))))))</f>
        <v/>
      </c>
      <c r="K1676" s="14" t="str">
        <f aca="false">IF(OR(E1676="",E1676="!!!",F1676="NEW"),"",INDEX(J$1:J1675,SUMPRODUCT(MAX(ROW(E$1:E1675)*(E1676=E$1:E1675)))))</f>
        <v/>
      </c>
      <c r="L1676" s="15"/>
    </row>
    <row r="1677" customFormat="false" ht="12.75" hidden="false" customHeight="false" outlineLevel="0" collapsed="false">
      <c r="A1677" s="0" t="s">
        <v>122</v>
      </c>
      <c r="B1677" s="0" t="s">
        <v>14</v>
      </c>
      <c r="C1677" s="0" t="s">
        <v>38</v>
      </c>
      <c r="D1677" s="0" t="s">
        <v>29</v>
      </c>
      <c r="E1677" s="9" t="str">
        <f aca="false">IF(D1677="?OLD","!!!","")</f>
        <v>!!!</v>
      </c>
      <c r="F1677" s="10" t="str">
        <f aca="false">IF(OR(E1677="",E1677="!!!"),"",IF(NOT(ISNA(VLOOKUP(E1677,E$1:E1676,1,FALSE()))),"OLD",IF(AND(E1677&lt;&gt;"",E1677&lt;&gt;"!!!"),"NEW","")))</f>
        <v/>
      </c>
      <c r="G1677" s="11" t="str">
        <f aca="false">IF(OR(E1677="",E1677="!!!"),"",IF(OR(J1677=0,AND(J1677=1,K1677=1),AND(J1677=1,I1677="SBJ"),AND(J1677=1,I1677=0)),"?IN_FOCUS",IF(J1677&lt;=2,"?ACTIVATED",IF(J1677&lt;&gt;"","?FAMILIAR",IF(F1677="NEW",IF(ISNA(VLOOKUP(E1677,#REF!,1,FALSE())),"?TYPE_IDENTIFIABLE","?REFERENTIAL"),"_")))))</f>
        <v/>
      </c>
      <c r="H1677" s="12" t="str">
        <f aca="false">IF(J1677&lt;&gt;1,"",IF(I1677="SBJ","CB","?"))</f>
        <v/>
      </c>
      <c r="I1677" s="13" t="str">
        <f aca="false">IF(OR(E1677="",E1677="!!!",F1677="NEW"),"",INDEX(B$2:B1676,-1+SUMPRODUCT(MAX(ROW(E$2:E1676)*(E1677=E$2:E1676)))))</f>
        <v/>
      </c>
      <c r="J1677" s="14" t="str">
        <f aca="true">IF(OR(E1677="",E1677="!!!",F1677="NEW"),"",COUNTBLANK(OFFSET(A$1,,,SUMPRODUCT(MAX(ROW(E$2:E1677)*(E1677=E$2:E1677)))))-COUNTBLANK(OFFSET(A$1,,,SUMPRODUCT(MAX(ROW(E$1:E1676)*(E1677=E$1:E1676))))))</f>
        <v/>
      </c>
      <c r="K1677" s="14" t="str">
        <f aca="false">IF(OR(E1677="",E1677="!!!",F1677="NEW"),"",INDEX(J$1:J1676,SUMPRODUCT(MAX(ROW(E$1:E1676)*(E1677=E$1:E1676)))))</f>
        <v/>
      </c>
      <c r="L1677" s="15"/>
    </row>
    <row r="1678" customFormat="false" ht="12.75" hidden="false" customHeight="false" outlineLevel="0" collapsed="false">
      <c r="A1678" s="0" t="s">
        <v>399</v>
      </c>
      <c r="E1678" s="9" t="str">
        <f aca="false">IF(D1678="?OLD","!!!","")</f>
        <v/>
      </c>
      <c r="F1678" s="10" t="str">
        <f aca="false">IF(OR(E1678="",E1678="!!!"),"",IF(NOT(ISNA(VLOOKUP(E1678,E$1:E1677,1,FALSE()))),"OLD",IF(AND(E1678&lt;&gt;"",E1678&lt;&gt;"!!!"),"NEW","")))</f>
        <v/>
      </c>
      <c r="G1678" s="11" t="str">
        <f aca="false">IF(OR(E1678="",E1678="!!!"),"",IF(OR(J1678=0,AND(J1678=1,K1678=1),AND(J1678=1,I1678="SBJ"),AND(J1678=1,I1678=0)),"?IN_FOCUS",IF(J1678&lt;=2,"?ACTIVATED",IF(J1678&lt;&gt;"","?FAMILIAR",IF(F1678="NEW",IF(ISNA(VLOOKUP(E1678,#REF!,1,FALSE())),"?TYPE_IDENTIFIABLE","?REFERENTIAL"),"_")))))</f>
        <v/>
      </c>
      <c r="H1678" s="12" t="str">
        <f aca="false">IF(J1678&lt;&gt;1,"",IF(I1678="SBJ","CB","?"))</f>
        <v/>
      </c>
      <c r="I1678" s="13" t="str">
        <f aca="false">IF(OR(E1678="",E1678="!!!",F1678="NEW"),"",INDEX(B$2:B1677,-1+SUMPRODUCT(MAX(ROW(E$2:E1677)*(E1678=E$2:E1677)))))</f>
        <v/>
      </c>
      <c r="J1678" s="14" t="str">
        <f aca="true">IF(OR(E1678="",E1678="!!!",F1678="NEW"),"",COUNTBLANK(OFFSET(A$1,,,SUMPRODUCT(MAX(ROW(E$2:E1678)*(E1678=E$2:E1678)))))-COUNTBLANK(OFFSET(A$1,,,SUMPRODUCT(MAX(ROW(E$1:E1677)*(E1678=E$1:E1677))))))</f>
        <v/>
      </c>
      <c r="K1678" s="14" t="str">
        <f aca="false">IF(OR(E1678="",E1678="!!!",F1678="NEW"),"",INDEX(J$1:J1677,SUMPRODUCT(MAX(ROW(E$1:E1677)*(E1678=E$1:E1677)))))</f>
        <v/>
      </c>
      <c r="L1678" s="15"/>
    </row>
    <row r="1679" customFormat="false" ht="12.75" hidden="false" customHeight="false" outlineLevel="0" collapsed="false">
      <c r="A1679" s="0" t="s">
        <v>36</v>
      </c>
      <c r="B1679" s="0" t="s">
        <v>42</v>
      </c>
      <c r="C1679" s="0" t="s">
        <v>38</v>
      </c>
      <c r="D1679" s="0" t="s">
        <v>29</v>
      </c>
      <c r="E1679" s="9" t="str">
        <f aca="false">IF(D1679="?OLD","!!!","")</f>
        <v>!!!</v>
      </c>
      <c r="F1679" s="10" t="str">
        <f aca="false">IF(OR(E1679="",E1679="!!!"),"",IF(NOT(ISNA(VLOOKUP(E1679,E$1:E1678,1,FALSE()))),"OLD",IF(AND(E1679&lt;&gt;"",E1679&lt;&gt;"!!!"),"NEW","")))</f>
        <v/>
      </c>
      <c r="G1679" s="11" t="str">
        <f aca="false">IF(OR(E1679="",E1679="!!!"),"",IF(OR(J1679=0,AND(J1679=1,K1679=1),AND(J1679=1,I1679="SBJ"),AND(J1679=1,I1679=0)),"?IN_FOCUS",IF(J1679&lt;=2,"?ACTIVATED",IF(J1679&lt;&gt;"","?FAMILIAR",IF(F1679="NEW",IF(ISNA(VLOOKUP(E1679,#REF!,1,FALSE())),"?TYPE_IDENTIFIABLE","?REFERENTIAL"),"_")))))</f>
        <v/>
      </c>
      <c r="H1679" s="12" t="str">
        <f aca="false">IF(J1679&lt;&gt;1,"",IF(I1679="SBJ","CB","?"))</f>
        <v/>
      </c>
      <c r="I1679" s="13" t="str">
        <f aca="false">IF(OR(E1679="",E1679="!!!",F1679="NEW"),"",INDEX(B$2:B1678,-1+SUMPRODUCT(MAX(ROW(E$2:E1678)*(E1679=E$2:E1678)))))</f>
        <v/>
      </c>
      <c r="J1679" s="14" t="str">
        <f aca="true">IF(OR(E1679="",E1679="!!!",F1679="NEW"),"",COUNTBLANK(OFFSET(A$1,,,SUMPRODUCT(MAX(ROW(E$2:E1679)*(E1679=E$2:E1679)))))-COUNTBLANK(OFFSET(A$1,,,SUMPRODUCT(MAX(ROW(E$1:E1678)*(E1679=E$1:E1678))))))</f>
        <v/>
      </c>
      <c r="K1679" s="14" t="str">
        <f aca="false">IF(OR(E1679="",E1679="!!!",F1679="NEW"),"",INDEX(J$1:J1678,SUMPRODUCT(MAX(ROW(E$1:E1678)*(E1679=E$1:E1678)))))</f>
        <v/>
      </c>
      <c r="L1679" s="15"/>
    </row>
    <row r="1680" customFormat="false" ht="12.75" hidden="false" customHeight="false" outlineLevel="0" collapsed="false">
      <c r="A1680" s="0" t="s">
        <v>167</v>
      </c>
      <c r="E1680" s="9" t="str">
        <f aca="false">IF(D1680="?OLD","!!!","")</f>
        <v/>
      </c>
      <c r="F1680" s="10" t="str">
        <f aca="false">IF(OR(E1680="",E1680="!!!"),"",IF(NOT(ISNA(VLOOKUP(E1680,E$1:E1679,1,FALSE()))),"OLD",IF(AND(E1680&lt;&gt;"",E1680&lt;&gt;"!!!"),"NEW","")))</f>
        <v/>
      </c>
      <c r="G1680" s="11" t="str">
        <f aca="false">IF(OR(E1680="",E1680="!!!"),"",IF(OR(J1680=0,AND(J1680=1,K1680=1),AND(J1680=1,I1680="SBJ"),AND(J1680=1,I1680=0)),"?IN_FOCUS",IF(J1680&lt;=2,"?ACTIVATED",IF(J1680&lt;&gt;"","?FAMILIAR",IF(F1680="NEW",IF(ISNA(VLOOKUP(E1680,#REF!,1,FALSE())),"?TYPE_IDENTIFIABLE","?REFERENTIAL"),"_")))))</f>
        <v/>
      </c>
      <c r="H1680" s="12" t="str">
        <f aca="false">IF(J1680&lt;&gt;1,"",IF(I1680="SBJ","CB","?"))</f>
        <v/>
      </c>
      <c r="I1680" s="13" t="str">
        <f aca="false">IF(OR(E1680="",E1680="!!!",F1680="NEW"),"",INDEX(B$2:B1679,-1+SUMPRODUCT(MAX(ROW(E$2:E1679)*(E1680=E$2:E1679)))))</f>
        <v/>
      </c>
      <c r="J1680" s="14" t="str">
        <f aca="true">IF(OR(E1680="",E1680="!!!",F1680="NEW"),"",COUNTBLANK(OFFSET(A$1,,,SUMPRODUCT(MAX(ROW(E$2:E1680)*(E1680=E$2:E1680)))))-COUNTBLANK(OFFSET(A$1,,,SUMPRODUCT(MAX(ROW(E$1:E1679)*(E1680=E$1:E1679))))))</f>
        <v/>
      </c>
      <c r="K1680" s="14" t="str">
        <f aca="false">IF(OR(E1680="",E1680="!!!",F1680="NEW"),"",INDEX(J$1:J1679,SUMPRODUCT(MAX(ROW(E$1:E1679)*(E1680=E$1:E1679)))))</f>
        <v/>
      </c>
      <c r="L1680" s="15"/>
    </row>
    <row r="1681" customFormat="false" ht="12.75" hidden="false" customHeight="false" outlineLevel="0" collapsed="false">
      <c r="A1681" s="0" t="s">
        <v>168</v>
      </c>
      <c r="E1681" s="9" t="str">
        <f aca="false">IF(D1681="?OLD","!!!","")</f>
        <v/>
      </c>
      <c r="F1681" s="10" t="str">
        <f aca="false">IF(OR(E1681="",E1681="!!!"),"",IF(NOT(ISNA(VLOOKUP(E1681,E$1:E1680,1,FALSE()))),"OLD",IF(AND(E1681&lt;&gt;"",E1681&lt;&gt;"!!!"),"NEW","")))</f>
        <v/>
      </c>
      <c r="G1681" s="11" t="str">
        <f aca="false">IF(OR(E1681="",E1681="!!!"),"",IF(OR(J1681=0,AND(J1681=1,K1681=1),AND(J1681=1,I1681="SBJ"),AND(J1681=1,I1681=0)),"?IN_FOCUS",IF(J1681&lt;=2,"?ACTIVATED",IF(J1681&lt;&gt;"","?FAMILIAR",IF(F1681="NEW",IF(ISNA(VLOOKUP(E1681,#REF!,1,FALSE())),"?TYPE_IDENTIFIABLE","?REFERENTIAL"),"_")))))</f>
        <v/>
      </c>
      <c r="H1681" s="12" t="str">
        <f aca="false">IF(J1681&lt;&gt;1,"",IF(I1681="SBJ","CB","?"))</f>
        <v/>
      </c>
      <c r="I1681" s="13" t="str">
        <f aca="false">IF(OR(E1681="",E1681="!!!",F1681="NEW"),"",INDEX(B$2:B1680,-1+SUMPRODUCT(MAX(ROW(E$2:E1680)*(E1681=E$2:E1680)))))</f>
        <v/>
      </c>
      <c r="J1681" s="14" t="str">
        <f aca="true">IF(OR(E1681="",E1681="!!!",F1681="NEW"),"",COUNTBLANK(OFFSET(A$1,,,SUMPRODUCT(MAX(ROW(E$2:E1681)*(E1681=E$2:E1681)))))-COUNTBLANK(OFFSET(A$1,,,SUMPRODUCT(MAX(ROW(E$1:E1680)*(E1681=E$1:E1680))))))</f>
        <v/>
      </c>
      <c r="K1681" s="14" t="str">
        <f aca="false">IF(OR(E1681="",E1681="!!!",F1681="NEW"),"",INDEX(J$1:J1680,SUMPRODUCT(MAX(ROW(E$1:E1680)*(E1681=E$1:E1680)))))</f>
        <v/>
      </c>
      <c r="L1681" s="15"/>
    </row>
    <row r="1682" customFormat="false" ht="12.75" hidden="false" customHeight="false" outlineLevel="0" collapsed="false">
      <c r="A1682" s="0" t="s">
        <v>117</v>
      </c>
      <c r="E1682" s="9" t="str">
        <f aca="false">IF(D1682="?OLD","!!!","")</f>
        <v/>
      </c>
      <c r="F1682" s="10" t="str">
        <f aca="false">IF(OR(E1682="",E1682="!!!"),"",IF(NOT(ISNA(VLOOKUP(E1682,E$1:E1681,1,FALSE()))),"OLD",IF(AND(E1682&lt;&gt;"",E1682&lt;&gt;"!!!"),"NEW","")))</f>
        <v/>
      </c>
      <c r="G1682" s="11" t="str">
        <f aca="false">IF(OR(E1682="",E1682="!!!"),"",IF(OR(J1682=0,AND(J1682=1,K1682=1),AND(J1682=1,I1682="SBJ"),AND(J1682=1,I1682=0)),"?IN_FOCUS",IF(J1682&lt;=2,"?ACTIVATED",IF(J1682&lt;&gt;"","?FAMILIAR",IF(F1682="NEW",IF(ISNA(VLOOKUP(E1682,#REF!,1,FALSE())),"?TYPE_IDENTIFIABLE","?REFERENTIAL"),"_")))))</f>
        <v/>
      </c>
      <c r="H1682" s="12" t="str">
        <f aca="false">IF(J1682&lt;&gt;1,"",IF(I1682="SBJ","CB","?"))</f>
        <v/>
      </c>
      <c r="I1682" s="13" t="str">
        <f aca="false">IF(OR(E1682="",E1682="!!!",F1682="NEW"),"",INDEX(B$2:B1681,-1+SUMPRODUCT(MAX(ROW(E$2:E1681)*(E1682=E$2:E1681)))))</f>
        <v/>
      </c>
      <c r="J1682" s="14" t="str">
        <f aca="true">IF(OR(E1682="",E1682="!!!",F1682="NEW"),"",COUNTBLANK(OFFSET(A$1,,,SUMPRODUCT(MAX(ROW(E$2:E1682)*(E1682=E$2:E1682)))))-COUNTBLANK(OFFSET(A$1,,,SUMPRODUCT(MAX(ROW(E$1:E1681)*(E1682=E$1:E1681))))))</f>
        <v/>
      </c>
      <c r="K1682" s="14" t="str">
        <f aca="false">IF(OR(E1682="",E1682="!!!",F1682="NEW"),"",INDEX(J$1:J1681,SUMPRODUCT(MAX(ROW(E$1:E1681)*(E1682=E$1:E1681)))))</f>
        <v/>
      </c>
      <c r="L1682" s="15"/>
    </row>
    <row r="1683" customFormat="false" ht="12.75" hidden="false" customHeight="false" outlineLevel="0" collapsed="false">
      <c r="A1683" s="0" t="s">
        <v>567</v>
      </c>
      <c r="E1683" s="9" t="str">
        <f aca="false">IF(D1683="?OLD","!!!","")</f>
        <v/>
      </c>
      <c r="F1683" s="10" t="str">
        <f aca="false">IF(OR(E1683="",E1683="!!!"),"",IF(NOT(ISNA(VLOOKUP(E1683,E$1:E1682,1,FALSE()))),"OLD",IF(AND(E1683&lt;&gt;"",E1683&lt;&gt;"!!!"),"NEW","")))</f>
        <v/>
      </c>
      <c r="G1683" s="11" t="str">
        <f aca="false">IF(OR(E1683="",E1683="!!!"),"",IF(OR(J1683=0,AND(J1683=1,K1683=1),AND(J1683=1,I1683="SBJ"),AND(J1683=1,I1683=0)),"?IN_FOCUS",IF(J1683&lt;=2,"?ACTIVATED",IF(J1683&lt;&gt;"","?FAMILIAR",IF(F1683="NEW",IF(ISNA(VLOOKUP(E1683,#REF!,1,FALSE())),"?TYPE_IDENTIFIABLE","?REFERENTIAL"),"_")))))</f>
        <v/>
      </c>
      <c r="H1683" s="12" t="str">
        <f aca="false">IF(J1683&lt;&gt;1,"",IF(I1683="SBJ","CB","?"))</f>
        <v/>
      </c>
      <c r="I1683" s="13" t="str">
        <f aca="false">IF(OR(E1683="",E1683="!!!",F1683="NEW"),"",INDEX(B$2:B1682,-1+SUMPRODUCT(MAX(ROW(E$2:E1682)*(E1683=E$2:E1682)))))</f>
        <v/>
      </c>
      <c r="J1683" s="14" t="str">
        <f aca="true">IF(OR(E1683="",E1683="!!!",F1683="NEW"),"",COUNTBLANK(OFFSET(A$1,,,SUMPRODUCT(MAX(ROW(E$2:E1683)*(E1683=E$2:E1683)))))-COUNTBLANK(OFFSET(A$1,,,SUMPRODUCT(MAX(ROW(E$1:E1682)*(E1683=E$1:E1682))))))</f>
        <v/>
      </c>
      <c r="K1683" s="14" t="str">
        <f aca="false">IF(OR(E1683="",E1683="!!!",F1683="NEW"),"",INDEX(J$1:J1682,SUMPRODUCT(MAX(ROW(E$1:E1682)*(E1683=E$1:E1682)))))</f>
        <v/>
      </c>
      <c r="L1683" s="15"/>
    </row>
    <row r="1684" customFormat="false" ht="12.75" hidden="false" customHeight="false" outlineLevel="0" collapsed="false">
      <c r="A1684" s="0" t="s">
        <v>73</v>
      </c>
      <c r="E1684" s="9" t="str">
        <f aca="false">IF(D1684="?OLD","!!!","")</f>
        <v/>
      </c>
      <c r="F1684" s="10" t="str">
        <f aca="false">IF(OR(E1684="",E1684="!!!"),"",IF(NOT(ISNA(VLOOKUP(E1684,E$1:E1683,1,FALSE()))),"OLD",IF(AND(E1684&lt;&gt;"",E1684&lt;&gt;"!!!"),"NEW","")))</f>
        <v/>
      </c>
      <c r="G1684" s="11" t="str">
        <f aca="false">IF(OR(E1684="",E1684="!!!"),"",IF(OR(J1684=0,AND(J1684=1,K1684=1),AND(J1684=1,I1684="SBJ"),AND(J1684=1,I1684=0)),"?IN_FOCUS",IF(J1684&lt;=2,"?ACTIVATED",IF(J1684&lt;&gt;"","?FAMILIAR",IF(F1684="NEW",IF(ISNA(VLOOKUP(E1684,#REF!,1,FALSE())),"?TYPE_IDENTIFIABLE","?REFERENTIAL"),"_")))))</f>
        <v/>
      </c>
      <c r="H1684" s="12" t="str">
        <f aca="false">IF(J1684&lt;&gt;1,"",IF(I1684="SBJ","CB","?"))</f>
        <v/>
      </c>
      <c r="I1684" s="13" t="str">
        <f aca="false">IF(OR(E1684="",E1684="!!!",F1684="NEW"),"",INDEX(B$2:B1683,-1+SUMPRODUCT(MAX(ROW(E$2:E1683)*(E1684=E$2:E1683)))))</f>
        <v/>
      </c>
      <c r="J1684" s="14" t="str">
        <f aca="true">IF(OR(E1684="",E1684="!!!",F1684="NEW"),"",COUNTBLANK(OFFSET(A$1,,,SUMPRODUCT(MAX(ROW(E$2:E1684)*(E1684=E$2:E1684)))))-COUNTBLANK(OFFSET(A$1,,,SUMPRODUCT(MAX(ROW(E$1:E1683)*(E1684=E$1:E1683))))))</f>
        <v/>
      </c>
      <c r="K1684" s="14" t="str">
        <f aca="false">IF(OR(E1684="",E1684="!!!",F1684="NEW"),"",INDEX(J$1:J1683,SUMPRODUCT(MAX(ROW(E$1:E1683)*(E1684=E$1:E1683)))))</f>
        <v/>
      </c>
      <c r="L1684" s="15"/>
    </row>
    <row r="1685" customFormat="false" ht="12.75" hidden="false" customHeight="false" outlineLevel="0" collapsed="false">
      <c r="A1685" s="0" t="s">
        <v>262</v>
      </c>
      <c r="E1685" s="9" t="str">
        <f aca="false">IF(D1685="?OLD","!!!","")</f>
        <v/>
      </c>
      <c r="F1685" s="10" t="str">
        <f aca="false">IF(OR(E1685="",E1685="!!!"),"",IF(NOT(ISNA(VLOOKUP(E1685,E$1:E1684,1,FALSE()))),"OLD",IF(AND(E1685&lt;&gt;"",E1685&lt;&gt;"!!!"),"NEW","")))</f>
        <v/>
      </c>
      <c r="G1685" s="11" t="str">
        <f aca="false">IF(OR(E1685="",E1685="!!!"),"",IF(OR(J1685=0,AND(J1685=1,K1685=1),AND(J1685=1,I1685="SBJ"),AND(J1685=1,I1685=0)),"?IN_FOCUS",IF(J1685&lt;=2,"?ACTIVATED",IF(J1685&lt;&gt;"","?FAMILIAR",IF(F1685="NEW",IF(ISNA(VLOOKUP(E1685,#REF!,1,FALSE())),"?TYPE_IDENTIFIABLE","?REFERENTIAL"),"_")))))</f>
        <v/>
      </c>
      <c r="H1685" s="12" t="str">
        <f aca="false">IF(J1685&lt;&gt;1,"",IF(I1685="SBJ","CB","?"))</f>
        <v/>
      </c>
      <c r="I1685" s="13" t="str">
        <f aca="false">IF(OR(E1685="",E1685="!!!",F1685="NEW"),"",INDEX(B$2:B1684,-1+SUMPRODUCT(MAX(ROW(E$2:E1684)*(E1685=E$2:E1684)))))</f>
        <v/>
      </c>
      <c r="J1685" s="14" t="str">
        <f aca="true">IF(OR(E1685="",E1685="!!!",F1685="NEW"),"",COUNTBLANK(OFFSET(A$1,,,SUMPRODUCT(MAX(ROW(E$2:E1685)*(E1685=E$2:E1685)))))-COUNTBLANK(OFFSET(A$1,,,SUMPRODUCT(MAX(ROW(E$1:E1684)*(E1685=E$1:E1684))))))</f>
        <v/>
      </c>
      <c r="K1685" s="14" t="str">
        <f aca="false">IF(OR(E1685="",E1685="!!!",F1685="NEW"),"",INDEX(J$1:J1684,SUMPRODUCT(MAX(ROW(E$1:E1684)*(E1685=E$1:E1684)))))</f>
        <v/>
      </c>
      <c r="L1685" s="15"/>
    </row>
    <row r="1686" customFormat="false" ht="12.75" hidden="false" customHeight="false" outlineLevel="0" collapsed="false">
      <c r="E1686" s="9" t="str">
        <f aca="false">IF(D1686="?OLD","!!!","")</f>
        <v/>
      </c>
      <c r="F1686" s="10" t="str">
        <f aca="false">IF(OR(E1686="",E1686="!!!"),"",IF(NOT(ISNA(VLOOKUP(E1686,E$1:E1685,1,FALSE()))),"OLD",IF(AND(E1686&lt;&gt;"",E1686&lt;&gt;"!!!"),"NEW","")))</f>
        <v/>
      </c>
      <c r="G1686" s="11" t="str">
        <f aca="false">IF(OR(E1686="",E1686="!!!"),"",IF(OR(J1686=0,AND(J1686=1,K1686=1),AND(J1686=1,I1686="SBJ"),AND(J1686=1,I1686=0)),"?IN_FOCUS",IF(J1686&lt;=2,"?ACTIVATED",IF(J1686&lt;&gt;"","?FAMILIAR",IF(F1686="NEW",IF(ISNA(VLOOKUP(E1686,#REF!,1,FALSE())),"?TYPE_IDENTIFIABLE","?REFERENTIAL"),"_")))))</f>
        <v/>
      </c>
      <c r="H1686" s="12" t="str">
        <f aca="false">IF(J1686&lt;&gt;1,"",IF(I1686="SBJ","CB","?"))</f>
        <v/>
      </c>
      <c r="I1686" s="13" t="str">
        <f aca="false">IF(OR(E1686="",E1686="!!!",F1686="NEW"),"",INDEX(B$2:B1685,-1+SUMPRODUCT(MAX(ROW(E$2:E1685)*(E1686=E$2:E1685)))))</f>
        <v/>
      </c>
      <c r="J1686" s="14" t="str">
        <f aca="true">IF(OR(E1686="",E1686="!!!",F1686="NEW"),"",COUNTBLANK(OFFSET(A$1,,,SUMPRODUCT(MAX(ROW(E$2:E1686)*(E1686=E$2:E1686)))))-COUNTBLANK(OFFSET(A$1,,,SUMPRODUCT(MAX(ROW(E$1:E1685)*(E1686=E$1:E1685))))))</f>
        <v/>
      </c>
      <c r="K1686" s="14" t="str">
        <f aca="false">IF(OR(E1686="",E1686="!!!",F1686="NEW"),"",INDEX(J$1:J1685,SUMPRODUCT(MAX(ROW(E$1:E1685)*(E1686=E$1:E1685)))))</f>
        <v/>
      </c>
      <c r="L1686" s="15"/>
    </row>
    <row r="1687" customFormat="false" ht="12.75" hidden="false" customHeight="false" outlineLevel="0" collapsed="false">
      <c r="A1687" s="0" t="s">
        <v>713</v>
      </c>
      <c r="E1687" s="9" t="str">
        <f aca="false">IF(D1687="?OLD","!!!","")</f>
        <v/>
      </c>
      <c r="F1687" s="10" t="str">
        <f aca="false">IF(OR(E1687="",E1687="!!!"),"",IF(NOT(ISNA(VLOOKUP(E1687,E$1:E1686,1,FALSE()))),"OLD",IF(AND(E1687&lt;&gt;"",E1687&lt;&gt;"!!!"),"NEW","")))</f>
        <v/>
      </c>
      <c r="G1687" s="11" t="str">
        <f aca="false">IF(OR(E1687="",E1687="!!!"),"",IF(OR(J1687=0,AND(J1687=1,K1687=1),AND(J1687=1,I1687="SBJ"),AND(J1687=1,I1687=0)),"?IN_FOCUS",IF(J1687&lt;=2,"?ACTIVATED",IF(J1687&lt;&gt;"","?FAMILIAR",IF(F1687="NEW",IF(ISNA(VLOOKUP(E1687,#REF!,1,FALSE())),"?TYPE_IDENTIFIABLE","?REFERENTIAL"),"_")))))</f>
        <v/>
      </c>
      <c r="H1687" s="12" t="str">
        <f aca="false">IF(J1687&lt;&gt;1,"",IF(I1687="SBJ","CB","?"))</f>
        <v/>
      </c>
      <c r="I1687" s="13" t="str">
        <f aca="false">IF(OR(E1687="",E1687="!!!",F1687="NEW"),"",INDEX(B$2:B1686,-1+SUMPRODUCT(MAX(ROW(E$2:E1686)*(E1687=E$2:E1686)))))</f>
        <v/>
      </c>
      <c r="J1687" s="14" t="str">
        <f aca="true">IF(OR(E1687="",E1687="!!!",F1687="NEW"),"",COUNTBLANK(OFFSET(A$1,,,SUMPRODUCT(MAX(ROW(E$2:E1687)*(E1687=E$2:E1687)))))-COUNTBLANK(OFFSET(A$1,,,SUMPRODUCT(MAX(ROW(E$1:E1686)*(E1687=E$1:E1686))))))</f>
        <v/>
      </c>
      <c r="K1687" s="14" t="str">
        <f aca="false">IF(OR(E1687="",E1687="!!!",F1687="NEW"),"",INDEX(J$1:J1686,SUMPRODUCT(MAX(ROW(E$1:E1686)*(E1687=E$1:E1686)))))</f>
        <v/>
      </c>
      <c r="L1687" s="15"/>
    </row>
    <row r="1688" customFormat="false" ht="12.75" hidden="false" customHeight="false" outlineLevel="0" collapsed="false">
      <c r="A1688" s="0" t="s">
        <v>714</v>
      </c>
      <c r="E1688" s="9" t="str">
        <f aca="false">IF(D1688="?OLD","!!!","")</f>
        <v/>
      </c>
      <c r="F1688" s="10" t="str">
        <f aca="false">IF(OR(E1688="",E1688="!!!"),"",IF(NOT(ISNA(VLOOKUP(E1688,E$1:E1687,1,FALSE()))),"OLD",IF(AND(E1688&lt;&gt;"",E1688&lt;&gt;"!!!"),"NEW","")))</f>
        <v/>
      </c>
      <c r="G1688" s="11" t="str">
        <f aca="false">IF(OR(E1688="",E1688="!!!"),"",IF(OR(J1688=0,AND(J1688=1,K1688=1),AND(J1688=1,I1688="SBJ"),AND(J1688=1,I1688=0)),"?IN_FOCUS",IF(J1688&lt;=2,"?ACTIVATED",IF(J1688&lt;&gt;"","?FAMILIAR",IF(F1688="NEW",IF(ISNA(VLOOKUP(E1688,#REF!,1,FALSE())),"?TYPE_IDENTIFIABLE","?REFERENTIAL"),"_")))))</f>
        <v/>
      </c>
      <c r="H1688" s="12" t="str">
        <f aca="false">IF(J1688&lt;&gt;1,"",IF(I1688="SBJ","CB","?"))</f>
        <v/>
      </c>
      <c r="I1688" s="13" t="str">
        <f aca="false">IF(OR(E1688="",E1688="!!!",F1688="NEW"),"",INDEX(B$2:B1687,-1+SUMPRODUCT(MAX(ROW(E$2:E1687)*(E1688=E$2:E1687)))))</f>
        <v/>
      </c>
      <c r="J1688" s="14" t="str">
        <f aca="true">IF(OR(E1688="",E1688="!!!",F1688="NEW"),"",COUNTBLANK(OFFSET(A$1,,,SUMPRODUCT(MAX(ROW(E$2:E1688)*(E1688=E$2:E1688)))))-COUNTBLANK(OFFSET(A$1,,,SUMPRODUCT(MAX(ROW(E$1:E1687)*(E1688=E$1:E1687))))))</f>
        <v/>
      </c>
      <c r="K1688" s="14" t="str">
        <f aca="false">IF(OR(E1688="",E1688="!!!",F1688="NEW"),"",INDEX(J$1:J1687,SUMPRODUCT(MAX(ROW(E$1:E1687)*(E1688=E$1:E1687)))))</f>
        <v/>
      </c>
      <c r="L1688" s="15"/>
    </row>
    <row r="1689" customFormat="false" ht="12.75" hidden="false" customHeight="false" outlineLevel="0" collapsed="false">
      <c r="A1689" s="0" t="s">
        <v>117</v>
      </c>
      <c r="E1689" s="9" t="str">
        <f aca="false">IF(D1689="?OLD","!!!","")</f>
        <v/>
      </c>
      <c r="F1689" s="10" t="str">
        <f aca="false">IF(OR(E1689="",E1689="!!!"),"",IF(NOT(ISNA(VLOOKUP(E1689,E$1:E1688,1,FALSE()))),"OLD",IF(AND(E1689&lt;&gt;"",E1689&lt;&gt;"!!!"),"NEW","")))</f>
        <v/>
      </c>
      <c r="G1689" s="11" t="str">
        <f aca="false">IF(OR(E1689="",E1689="!!!"),"",IF(OR(J1689=0,AND(J1689=1,K1689=1),AND(J1689=1,I1689="SBJ"),AND(J1689=1,I1689=0)),"?IN_FOCUS",IF(J1689&lt;=2,"?ACTIVATED",IF(J1689&lt;&gt;"","?FAMILIAR",IF(F1689="NEW",IF(ISNA(VLOOKUP(E1689,#REF!,1,FALSE())),"?TYPE_IDENTIFIABLE","?REFERENTIAL"),"_")))))</f>
        <v/>
      </c>
      <c r="H1689" s="12" t="str">
        <f aca="false">IF(J1689&lt;&gt;1,"",IF(I1689="SBJ","CB","?"))</f>
        <v/>
      </c>
      <c r="I1689" s="13" t="str">
        <f aca="false">IF(OR(E1689="",E1689="!!!",F1689="NEW"),"",INDEX(B$2:B1688,-1+SUMPRODUCT(MAX(ROW(E$2:E1688)*(E1689=E$2:E1688)))))</f>
        <v/>
      </c>
      <c r="J1689" s="14" t="str">
        <f aca="true">IF(OR(E1689="",E1689="!!!",F1689="NEW"),"",COUNTBLANK(OFFSET(A$1,,,SUMPRODUCT(MAX(ROW(E$2:E1689)*(E1689=E$2:E1689)))))-COUNTBLANK(OFFSET(A$1,,,SUMPRODUCT(MAX(ROW(E$1:E1688)*(E1689=E$1:E1688))))))</f>
        <v/>
      </c>
      <c r="K1689" s="14" t="str">
        <f aca="false">IF(OR(E1689="",E1689="!!!",F1689="NEW"),"",INDEX(J$1:J1688,SUMPRODUCT(MAX(ROW(E$1:E1688)*(E1689=E$1:E1688)))))</f>
        <v/>
      </c>
      <c r="L1689" s="15"/>
    </row>
    <row r="1690" customFormat="false" ht="12.75" hidden="false" customHeight="false" outlineLevel="0" collapsed="false">
      <c r="A1690" s="0" t="s">
        <v>66</v>
      </c>
      <c r="E1690" s="9" t="str">
        <f aca="false">IF(D1690="?OLD","!!!","")</f>
        <v/>
      </c>
      <c r="F1690" s="10" t="str">
        <f aca="false">IF(OR(E1690="",E1690="!!!"),"",IF(NOT(ISNA(VLOOKUP(E1690,E$1:E1689,1,FALSE()))),"OLD",IF(AND(E1690&lt;&gt;"",E1690&lt;&gt;"!!!"),"NEW","")))</f>
        <v/>
      </c>
      <c r="G1690" s="11" t="str">
        <f aca="false">IF(OR(E1690="",E1690="!!!"),"",IF(OR(J1690=0,AND(J1690=1,K1690=1),AND(J1690=1,I1690="SBJ"),AND(J1690=1,I1690=0)),"?IN_FOCUS",IF(J1690&lt;=2,"?ACTIVATED",IF(J1690&lt;&gt;"","?FAMILIAR",IF(F1690="NEW",IF(ISNA(VLOOKUP(E1690,#REF!,1,FALSE())),"?TYPE_IDENTIFIABLE","?REFERENTIAL"),"_")))))</f>
        <v/>
      </c>
      <c r="H1690" s="12" t="str">
        <f aca="false">IF(J1690&lt;&gt;1,"",IF(I1690="SBJ","CB","?"))</f>
        <v/>
      </c>
      <c r="I1690" s="13" t="str">
        <f aca="false">IF(OR(E1690="",E1690="!!!",F1690="NEW"),"",INDEX(B$2:B1689,-1+SUMPRODUCT(MAX(ROW(E$2:E1689)*(E1690=E$2:E1689)))))</f>
        <v/>
      </c>
      <c r="J1690" s="14" t="str">
        <f aca="true">IF(OR(E1690="",E1690="!!!",F1690="NEW"),"",COUNTBLANK(OFFSET(A$1,,,SUMPRODUCT(MAX(ROW(E$2:E1690)*(E1690=E$2:E1690)))))-COUNTBLANK(OFFSET(A$1,,,SUMPRODUCT(MAX(ROW(E$1:E1689)*(E1690=E$1:E1689))))))</f>
        <v/>
      </c>
      <c r="K1690" s="14" t="str">
        <f aca="false">IF(OR(E1690="",E1690="!!!",F1690="NEW"),"",INDEX(J$1:J1689,SUMPRODUCT(MAX(ROW(E$1:E1689)*(E1690=E$1:E1689)))))</f>
        <v/>
      </c>
      <c r="L1690" s="15"/>
    </row>
    <row r="1691" customFormat="false" ht="12.75" hidden="false" customHeight="false" outlineLevel="0" collapsed="false">
      <c r="A1691" s="0" t="s">
        <v>329</v>
      </c>
      <c r="E1691" s="9" t="str">
        <f aca="false">IF(D1691="?OLD","!!!","")</f>
        <v/>
      </c>
      <c r="F1691" s="10" t="str">
        <f aca="false">IF(OR(E1691="",E1691="!!!"),"",IF(NOT(ISNA(VLOOKUP(E1691,E$1:E1690,1,FALSE()))),"OLD",IF(AND(E1691&lt;&gt;"",E1691&lt;&gt;"!!!"),"NEW","")))</f>
        <v/>
      </c>
      <c r="G1691" s="11" t="str">
        <f aca="false">IF(OR(E1691="",E1691="!!!"),"",IF(OR(J1691=0,AND(J1691=1,K1691=1),AND(J1691=1,I1691="SBJ"),AND(J1691=1,I1691=0)),"?IN_FOCUS",IF(J1691&lt;=2,"?ACTIVATED",IF(J1691&lt;&gt;"","?FAMILIAR",IF(F1691="NEW",IF(ISNA(VLOOKUP(E1691,#REF!,1,FALSE())),"?TYPE_IDENTIFIABLE","?REFERENTIAL"),"_")))))</f>
        <v/>
      </c>
      <c r="H1691" s="12" t="str">
        <f aca="false">IF(J1691&lt;&gt;1,"",IF(I1691="SBJ","CB","?"))</f>
        <v/>
      </c>
      <c r="I1691" s="13" t="str">
        <f aca="false">IF(OR(E1691="",E1691="!!!",F1691="NEW"),"",INDEX(B$2:B1690,-1+SUMPRODUCT(MAX(ROW(E$2:E1690)*(E1691=E$2:E1690)))))</f>
        <v/>
      </c>
      <c r="J1691" s="14" t="str">
        <f aca="true">IF(OR(E1691="",E1691="!!!",F1691="NEW"),"",COUNTBLANK(OFFSET(A$1,,,SUMPRODUCT(MAX(ROW(E$2:E1691)*(E1691=E$2:E1691)))))-COUNTBLANK(OFFSET(A$1,,,SUMPRODUCT(MAX(ROW(E$1:E1690)*(E1691=E$1:E1690))))))</f>
        <v/>
      </c>
      <c r="K1691" s="14" t="str">
        <f aca="false">IF(OR(E1691="",E1691="!!!",F1691="NEW"),"",INDEX(J$1:J1690,SUMPRODUCT(MAX(ROW(E$1:E1690)*(E1691=E$1:E1690)))))</f>
        <v/>
      </c>
      <c r="L1691" s="15"/>
    </row>
    <row r="1692" customFormat="false" ht="12.75" hidden="false" customHeight="false" outlineLevel="0" collapsed="false">
      <c r="A1692" s="0" t="s">
        <v>68</v>
      </c>
      <c r="E1692" s="9" t="str">
        <f aca="false">IF(D1692="?OLD","!!!","")</f>
        <v/>
      </c>
      <c r="F1692" s="10" t="str">
        <f aca="false">IF(OR(E1692="",E1692="!!!"),"",IF(NOT(ISNA(VLOOKUP(E1692,E$1:E1691,1,FALSE()))),"OLD",IF(AND(E1692&lt;&gt;"",E1692&lt;&gt;"!!!"),"NEW","")))</f>
        <v/>
      </c>
      <c r="G1692" s="11" t="str">
        <f aca="false">IF(OR(E1692="",E1692="!!!"),"",IF(OR(J1692=0,AND(J1692=1,K1692=1),AND(J1692=1,I1692="SBJ"),AND(J1692=1,I1692=0)),"?IN_FOCUS",IF(J1692&lt;=2,"?ACTIVATED",IF(J1692&lt;&gt;"","?FAMILIAR",IF(F1692="NEW",IF(ISNA(VLOOKUP(E1692,#REF!,1,FALSE())),"?TYPE_IDENTIFIABLE","?REFERENTIAL"),"_")))))</f>
        <v/>
      </c>
      <c r="H1692" s="12" t="str">
        <f aca="false">IF(J1692&lt;&gt;1,"",IF(I1692="SBJ","CB","?"))</f>
        <v/>
      </c>
      <c r="I1692" s="13" t="str">
        <f aca="false">IF(OR(E1692="",E1692="!!!",F1692="NEW"),"",INDEX(B$2:B1691,-1+SUMPRODUCT(MAX(ROW(E$2:E1691)*(E1692=E$2:E1691)))))</f>
        <v/>
      </c>
      <c r="J1692" s="14" t="str">
        <f aca="true">IF(OR(E1692="",E1692="!!!",F1692="NEW"),"",COUNTBLANK(OFFSET(A$1,,,SUMPRODUCT(MAX(ROW(E$2:E1692)*(E1692=E$2:E1692)))))-COUNTBLANK(OFFSET(A$1,,,SUMPRODUCT(MAX(ROW(E$1:E1691)*(E1692=E$1:E1691))))))</f>
        <v/>
      </c>
      <c r="K1692" s="14" t="str">
        <f aca="false">IF(OR(E1692="",E1692="!!!",F1692="NEW"),"",INDEX(J$1:J1691,SUMPRODUCT(MAX(ROW(E$1:E1691)*(E1692=E$1:E1691)))))</f>
        <v/>
      </c>
      <c r="L1692" s="15"/>
    </row>
    <row r="1693" customFormat="false" ht="12.75" hidden="false" customHeight="false" outlineLevel="0" collapsed="false">
      <c r="A1693" s="0" t="s">
        <v>682</v>
      </c>
      <c r="B1693" s="0" t="s">
        <v>28</v>
      </c>
      <c r="C1693" s="0" t="s">
        <v>111</v>
      </c>
      <c r="D1693" s="0" t="s">
        <v>29</v>
      </c>
      <c r="E1693" s="9" t="str">
        <f aca="false">IF(D1693="?OLD","!!!","")</f>
        <v>!!!</v>
      </c>
      <c r="F1693" s="10" t="str">
        <f aca="false">IF(OR(E1693="",E1693="!!!"),"",IF(NOT(ISNA(VLOOKUP(E1693,E$1:E1692,1,FALSE()))),"OLD",IF(AND(E1693&lt;&gt;"",E1693&lt;&gt;"!!!"),"NEW","")))</f>
        <v/>
      </c>
      <c r="G1693" s="11" t="str">
        <f aca="false">IF(OR(E1693="",E1693="!!!"),"",IF(OR(J1693=0,AND(J1693=1,K1693=1),AND(J1693=1,I1693="SBJ"),AND(J1693=1,I1693=0)),"?IN_FOCUS",IF(J1693&lt;=2,"?ACTIVATED",IF(J1693&lt;&gt;"","?FAMILIAR",IF(F1693="NEW",IF(ISNA(VLOOKUP(E1693,#REF!,1,FALSE())),"?TYPE_IDENTIFIABLE","?REFERENTIAL"),"_")))))</f>
        <v/>
      </c>
      <c r="H1693" s="12" t="str">
        <f aca="false">IF(J1693&lt;&gt;1,"",IF(I1693="SBJ","CB","?"))</f>
        <v/>
      </c>
      <c r="I1693" s="13" t="str">
        <f aca="false">IF(OR(E1693="",E1693="!!!",F1693="NEW"),"",INDEX(B$2:B1692,-1+SUMPRODUCT(MAX(ROW(E$2:E1692)*(E1693=E$2:E1692)))))</f>
        <v/>
      </c>
      <c r="J1693" s="14" t="str">
        <f aca="true">IF(OR(E1693="",E1693="!!!",F1693="NEW"),"",COUNTBLANK(OFFSET(A$1,,,SUMPRODUCT(MAX(ROW(E$2:E1693)*(E1693=E$2:E1693)))))-COUNTBLANK(OFFSET(A$1,,,SUMPRODUCT(MAX(ROW(E$1:E1692)*(E1693=E$1:E1692))))))</f>
        <v/>
      </c>
      <c r="K1693" s="14" t="str">
        <f aca="false">IF(OR(E1693="",E1693="!!!",F1693="NEW"),"",INDEX(J$1:J1692,SUMPRODUCT(MAX(ROW(E$1:E1692)*(E1693=E$1:E1692)))))</f>
        <v/>
      </c>
      <c r="L1693" s="15"/>
    </row>
    <row r="1694" customFormat="false" ht="12.75" hidden="false" customHeight="false" outlineLevel="0" collapsed="false">
      <c r="A1694" s="0" t="s">
        <v>715</v>
      </c>
      <c r="E1694" s="9" t="str">
        <f aca="false">IF(D1694="?OLD","!!!","")</f>
        <v/>
      </c>
      <c r="F1694" s="10" t="str">
        <f aca="false">IF(OR(E1694="",E1694="!!!"),"",IF(NOT(ISNA(VLOOKUP(E1694,E$1:E1693,1,FALSE()))),"OLD",IF(AND(E1694&lt;&gt;"",E1694&lt;&gt;"!!!"),"NEW","")))</f>
        <v/>
      </c>
      <c r="G1694" s="11" t="str">
        <f aca="false">IF(OR(E1694="",E1694="!!!"),"",IF(OR(J1694=0,AND(J1694=1,K1694=1),AND(J1694=1,I1694="SBJ"),AND(J1694=1,I1694=0)),"?IN_FOCUS",IF(J1694&lt;=2,"?ACTIVATED",IF(J1694&lt;&gt;"","?FAMILIAR",IF(F1694="NEW",IF(ISNA(VLOOKUP(E1694,#REF!,1,FALSE())),"?TYPE_IDENTIFIABLE","?REFERENTIAL"),"_")))))</f>
        <v/>
      </c>
      <c r="H1694" s="12" t="str">
        <f aca="false">IF(J1694&lt;&gt;1,"",IF(I1694="SBJ","CB","?"))</f>
        <v/>
      </c>
      <c r="I1694" s="13" t="str">
        <f aca="false">IF(OR(E1694="",E1694="!!!",F1694="NEW"),"",INDEX(B$2:B1693,-1+SUMPRODUCT(MAX(ROW(E$2:E1693)*(E1694=E$2:E1693)))))</f>
        <v/>
      </c>
      <c r="J1694" s="14" t="str">
        <f aca="true">IF(OR(E1694="",E1694="!!!",F1694="NEW"),"",COUNTBLANK(OFFSET(A$1,,,SUMPRODUCT(MAX(ROW(E$2:E1694)*(E1694=E$2:E1694)))))-COUNTBLANK(OFFSET(A$1,,,SUMPRODUCT(MAX(ROW(E$1:E1693)*(E1694=E$1:E1693))))))</f>
        <v/>
      </c>
      <c r="K1694" s="14" t="str">
        <f aca="false">IF(OR(E1694="",E1694="!!!",F1694="NEW"),"",INDEX(J$1:J1693,SUMPRODUCT(MAX(ROW(E$1:E1693)*(E1694=E$1:E1693)))))</f>
        <v/>
      </c>
      <c r="L1694" s="15"/>
    </row>
    <row r="1695" customFormat="false" ht="12.75" hidden="false" customHeight="false" outlineLevel="0" collapsed="false">
      <c r="A1695" s="0" t="s">
        <v>716</v>
      </c>
      <c r="E1695" s="9" t="str">
        <f aca="false">IF(D1695="?OLD","!!!","")</f>
        <v/>
      </c>
      <c r="F1695" s="10" t="str">
        <f aca="false">IF(OR(E1695="",E1695="!!!"),"",IF(NOT(ISNA(VLOOKUP(E1695,E$1:E1694,1,FALSE()))),"OLD",IF(AND(E1695&lt;&gt;"",E1695&lt;&gt;"!!!"),"NEW","")))</f>
        <v/>
      </c>
      <c r="G1695" s="11" t="str">
        <f aca="false">IF(OR(E1695="",E1695="!!!"),"",IF(OR(J1695=0,AND(J1695=1,K1695=1),AND(J1695=1,I1695="SBJ"),AND(J1695=1,I1695=0)),"?IN_FOCUS",IF(J1695&lt;=2,"?ACTIVATED",IF(J1695&lt;&gt;"","?FAMILIAR",IF(F1695="NEW",IF(ISNA(VLOOKUP(E1695,#REF!,1,FALSE())),"?TYPE_IDENTIFIABLE","?REFERENTIAL"),"_")))))</f>
        <v/>
      </c>
      <c r="H1695" s="12" t="str">
        <f aca="false">IF(J1695&lt;&gt;1,"",IF(I1695="SBJ","CB","?"))</f>
        <v/>
      </c>
      <c r="I1695" s="13" t="str">
        <f aca="false">IF(OR(E1695="",E1695="!!!",F1695="NEW"),"",INDEX(B$2:B1694,-1+SUMPRODUCT(MAX(ROW(E$2:E1694)*(E1695=E$2:E1694)))))</f>
        <v/>
      </c>
      <c r="J1695" s="14" t="str">
        <f aca="true">IF(OR(E1695="",E1695="!!!",F1695="NEW"),"",COUNTBLANK(OFFSET(A$1,,,SUMPRODUCT(MAX(ROW(E$2:E1695)*(E1695=E$2:E1695)))))-COUNTBLANK(OFFSET(A$1,,,SUMPRODUCT(MAX(ROW(E$1:E1694)*(E1695=E$1:E1694))))))</f>
        <v/>
      </c>
      <c r="K1695" s="14" t="str">
        <f aca="false">IF(OR(E1695="",E1695="!!!",F1695="NEW"),"",INDEX(J$1:J1694,SUMPRODUCT(MAX(ROW(E$1:E1694)*(E1695=E$1:E1694)))))</f>
        <v/>
      </c>
      <c r="L1695" s="15"/>
    </row>
    <row r="1696" customFormat="false" ht="12.75" hidden="false" customHeight="false" outlineLevel="0" collapsed="false">
      <c r="A1696" s="0" t="s">
        <v>147</v>
      </c>
      <c r="B1696" s="0" t="s">
        <v>42</v>
      </c>
      <c r="C1696" s="0" t="s">
        <v>38</v>
      </c>
      <c r="D1696" s="0" t="s">
        <v>29</v>
      </c>
      <c r="E1696" s="9" t="str">
        <f aca="false">IF(D1696="?OLD","!!!","")</f>
        <v>!!!</v>
      </c>
      <c r="F1696" s="10" t="str">
        <f aca="false">IF(OR(E1696="",E1696="!!!"),"",IF(NOT(ISNA(VLOOKUP(E1696,E$1:E1695,1,FALSE()))),"OLD",IF(AND(E1696&lt;&gt;"",E1696&lt;&gt;"!!!"),"NEW","")))</f>
        <v/>
      </c>
      <c r="G1696" s="11" t="str">
        <f aca="false">IF(OR(E1696="",E1696="!!!"),"",IF(OR(J1696=0,AND(J1696=1,K1696=1),AND(J1696=1,I1696="SBJ"),AND(J1696=1,I1696=0)),"?IN_FOCUS",IF(J1696&lt;=2,"?ACTIVATED",IF(J1696&lt;&gt;"","?FAMILIAR",IF(F1696="NEW",IF(ISNA(VLOOKUP(E1696,#REF!,1,FALSE())),"?TYPE_IDENTIFIABLE","?REFERENTIAL"),"_")))))</f>
        <v/>
      </c>
      <c r="H1696" s="12" t="str">
        <f aca="false">IF(J1696&lt;&gt;1,"",IF(I1696="SBJ","CB","?"))</f>
        <v/>
      </c>
      <c r="I1696" s="13" t="str">
        <f aca="false">IF(OR(E1696="",E1696="!!!",F1696="NEW"),"",INDEX(B$2:B1695,-1+SUMPRODUCT(MAX(ROW(E$2:E1695)*(E1696=E$2:E1695)))))</f>
        <v/>
      </c>
      <c r="J1696" s="14" t="str">
        <f aca="true">IF(OR(E1696="",E1696="!!!",F1696="NEW"),"",COUNTBLANK(OFFSET(A$1,,,SUMPRODUCT(MAX(ROW(E$2:E1696)*(E1696=E$2:E1696)))))-COUNTBLANK(OFFSET(A$1,,,SUMPRODUCT(MAX(ROW(E$1:E1695)*(E1696=E$1:E1695))))))</f>
        <v/>
      </c>
      <c r="K1696" s="14" t="str">
        <f aca="false">IF(OR(E1696="",E1696="!!!",F1696="NEW"),"",INDEX(J$1:J1695,SUMPRODUCT(MAX(ROW(E$1:E1695)*(E1696=E$1:E1695)))))</f>
        <v/>
      </c>
      <c r="L1696" s="15"/>
    </row>
    <row r="1697" customFormat="false" ht="12.75" hidden="false" customHeight="false" outlineLevel="0" collapsed="false">
      <c r="A1697" s="0" t="s">
        <v>717</v>
      </c>
      <c r="E1697" s="9" t="str">
        <f aca="false">IF(D1697="?OLD","!!!","")</f>
        <v/>
      </c>
      <c r="F1697" s="10" t="str">
        <f aca="false">IF(OR(E1697="",E1697="!!!"),"",IF(NOT(ISNA(VLOOKUP(E1697,E$1:E1696,1,FALSE()))),"OLD",IF(AND(E1697&lt;&gt;"",E1697&lt;&gt;"!!!"),"NEW","")))</f>
        <v/>
      </c>
      <c r="G1697" s="11" t="str">
        <f aca="false">IF(OR(E1697="",E1697="!!!"),"",IF(OR(J1697=0,AND(J1697=1,K1697=1),AND(J1697=1,I1697="SBJ"),AND(J1697=1,I1697=0)),"?IN_FOCUS",IF(J1697&lt;=2,"?ACTIVATED",IF(J1697&lt;&gt;"","?FAMILIAR",IF(F1697="NEW",IF(ISNA(VLOOKUP(E1697,#REF!,1,FALSE())),"?TYPE_IDENTIFIABLE","?REFERENTIAL"),"_")))))</f>
        <v/>
      </c>
      <c r="H1697" s="12" t="str">
        <f aca="false">IF(J1697&lt;&gt;1,"",IF(I1697="SBJ","CB","?"))</f>
        <v/>
      </c>
      <c r="I1697" s="13" t="str">
        <f aca="false">IF(OR(E1697="",E1697="!!!",F1697="NEW"),"",INDEX(B$2:B1696,-1+SUMPRODUCT(MAX(ROW(E$2:E1696)*(E1697=E$2:E1696)))))</f>
        <v/>
      </c>
      <c r="J1697" s="14" t="str">
        <f aca="true">IF(OR(E1697="",E1697="!!!",F1697="NEW"),"",COUNTBLANK(OFFSET(A$1,,,SUMPRODUCT(MAX(ROW(E$2:E1697)*(E1697=E$2:E1697)))))-COUNTBLANK(OFFSET(A$1,,,SUMPRODUCT(MAX(ROW(E$1:E1696)*(E1697=E$1:E1696))))))</f>
        <v/>
      </c>
      <c r="K1697" s="14" t="str">
        <f aca="false">IF(OR(E1697="",E1697="!!!",F1697="NEW"),"",INDEX(J$1:J1696,SUMPRODUCT(MAX(ROW(E$1:E1696)*(E1697=E$1:E1696)))))</f>
        <v/>
      </c>
      <c r="L1697" s="15"/>
    </row>
    <row r="1698" customFormat="false" ht="12.75" hidden="false" customHeight="false" outlineLevel="0" collapsed="false">
      <c r="A1698" s="0" t="s">
        <v>191</v>
      </c>
      <c r="E1698" s="9" t="str">
        <f aca="false">IF(D1698="?OLD","!!!","")</f>
        <v/>
      </c>
      <c r="F1698" s="10" t="str">
        <f aca="false">IF(OR(E1698="",E1698="!!!"),"",IF(NOT(ISNA(VLOOKUP(E1698,E$1:E1697,1,FALSE()))),"OLD",IF(AND(E1698&lt;&gt;"",E1698&lt;&gt;"!!!"),"NEW","")))</f>
        <v/>
      </c>
      <c r="G1698" s="11" t="str">
        <f aca="false">IF(OR(E1698="",E1698="!!!"),"",IF(OR(J1698=0,AND(J1698=1,K1698=1),AND(J1698=1,I1698="SBJ"),AND(J1698=1,I1698=0)),"?IN_FOCUS",IF(J1698&lt;=2,"?ACTIVATED",IF(J1698&lt;&gt;"","?FAMILIAR",IF(F1698="NEW",IF(ISNA(VLOOKUP(E1698,#REF!,1,FALSE())),"?TYPE_IDENTIFIABLE","?REFERENTIAL"),"_")))))</f>
        <v/>
      </c>
      <c r="H1698" s="12" t="str">
        <f aca="false">IF(J1698&lt;&gt;1,"",IF(I1698="SBJ","CB","?"))</f>
        <v/>
      </c>
      <c r="I1698" s="13" t="str">
        <f aca="false">IF(OR(E1698="",E1698="!!!",F1698="NEW"),"",INDEX(B$2:B1697,-1+SUMPRODUCT(MAX(ROW(E$2:E1697)*(E1698=E$2:E1697)))))</f>
        <v/>
      </c>
      <c r="J1698" s="14" t="str">
        <f aca="true">IF(OR(E1698="",E1698="!!!",F1698="NEW"),"",COUNTBLANK(OFFSET(A$1,,,SUMPRODUCT(MAX(ROW(E$2:E1698)*(E1698=E$2:E1698)))))-COUNTBLANK(OFFSET(A$1,,,SUMPRODUCT(MAX(ROW(E$1:E1697)*(E1698=E$1:E1697))))))</f>
        <v/>
      </c>
      <c r="K1698" s="14" t="str">
        <f aca="false">IF(OR(E1698="",E1698="!!!",F1698="NEW"),"",INDEX(J$1:J1697,SUMPRODUCT(MAX(ROW(E$1:E1697)*(E1698=E$1:E1697)))))</f>
        <v/>
      </c>
      <c r="L1698" s="15"/>
    </row>
    <row r="1699" customFormat="false" ht="12.75" hidden="false" customHeight="false" outlineLevel="0" collapsed="false">
      <c r="A1699" s="0" t="s">
        <v>611</v>
      </c>
      <c r="E1699" s="9" t="str">
        <f aca="false">IF(D1699="?OLD","!!!","")</f>
        <v/>
      </c>
      <c r="F1699" s="10" t="str">
        <f aca="false">IF(OR(E1699="",E1699="!!!"),"",IF(NOT(ISNA(VLOOKUP(E1699,E$1:E1698,1,FALSE()))),"OLD",IF(AND(E1699&lt;&gt;"",E1699&lt;&gt;"!!!"),"NEW","")))</f>
        <v/>
      </c>
      <c r="G1699" s="11" t="str">
        <f aca="false">IF(OR(E1699="",E1699="!!!"),"",IF(OR(J1699=0,AND(J1699=1,K1699=1),AND(J1699=1,I1699="SBJ"),AND(J1699=1,I1699=0)),"?IN_FOCUS",IF(J1699&lt;=2,"?ACTIVATED",IF(J1699&lt;&gt;"","?FAMILIAR",IF(F1699="NEW",IF(ISNA(VLOOKUP(E1699,#REF!,1,FALSE())),"?TYPE_IDENTIFIABLE","?REFERENTIAL"),"_")))))</f>
        <v/>
      </c>
      <c r="H1699" s="12" t="str">
        <f aca="false">IF(J1699&lt;&gt;1,"",IF(I1699="SBJ","CB","?"))</f>
        <v/>
      </c>
      <c r="I1699" s="13" t="str">
        <f aca="false">IF(OR(E1699="",E1699="!!!",F1699="NEW"),"",INDEX(B$2:B1698,-1+SUMPRODUCT(MAX(ROW(E$2:E1698)*(E1699=E$2:E1698)))))</f>
        <v/>
      </c>
      <c r="J1699" s="14" t="str">
        <f aca="true">IF(OR(E1699="",E1699="!!!",F1699="NEW"),"",COUNTBLANK(OFFSET(A$1,,,SUMPRODUCT(MAX(ROW(E$2:E1699)*(E1699=E$2:E1699)))))-COUNTBLANK(OFFSET(A$1,,,SUMPRODUCT(MAX(ROW(E$1:E1698)*(E1699=E$1:E1698))))))</f>
        <v/>
      </c>
      <c r="K1699" s="14" t="str">
        <f aca="false">IF(OR(E1699="",E1699="!!!",F1699="NEW"),"",INDEX(J$1:J1698,SUMPRODUCT(MAX(ROW(E$1:E1698)*(E1699=E$1:E1698)))))</f>
        <v/>
      </c>
      <c r="L1699" s="15"/>
    </row>
    <row r="1700" customFormat="false" ht="12.75" hidden="false" customHeight="false" outlineLevel="0" collapsed="false">
      <c r="A1700" s="0" t="s">
        <v>36</v>
      </c>
      <c r="B1700" s="0" t="s">
        <v>22</v>
      </c>
      <c r="C1700" s="0" t="s">
        <v>38</v>
      </c>
      <c r="D1700" s="0" t="s">
        <v>29</v>
      </c>
      <c r="E1700" s="9" t="str">
        <f aca="false">IF(D1700="?OLD","!!!","")</f>
        <v>!!!</v>
      </c>
      <c r="F1700" s="10" t="str">
        <f aca="false">IF(OR(E1700="",E1700="!!!"),"",IF(NOT(ISNA(VLOOKUP(E1700,E$1:E1699,1,FALSE()))),"OLD",IF(AND(E1700&lt;&gt;"",E1700&lt;&gt;"!!!"),"NEW","")))</f>
        <v/>
      </c>
      <c r="G1700" s="11" t="str">
        <f aca="false">IF(OR(E1700="",E1700="!!!"),"",IF(OR(J1700=0,AND(J1700=1,K1700=1),AND(J1700=1,I1700="SBJ"),AND(J1700=1,I1700=0)),"?IN_FOCUS",IF(J1700&lt;=2,"?ACTIVATED",IF(J1700&lt;&gt;"","?FAMILIAR",IF(F1700="NEW",IF(ISNA(VLOOKUP(E1700,#REF!,1,FALSE())),"?TYPE_IDENTIFIABLE","?REFERENTIAL"),"_")))))</f>
        <v/>
      </c>
      <c r="H1700" s="12" t="str">
        <f aca="false">IF(J1700&lt;&gt;1,"",IF(I1700="SBJ","CB","?"))</f>
        <v/>
      </c>
      <c r="I1700" s="13" t="str">
        <f aca="false">IF(OR(E1700="",E1700="!!!",F1700="NEW"),"",INDEX(B$2:B1699,-1+SUMPRODUCT(MAX(ROW(E$2:E1699)*(E1700=E$2:E1699)))))</f>
        <v/>
      </c>
      <c r="J1700" s="14" t="str">
        <f aca="true">IF(OR(E1700="",E1700="!!!",F1700="NEW"),"",COUNTBLANK(OFFSET(A$1,,,SUMPRODUCT(MAX(ROW(E$2:E1700)*(E1700=E$2:E1700)))))-COUNTBLANK(OFFSET(A$1,,,SUMPRODUCT(MAX(ROW(E$1:E1699)*(E1700=E$1:E1699))))))</f>
        <v/>
      </c>
      <c r="K1700" s="14" t="str">
        <f aca="false">IF(OR(E1700="",E1700="!!!",F1700="NEW"),"",INDEX(J$1:J1699,SUMPRODUCT(MAX(ROW(E$1:E1699)*(E1700=E$1:E1699)))))</f>
        <v/>
      </c>
      <c r="L1700" s="15"/>
    </row>
    <row r="1701" customFormat="false" ht="12.75" hidden="false" customHeight="false" outlineLevel="0" collapsed="false">
      <c r="A1701" s="0" t="s">
        <v>65</v>
      </c>
      <c r="E1701" s="9" t="str">
        <f aca="false">IF(D1701="?OLD","!!!","")</f>
        <v/>
      </c>
      <c r="F1701" s="10" t="str">
        <f aca="false">IF(OR(E1701="",E1701="!!!"),"",IF(NOT(ISNA(VLOOKUP(E1701,E$1:E1700,1,FALSE()))),"OLD",IF(AND(E1701&lt;&gt;"",E1701&lt;&gt;"!!!"),"NEW","")))</f>
        <v/>
      </c>
      <c r="G1701" s="11" t="str">
        <f aca="false">IF(OR(E1701="",E1701="!!!"),"",IF(OR(J1701=0,AND(J1701=1,K1701=1),AND(J1701=1,I1701="SBJ"),AND(J1701=1,I1701=0)),"?IN_FOCUS",IF(J1701&lt;=2,"?ACTIVATED",IF(J1701&lt;&gt;"","?FAMILIAR",IF(F1701="NEW",IF(ISNA(VLOOKUP(E1701,#REF!,1,FALSE())),"?TYPE_IDENTIFIABLE","?REFERENTIAL"),"_")))))</f>
        <v/>
      </c>
      <c r="H1701" s="12" t="str">
        <f aca="false">IF(J1701&lt;&gt;1,"",IF(I1701="SBJ","CB","?"))</f>
        <v/>
      </c>
      <c r="I1701" s="13" t="str">
        <f aca="false">IF(OR(E1701="",E1701="!!!",F1701="NEW"),"",INDEX(B$2:B1700,-1+SUMPRODUCT(MAX(ROW(E$2:E1700)*(E1701=E$2:E1700)))))</f>
        <v/>
      </c>
      <c r="J1701" s="14" t="str">
        <f aca="true">IF(OR(E1701="",E1701="!!!",F1701="NEW"),"",COUNTBLANK(OFFSET(A$1,,,SUMPRODUCT(MAX(ROW(E$2:E1701)*(E1701=E$2:E1701)))))-COUNTBLANK(OFFSET(A$1,,,SUMPRODUCT(MAX(ROW(E$1:E1700)*(E1701=E$1:E1700))))))</f>
        <v/>
      </c>
      <c r="K1701" s="14" t="str">
        <f aca="false">IF(OR(E1701="",E1701="!!!",F1701="NEW"),"",INDEX(J$1:J1700,SUMPRODUCT(MAX(ROW(E$1:E1700)*(E1701=E$1:E1700)))))</f>
        <v/>
      </c>
      <c r="L1701" s="15"/>
    </row>
    <row r="1702" customFormat="false" ht="12.75" hidden="false" customHeight="false" outlineLevel="0" collapsed="false">
      <c r="A1702" s="0" t="s">
        <v>147</v>
      </c>
      <c r="B1702" s="0" t="s">
        <v>47</v>
      </c>
      <c r="C1702" s="0" t="s">
        <v>38</v>
      </c>
      <c r="D1702" s="0" t="s">
        <v>29</v>
      </c>
      <c r="E1702" s="9" t="str">
        <f aca="false">IF(D1702="?OLD","!!!","")</f>
        <v>!!!</v>
      </c>
      <c r="F1702" s="10" t="str">
        <f aca="false">IF(OR(E1702="",E1702="!!!"),"",IF(NOT(ISNA(VLOOKUP(E1702,E$1:E1701,1,FALSE()))),"OLD",IF(AND(E1702&lt;&gt;"",E1702&lt;&gt;"!!!"),"NEW","")))</f>
        <v/>
      </c>
      <c r="G1702" s="11" t="str">
        <f aca="false">IF(OR(E1702="",E1702="!!!"),"",IF(OR(J1702=0,AND(J1702=1,K1702=1),AND(J1702=1,I1702="SBJ"),AND(J1702=1,I1702=0)),"?IN_FOCUS",IF(J1702&lt;=2,"?ACTIVATED",IF(J1702&lt;&gt;"","?FAMILIAR",IF(F1702="NEW",IF(ISNA(VLOOKUP(E1702,#REF!,1,FALSE())),"?TYPE_IDENTIFIABLE","?REFERENTIAL"),"_")))))</f>
        <v/>
      </c>
      <c r="H1702" s="12" t="str">
        <f aca="false">IF(J1702&lt;&gt;1,"",IF(I1702="SBJ","CB","?"))</f>
        <v/>
      </c>
      <c r="I1702" s="13" t="str">
        <f aca="false">IF(OR(E1702="",E1702="!!!",F1702="NEW"),"",INDEX(B$2:B1701,-1+SUMPRODUCT(MAX(ROW(E$2:E1701)*(E1702=E$2:E1701)))))</f>
        <v/>
      </c>
      <c r="J1702" s="14" t="str">
        <f aca="true">IF(OR(E1702="",E1702="!!!",F1702="NEW"),"",COUNTBLANK(OFFSET(A$1,,,SUMPRODUCT(MAX(ROW(E$2:E1702)*(E1702=E$2:E1702)))))-COUNTBLANK(OFFSET(A$1,,,SUMPRODUCT(MAX(ROW(E$1:E1701)*(E1702=E$1:E1701))))))</f>
        <v/>
      </c>
      <c r="K1702" s="14" t="str">
        <f aca="false">IF(OR(E1702="",E1702="!!!",F1702="NEW"),"",INDEX(J$1:J1701,SUMPRODUCT(MAX(ROW(E$1:E1701)*(E1702=E$1:E1701)))))</f>
        <v/>
      </c>
      <c r="L1702" s="15"/>
    </row>
    <row r="1703" customFormat="false" ht="12.75" hidden="false" customHeight="false" outlineLevel="0" collapsed="false">
      <c r="A1703" s="0" t="s">
        <v>95</v>
      </c>
      <c r="E1703" s="9" t="str">
        <f aca="false">IF(D1703="?OLD","!!!","")</f>
        <v/>
      </c>
      <c r="F1703" s="10" t="str">
        <f aca="false">IF(OR(E1703="",E1703="!!!"),"",IF(NOT(ISNA(VLOOKUP(E1703,E$1:E1702,1,FALSE()))),"OLD",IF(AND(E1703&lt;&gt;"",E1703&lt;&gt;"!!!"),"NEW","")))</f>
        <v/>
      </c>
      <c r="G1703" s="11" t="str">
        <f aca="false">IF(OR(E1703="",E1703="!!!"),"",IF(OR(J1703=0,AND(J1703=1,K1703=1),AND(J1703=1,I1703="SBJ"),AND(J1703=1,I1703=0)),"?IN_FOCUS",IF(J1703&lt;=2,"?ACTIVATED",IF(J1703&lt;&gt;"","?FAMILIAR",IF(F1703="NEW",IF(ISNA(VLOOKUP(E1703,#REF!,1,FALSE())),"?TYPE_IDENTIFIABLE","?REFERENTIAL"),"_")))))</f>
        <v/>
      </c>
      <c r="H1703" s="12" t="str">
        <f aca="false">IF(J1703&lt;&gt;1,"",IF(I1703="SBJ","CB","?"))</f>
        <v/>
      </c>
      <c r="I1703" s="13" t="str">
        <f aca="false">IF(OR(E1703="",E1703="!!!",F1703="NEW"),"",INDEX(B$2:B1702,-1+SUMPRODUCT(MAX(ROW(E$2:E1702)*(E1703=E$2:E1702)))))</f>
        <v/>
      </c>
      <c r="J1703" s="14" t="str">
        <f aca="true">IF(OR(E1703="",E1703="!!!",F1703="NEW"),"",COUNTBLANK(OFFSET(A$1,,,SUMPRODUCT(MAX(ROW(E$2:E1703)*(E1703=E$2:E1703)))))-COUNTBLANK(OFFSET(A$1,,,SUMPRODUCT(MAX(ROW(E$1:E1702)*(E1703=E$1:E1702))))))</f>
        <v/>
      </c>
      <c r="K1703" s="14" t="str">
        <f aca="false">IF(OR(E1703="",E1703="!!!",F1703="NEW"),"",INDEX(J$1:J1702,SUMPRODUCT(MAX(ROW(E$1:E1702)*(E1703=E$1:E1702)))))</f>
        <v/>
      </c>
      <c r="L1703" s="15"/>
    </row>
    <row r="1704" customFormat="false" ht="12.75" hidden="false" customHeight="false" outlineLevel="0" collapsed="false">
      <c r="A1704" s="0" t="s">
        <v>619</v>
      </c>
      <c r="E1704" s="9" t="str">
        <f aca="false">IF(D1704="?OLD","!!!","")</f>
        <v/>
      </c>
      <c r="F1704" s="10" t="str">
        <f aca="false">IF(OR(E1704="",E1704="!!!"),"",IF(NOT(ISNA(VLOOKUP(E1704,E$1:E1703,1,FALSE()))),"OLD",IF(AND(E1704&lt;&gt;"",E1704&lt;&gt;"!!!"),"NEW","")))</f>
        <v/>
      </c>
      <c r="G1704" s="11" t="str">
        <f aca="false">IF(OR(E1704="",E1704="!!!"),"",IF(OR(J1704=0,AND(J1704=1,K1704=1),AND(J1704=1,I1704="SBJ"),AND(J1704=1,I1704=0)),"?IN_FOCUS",IF(J1704&lt;=2,"?ACTIVATED",IF(J1704&lt;&gt;"","?FAMILIAR",IF(F1704="NEW",IF(ISNA(VLOOKUP(E1704,#REF!,1,FALSE())),"?TYPE_IDENTIFIABLE","?REFERENTIAL"),"_")))))</f>
        <v/>
      </c>
      <c r="H1704" s="12" t="str">
        <f aca="false">IF(J1704&lt;&gt;1,"",IF(I1704="SBJ","CB","?"))</f>
        <v/>
      </c>
      <c r="I1704" s="13" t="str">
        <f aca="false">IF(OR(E1704="",E1704="!!!",F1704="NEW"),"",INDEX(B$2:B1703,-1+SUMPRODUCT(MAX(ROW(E$2:E1703)*(E1704=E$2:E1703)))))</f>
        <v/>
      </c>
      <c r="J1704" s="14" t="str">
        <f aca="true">IF(OR(E1704="",E1704="!!!",F1704="NEW"),"",COUNTBLANK(OFFSET(A$1,,,SUMPRODUCT(MAX(ROW(E$2:E1704)*(E1704=E$2:E1704)))))-COUNTBLANK(OFFSET(A$1,,,SUMPRODUCT(MAX(ROW(E$1:E1703)*(E1704=E$1:E1703))))))</f>
        <v/>
      </c>
      <c r="K1704" s="14" t="str">
        <f aca="false">IF(OR(E1704="",E1704="!!!",F1704="NEW"),"",INDEX(J$1:J1703,SUMPRODUCT(MAX(ROW(E$1:E1703)*(E1704=E$1:E1703)))))</f>
        <v/>
      </c>
      <c r="L1704" s="15"/>
    </row>
    <row r="1705" customFormat="false" ht="12.75" hidden="false" customHeight="false" outlineLevel="0" collapsed="false">
      <c r="A1705" s="0" t="s">
        <v>40</v>
      </c>
      <c r="E1705" s="9" t="str">
        <f aca="false">IF(D1705="?OLD","!!!","")</f>
        <v/>
      </c>
      <c r="F1705" s="10" t="str">
        <f aca="false">IF(OR(E1705="",E1705="!!!"),"",IF(NOT(ISNA(VLOOKUP(E1705,E$1:E1704,1,FALSE()))),"OLD",IF(AND(E1705&lt;&gt;"",E1705&lt;&gt;"!!!"),"NEW","")))</f>
        <v/>
      </c>
      <c r="G1705" s="11" t="str">
        <f aca="false">IF(OR(E1705="",E1705="!!!"),"",IF(OR(J1705=0,AND(J1705=1,K1705=1),AND(J1705=1,I1705="SBJ"),AND(J1705=1,I1705=0)),"?IN_FOCUS",IF(J1705&lt;=2,"?ACTIVATED",IF(J1705&lt;&gt;"","?FAMILIAR",IF(F1705="NEW",IF(ISNA(VLOOKUP(E1705,#REF!,1,FALSE())),"?TYPE_IDENTIFIABLE","?REFERENTIAL"),"_")))))</f>
        <v/>
      </c>
      <c r="H1705" s="12" t="str">
        <f aca="false">IF(J1705&lt;&gt;1,"",IF(I1705="SBJ","CB","?"))</f>
        <v/>
      </c>
      <c r="I1705" s="13" t="str">
        <f aca="false">IF(OR(E1705="",E1705="!!!",F1705="NEW"),"",INDEX(B$2:B1704,-1+SUMPRODUCT(MAX(ROW(E$2:E1704)*(E1705=E$2:E1704)))))</f>
        <v/>
      </c>
      <c r="J1705" s="14" t="str">
        <f aca="true">IF(OR(E1705="",E1705="!!!",F1705="NEW"),"",COUNTBLANK(OFFSET(A$1,,,SUMPRODUCT(MAX(ROW(E$2:E1705)*(E1705=E$2:E1705)))))-COUNTBLANK(OFFSET(A$1,,,SUMPRODUCT(MAX(ROW(E$1:E1704)*(E1705=E$1:E1704))))))</f>
        <v/>
      </c>
      <c r="K1705" s="14" t="str">
        <f aca="false">IF(OR(E1705="",E1705="!!!",F1705="NEW"),"",INDEX(J$1:J1704,SUMPRODUCT(MAX(ROW(E$1:E1704)*(E1705=E$1:E1704)))))</f>
        <v/>
      </c>
      <c r="L1705" s="15"/>
    </row>
    <row r="1706" customFormat="false" ht="12.75" hidden="false" customHeight="false" outlineLevel="0" collapsed="false">
      <c r="A1706" s="0" t="s">
        <v>718</v>
      </c>
      <c r="B1706" s="0" t="s">
        <v>28</v>
      </c>
      <c r="C1706" s="0" t="s">
        <v>43</v>
      </c>
      <c r="E1706" s="9" t="str">
        <f aca="false">IF(D1706="?OLD","!!!","")</f>
        <v/>
      </c>
      <c r="F1706" s="10" t="str">
        <f aca="false">IF(OR(E1706="",E1706="!!!"),"",IF(NOT(ISNA(VLOOKUP(E1706,E$1:E1705,1,FALSE()))),"OLD",IF(AND(E1706&lt;&gt;"",E1706&lt;&gt;"!!!"),"NEW","")))</f>
        <v/>
      </c>
      <c r="G1706" s="11" t="str">
        <f aca="false">IF(OR(E1706="",E1706="!!!"),"",IF(OR(J1706=0,AND(J1706=1,K1706=1),AND(J1706=1,I1706="SBJ"),AND(J1706=1,I1706=0)),"?IN_FOCUS",IF(J1706&lt;=2,"?ACTIVATED",IF(J1706&lt;&gt;"","?FAMILIAR",IF(F1706="NEW",IF(ISNA(VLOOKUP(E1706,#REF!,1,FALSE())),"?TYPE_IDENTIFIABLE","?REFERENTIAL"),"_")))))</f>
        <v/>
      </c>
      <c r="H1706" s="12" t="str">
        <f aca="false">IF(J1706&lt;&gt;1,"",IF(I1706="SBJ","CB","?"))</f>
        <v/>
      </c>
      <c r="I1706" s="13" t="str">
        <f aca="false">IF(OR(E1706="",E1706="!!!",F1706="NEW"),"",INDEX(B$2:B1705,-1+SUMPRODUCT(MAX(ROW(E$2:E1705)*(E1706=E$2:E1705)))))</f>
        <v/>
      </c>
      <c r="J1706" s="14" t="str">
        <f aca="true">IF(OR(E1706="",E1706="!!!",F1706="NEW"),"",COUNTBLANK(OFFSET(A$1,,,SUMPRODUCT(MAX(ROW(E$2:E1706)*(E1706=E$2:E1706)))))-COUNTBLANK(OFFSET(A$1,,,SUMPRODUCT(MAX(ROW(E$1:E1705)*(E1706=E$1:E1705))))))</f>
        <v/>
      </c>
      <c r="K1706" s="14" t="str">
        <f aca="false">IF(OR(E1706="",E1706="!!!",F1706="NEW"),"",INDEX(J$1:J1705,SUMPRODUCT(MAX(ROW(E$1:E1705)*(E1706=E$1:E1705)))))</f>
        <v/>
      </c>
      <c r="L1706" s="15"/>
    </row>
    <row r="1707" customFormat="false" ht="12.75" hidden="false" customHeight="false" outlineLevel="0" collapsed="false">
      <c r="A1707" s="0" t="s">
        <v>79</v>
      </c>
      <c r="E1707" s="9" t="str">
        <f aca="false">IF(D1707="?OLD","!!!","")</f>
        <v/>
      </c>
      <c r="F1707" s="10" t="str">
        <f aca="false">IF(OR(E1707="",E1707="!!!"),"",IF(NOT(ISNA(VLOOKUP(E1707,E$1:E1706,1,FALSE()))),"OLD",IF(AND(E1707&lt;&gt;"",E1707&lt;&gt;"!!!"),"NEW","")))</f>
        <v/>
      </c>
      <c r="G1707" s="11" t="str">
        <f aca="false">IF(OR(E1707="",E1707="!!!"),"",IF(OR(J1707=0,AND(J1707=1,K1707=1),AND(J1707=1,I1707="SBJ"),AND(J1707=1,I1707=0)),"?IN_FOCUS",IF(J1707&lt;=2,"?ACTIVATED",IF(J1707&lt;&gt;"","?FAMILIAR",IF(F1707="NEW",IF(ISNA(VLOOKUP(E1707,#REF!,1,FALSE())),"?TYPE_IDENTIFIABLE","?REFERENTIAL"),"_")))))</f>
        <v/>
      </c>
      <c r="H1707" s="12" t="str">
        <f aca="false">IF(J1707&lt;&gt;1,"",IF(I1707="SBJ","CB","?"))</f>
        <v/>
      </c>
      <c r="I1707" s="13" t="str">
        <f aca="false">IF(OR(E1707="",E1707="!!!",F1707="NEW"),"",INDEX(B$2:B1706,-1+SUMPRODUCT(MAX(ROW(E$2:E1706)*(E1707=E$2:E1706)))))</f>
        <v/>
      </c>
      <c r="J1707" s="14" t="str">
        <f aca="true">IF(OR(E1707="",E1707="!!!",F1707="NEW"),"",COUNTBLANK(OFFSET(A$1,,,SUMPRODUCT(MAX(ROW(E$2:E1707)*(E1707=E$2:E1707)))))-COUNTBLANK(OFFSET(A$1,,,SUMPRODUCT(MAX(ROW(E$1:E1706)*(E1707=E$1:E1706))))))</f>
        <v/>
      </c>
      <c r="K1707" s="14" t="str">
        <f aca="false">IF(OR(E1707="",E1707="!!!",F1707="NEW"),"",INDEX(J$1:J1706,SUMPRODUCT(MAX(ROW(E$1:E1706)*(E1707=E$1:E1706)))))</f>
        <v/>
      </c>
      <c r="L1707" s="15"/>
    </row>
    <row r="1708" customFormat="false" ht="12.75" hidden="false" customHeight="false" outlineLevel="0" collapsed="false">
      <c r="A1708" s="0" t="s">
        <v>66</v>
      </c>
      <c r="E1708" s="9" t="str">
        <f aca="false">IF(D1708="?OLD","!!!","")</f>
        <v/>
      </c>
      <c r="F1708" s="10" t="str">
        <f aca="false">IF(OR(E1708="",E1708="!!!"),"",IF(NOT(ISNA(VLOOKUP(E1708,E$1:E1707,1,FALSE()))),"OLD",IF(AND(E1708&lt;&gt;"",E1708&lt;&gt;"!!!"),"NEW","")))</f>
        <v/>
      </c>
      <c r="G1708" s="11" t="str">
        <f aca="false">IF(OR(E1708="",E1708="!!!"),"",IF(OR(J1708=0,AND(J1708=1,K1708=1),AND(J1708=1,I1708="SBJ"),AND(J1708=1,I1708=0)),"?IN_FOCUS",IF(J1708&lt;=2,"?ACTIVATED",IF(J1708&lt;&gt;"","?FAMILIAR",IF(F1708="NEW",IF(ISNA(VLOOKUP(E1708,#REF!,1,FALSE())),"?TYPE_IDENTIFIABLE","?REFERENTIAL"),"_")))))</f>
        <v/>
      </c>
      <c r="H1708" s="12" t="str">
        <f aca="false">IF(J1708&lt;&gt;1,"",IF(I1708="SBJ","CB","?"))</f>
        <v/>
      </c>
      <c r="I1708" s="13" t="str">
        <f aca="false">IF(OR(E1708="",E1708="!!!",F1708="NEW"),"",INDEX(B$2:B1707,-1+SUMPRODUCT(MAX(ROW(E$2:E1707)*(E1708=E$2:E1707)))))</f>
        <v/>
      </c>
      <c r="J1708" s="14" t="str">
        <f aca="true">IF(OR(E1708="",E1708="!!!",F1708="NEW"),"",COUNTBLANK(OFFSET(A$1,,,SUMPRODUCT(MAX(ROW(E$2:E1708)*(E1708=E$2:E1708)))))-COUNTBLANK(OFFSET(A$1,,,SUMPRODUCT(MAX(ROW(E$1:E1707)*(E1708=E$1:E1707))))))</f>
        <v/>
      </c>
      <c r="K1708" s="14" t="str">
        <f aca="false">IF(OR(E1708="",E1708="!!!",F1708="NEW"),"",INDEX(J$1:J1707,SUMPRODUCT(MAX(ROW(E$1:E1707)*(E1708=E$1:E1707)))))</f>
        <v/>
      </c>
      <c r="L1708" s="15"/>
    </row>
    <row r="1709" customFormat="false" ht="12.75" hidden="false" customHeight="false" outlineLevel="0" collapsed="false">
      <c r="A1709" s="0" t="s">
        <v>231</v>
      </c>
      <c r="B1709" s="0" t="s">
        <v>22</v>
      </c>
      <c r="C1709" s="0" t="s">
        <v>111</v>
      </c>
      <c r="D1709" s="0" t="s">
        <v>29</v>
      </c>
      <c r="E1709" s="9" t="str">
        <f aca="false">IF(D1709="?OLD","!!!","")</f>
        <v>!!!</v>
      </c>
      <c r="F1709" s="10" t="str">
        <f aca="false">IF(OR(E1709="",E1709="!!!"),"",IF(NOT(ISNA(VLOOKUP(E1709,E$1:E1708,1,FALSE()))),"OLD",IF(AND(E1709&lt;&gt;"",E1709&lt;&gt;"!!!"),"NEW","")))</f>
        <v/>
      </c>
      <c r="G1709" s="11" t="str">
        <f aca="false">IF(OR(E1709="",E1709="!!!"),"",IF(OR(J1709=0,AND(J1709=1,K1709=1),AND(J1709=1,I1709="SBJ"),AND(J1709=1,I1709=0)),"?IN_FOCUS",IF(J1709&lt;=2,"?ACTIVATED",IF(J1709&lt;&gt;"","?FAMILIAR",IF(F1709="NEW",IF(ISNA(VLOOKUP(E1709,#REF!,1,FALSE())),"?TYPE_IDENTIFIABLE","?REFERENTIAL"),"_")))))</f>
        <v/>
      </c>
      <c r="H1709" s="12" t="str">
        <f aca="false">IF(J1709&lt;&gt;1,"",IF(I1709="SBJ","CB","?"))</f>
        <v/>
      </c>
      <c r="I1709" s="13" t="str">
        <f aca="false">IF(OR(E1709="",E1709="!!!",F1709="NEW"),"",INDEX(B$2:B1708,-1+SUMPRODUCT(MAX(ROW(E$2:E1708)*(E1709=E$2:E1708)))))</f>
        <v/>
      </c>
      <c r="J1709" s="14" t="str">
        <f aca="true">IF(OR(E1709="",E1709="!!!",F1709="NEW"),"",COUNTBLANK(OFFSET(A$1,,,SUMPRODUCT(MAX(ROW(E$2:E1709)*(E1709=E$2:E1709)))))-COUNTBLANK(OFFSET(A$1,,,SUMPRODUCT(MAX(ROW(E$1:E1708)*(E1709=E$1:E1708))))))</f>
        <v/>
      </c>
      <c r="K1709" s="14" t="str">
        <f aca="false">IF(OR(E1709="",E1709="!!!",F1709="NEW"),"",INDEX(J$1:J1708,SUMPRODUCT(MAX(ROW(E$1:E1708)*(E1709=E$1:E1708)))))</f>
        <v/>
      </c>
      <c r="L1709" s="15"/>
    </row>
    <row r="1710" customFormat="false" ht="12.75" hidden="false" customHeight="false" outlineLevel="0" collapsed="false">
      <c r="A1710" s="0" t="s">
        <v>31</v>
      </c>
      <c r="E1710" s="9" t="str">
        <f aca="false">IF(D1710="?OLD","!!!","")</f>
        <v/>
      </c>
      <c r="F1710" s="10" t="str">
        <f aca="false">IF(OR(E1710="",E1710="!!!"),"",IF(NOT(ISNA(VLOOKUP(E1710,E$1:E1709,1,FALSE()))),"OLD",IF(AND(E1710&lt;&gt;"",E1710&lt;&gt;"!!!"),"NEW","")))</f>
        <v/>
      </c>
      <c r="G1710" s="11" t="str">
        <f aca="false">IF(OR(E1710="",E1710="!!!"),"",IF(OR(J1710=0,AND(J1710=1,K1710=1),AND(J1710=1,I1710="SBJ"),AND(J1710=1,I1710=0)),"?IN_FOCUS",IF(J1710&lt;=2,"?ACTIVATED",IF(J1710&lt;&gt;"","?FAMILIAR",IF(F1710="NEW",IF(ISNA(VLOOKUP(E1710,#REF!,1,FALSE())),"?TYPE_IDENTIFIABLE","?REFERENTIAL"),"_")))))</f>
        <v/>
      </c>
      <c r="H1710" s="12" t="str">
        <f aca="false">IF(J1710&lt;&gt;1,"",IF(I1710="SBJ","CB","?"))</f>
        <v/>
      </c>
      <c r="I1710" s="13" t="str">
        <f aca="false">IF(OR(E1710="",E1710="!!!",F1710="NEW"),"",INDEX(B$2:B1709,-1+SUMPRODUCT(MAX(ROW(E$2:E1709)*(E1710=E$2:E1709)))))</f>
        <v/>
      </c>
      <c r="J1710" s="14" t="str">
        <f aca="true">IF(OR(E1710="",E1710="!!!",F1710="NEW"),"",COUNTBLANK(OFFSET(A$1,,,SUMPRODUCT(MAX(ROW(E$2:E1710)*(E1710=E$2:E1710)))))-COUNTBLANK(OFFSET(A$1,,,SUMPRODUCT(MAX(ROW(E$1:E1709)*(E1710=E$1:E1709))))))</f>
        <v/>
      </c>
      <c r="K1710" s="14" t="str">
        <f aca="false">IF(OR(E1710="",E1710="!!!",F1710="NEW"),"",INDEX(J$1:J1709,SUMPRODUCT(MAX(ROW(E$1:E1709)*(E1710=E$1:E1709)))))</f>
        <v/>
      </c>
      <c r="L1710" s="15"/>
    </row>
    <row r="1711" customFormat="false" ht="12.75" hidden="false" customHeight="false" outlineLevel="0" collapsed="false">
      <c r="A1711" s="0" t="s">
        <v>88</v>
      </c>
      <c r="E1711" s="9" t="str">
        <f aca="false">IF(D1711="?OLD","!!!","")</f>
        <v/>
      </c>
      <c r="F1711" s="10" t="str">
        <f aca="false">IF(OR(E1711="",E1711="!!!"),"",IF(NOT(ISNA(VLOOKUP(E1711,E$1:E1710,1,FALSE()))),"OLD",IF(AND(E1711&lt;&gt;"",E1711&lt;&gt;"!!!"),"NEW","")))</f>
        <v/>
      </c>
      <c r="G1711" s="11" t="str">
        <f aca="false">IF(OR(E1711="",E1711="!!!"),"",IF(OR(J1711=0,AND(J1711=1,K1711=1),AND(J1711=1,I1711="SBJ"),AND(J1711=1,I1711=0)),"?IN_FOCUS",IF(J1711&lt;=2,"?ACTIVATED",IF(J1711&lt;&gt;"","?FAMILIAR",IF(F1711="NEW",IF(ISNA(VLOOKUP(E1711,#REF!,1,FALSE())),"?TYPE_IDENTIFIABLE","?REFERENTIAL"),"_")))))</f>
        <v/>
      </c>
      <c r="H1711" s="12" t="str">
        <f aca="false">IF(J1711&lt;&gt;1,"",IF(I1711="SBJ","CB","?"))</f>
        <v/>
      </c>
      <c r="I1711" s="13" t="str">
        <f aca="false">IF(OR(E1711="",E1711="!!!",F1711="NEW"),"",INDEX(B$2:B1710,-1+SUMPRODUCT(MAX(ROW(E$2:E1710)*(E1711=E$2:E1710)))))</f>
        <v/>
      </c>
      <c r="J1711" s="14" t="str">
        <f aca="true">IF(OR(E1711="",E1711="!!!",F1711="NEW"),"",COUNTBLANK(OFFSET(A$1,,,SUMPRODUCT(MAX(ROW(E$2:E1711)*(E1711=E$2:E1711)))))-COUNTBLANK(OFFSET(A$1,,,SUMPRODUCT(MAX(ROW(E$1:E1710)*(E1711=E$1:E1710))))))</f>
        <v/>
      </c>
      <c r="K1711" s="14" t="str">
        <f aca="false">IF(OR(E1711="",E1711="!!!",F1711="NEW"),"",INDEX(J$1:J1710,SUMPRODUCT(MAX(ROW(E$1:E1710)*(E1711=E$1:E1710)))))</f>
        <v/>
      </c>
      <c r="L1711" s="15"/>
    </row>
    <row r="1712" customFormat="false" ht="12.75" hidden="false" customHeight="false" outlineLevel="0" collapsed="false">
      <c r="A1712" s="0" t="s">
        <v>654</v>
      </c>
      <c r="E1712" s="9" t="str">
        <f aca="false">IF(D1712="?OLD","!!!","")</f>
        <v/>
      </c>
      <c r="F1712" s="10" t="str">
        <f aca="false">IF(OR(E1712="",E1712="!!!"),"",IF(NOT(ISNA(VLOOKUP(E1712,E$1:E1711,1,FALSE()))),"OLD",IF(AND(E1712&lt;&gt;"",E1712&lt;&gt;"!!!"),"NEW","")))</f>
        <v/>
      </c>
      <c r="G1712" s="11" t="str">
        <f aca="false">IF(OR(E1712="",E1712="!!!"),"",IF(OR(J1712=0,AND(J1712=1,K1712=1),AND(J1712=1,I1712="SBJ"),AND(J1712=1,I1712=0)),"?IN_FOCUS",IF(J1712&lt;=2,"?ACTIVATED",IF(J1712&lt;&gt;"","?FAMILIAR",IF(F1712="NEW",IF(ISNA(VLOOKUP(E1712,#REF!,1,FALSE())),"?TYPE_IDENTIFIABLE","?REFERENTIAL"),"_")))))</f>
        <v/>
      </c>
      <c r="H1712" s="12" t="str">
        <f aca="false">IF(J1712&lt;&gt;1,"",IF(I1712="SBJ","CB","?"))</f>
        <v/>
      </c>
      <c r="I1712" s="13" t="str">
        <f aca="false">IF(OR(E1712="",E1712="!!!",F1712="NEW"),"",INDEX(B$2:B1711,-1+SUMPRODUCT(MAX(ROW(E$2:E1711)*(E1712=E$2:E1711)))))</f>
        <v/>
      </c>
      <c r="J1712" s="14" t="str">
        <f aca="true">IF(OR(E1712="",E1712="!!!",F1712="NEW"),"",COUNTBLANK(OFFSET(A$1,,,SUMPRODUCT(MAX(ROW(E$2:E1712)*(E1712=E$2:E1712)))))-COUNTBLANK(OFFSET(A$1,,,SUMPRODUCT(MAX(ROW(E$1:E1711)*(E1712=E$1:E1711))))))</f>
        <v/>
      </c>
      <c r="K1712" s="14" t="str">
        <f aca="false">IF(OR(E1712="",E1712="!!!",F1712="NEW"),"",INDEX(J$1:J1711,SUMPRODUCT(MAX(ROW(E$1:E1711)*(E1712=E$1:E1711)))))</f>
        <v/>
      </c>
      <c r="L1712" s="15"/>
    </row>
    <row r="1713" customFormat="false" ht="12.75" hidden="false" customHeight="false" outlineLevel="0" collapsed="false">
      <c r="A1713" s="0" t="s">
        <v>45</v>
      </c>
      <c r="E1713" s="9" t="str">
        <f aca="false">IF(D1713="?OLD","!!!","")</f>
        <v/>
      </c>
      <c r="F1713" s="10" t="str">
        <f aca="false">IF(OR(E1713="",E1713="!!!"),"",IF(NOT(ISNA(VLOOKUP(E1713,E$1:E1712,1,FALSE()))),"OLD",IF(AND(E1713&lt;&gt;"",E1713&lt;&gt;"!!!"),"NEW","")))</f>
        <v/>
      </c>
      <c r="G1713" s="11" t="str">
        <f aca="false">IF(OR(E1713="",E1713="!!!"),"",IF(OR(J1713=0,AND(J1713=1,K1713=1),AND(J1713=1,I1713="SBJ"),AND(J1713=1,I1713=0)),"?IN_FOCUS",IF(J1713&lt;=2,"?ACTIVATED",IF(J1713&lt;&gt;"","?FAMILIAR",IF(F1713="NEW",IF(ISNA(VLOOKUP(E1713,#REF!,1,FALSE())),"?TYPE_IDENTIFIABLE","?REFERENTIAL"),"_")))))</f>
        <v/>
      </c>
      <c r="H1713" s="12" t="str">
        <f aca="false">IF(J1713&lt;&gt;1,"",IF(I1713="SBJ","CB","?"))</f>
        <v/>
      </c>
      <c r="I1713" s="13" t="str">
        <f aca="false">IF(OR(E1713="",E1713="!!!",F1713="NEW"),"",INDEX(B$2:B1712,-1+SUMPRODUCT(MAX(ROW(E$2:E1712)*(E1713=E$2:E1712)))))</f>
        <v/>
      </c>
      <c r="J1713" s="14" t="str">
        <f aca="true">IF(OR(E1713="",E1713="!!!",F1713="NEW"),"",COUNTBLANK(OFFSET(A$1,,,SUMPRODUCT(MAX(ROW(E$2:E1713)*(E1713=E$2:E1713)))))-COUNTBLANK(OFFSET(A$1,,,SUMPRODUCT(MAX(ROW(E$1:E1712)*(E1713=E$1:E1712))))))</f>
        <v/>
      </c>
      <c r="K1713" s="14" t="str">
        <f aca="false">IF(OR(E1713="",E1713="!!!",F1713="NEW"),"",INDEX(J$1:J1712,SUMPRODUCT(MAX(ROW(E$1:E1712)*(E1713=E$1:E1712)))))</f>
        <v/>
      </c>
      <c r="L1713" s="15"/>
    </row>
    <row r="1714" customFormat="false" ht="12.75" hidden="false" customHeight="false" outlineLevel="0" collapsed="false">
      <c r="A1714" s="0" t="s">
        <v>557</v>
      </c>
      <c r="E1714" s="9" t="str">
        <f aca="false">IF(D1714="?OLD","!!!","")</f>
        <v/>
      </c>
      <c r="F1714" s="10" t="str">
        <f aca="false">IF(OR(E1714="",E1714="!!!"),"",IF(NOT(ISNA(VLOOKUP(E1714,E$1:E1713,1,FALSE()))),"OLD",IF(AND(E1714&lt;&gt;"",E1714&lt;&gt;"!!!"),"NEW","")))</f>
        <v/>
      </c>
      <c r="G1714" s="11" t="str">
        <f aca="false">IF(OR(E1714="",E1714="!!!"),"",IF(OR(J1714=0,AND(J1714=1,K1714=1),AND(J1714=1,I1714="SBJ"),AND(J1714=1,I1714=0)),"?IN_FOCUS",IF(J1714&lt;=2,"?ACTIVATED",IF(J1714&lt;&gt;"","?FAMILIAR",IF(F1714="NEW",IF(ISNA(VLOOKUP(E1714,#REF!,1,FALSE())),"?TYPE_IDENTIFIABLE","?REFERENTIAL"),"_")))))</f>
        <v/>
      </c>
      <c r="H1714" s="12" t="str">
        <f aca="false">IF(J1714&lt;&gt;1,"",IF(I1714="SBJ","CB","?"))</f>
        <v/>
      </c>
      <c r="I1714" s="13" t="str">
        <f aca="false">IF(OR(E1714="",E1714="!!!",F1714="NEW"),"",INDEX(B$2:B1713,-1+SUMPRODUCT(MAX(ROW(E$2:E1713)*(E1714=E$2:E1713)))))</f>
        <v/>
      </c>
      <c r="J1714" s="14" t="str">
        <f aca="true">IF(OR(E1714="",E1714="!!!",F1714="NEW"),"",COUNTBLANK(OFFSET(A$1,,,SUMPRODUCT(MAX(ROW(E$2:E1714)*(E1714=E$2:E1714)))))-COUNTBLANK(OFFSET(A$1,,,SUMPRODUCT(MAX(ROW(E$1:E1713)*(E1714=E$1:E1713))))))</f>
        <v/>
      </c>
      <c r="K1714" s="14" t="str">
        <f aca="false">IF(OR(E1714="",E1714="!!!",F1714="NEW"),"",INDEX(J$1:J1713,SUMPRODUCT(MAX(ROW(E$1:E1713)*(E1714=E$1:E1713)))))</f>
        <v/>
      </c>
      <c r="L1714" s="15"/>
    </row>
    <row r="1715" customFormat="false" ht="12.75" hidden="false" customHeight="false" outlineLevel="0" collapsed="false">
      <c r="A1715" s="0" t="s">
        <v>558</v>
      </c>
      <c r="E1715" s="9" t="str">
        <f aca="false">IF(D1715="?OLD","!!!","")</f>
        <v/>
      </c>
      <c r="F1715" s="10" t="str">
        <f aca="false">IF(OR(E1715="",E1715="!!!"),"",IF(NOT(ISNA(VLOOKUP(E1715,E$1:E1714,1,FALSE()))),"OLD",IF(AND(E1715&lt;&gt;"",E1715&lt;&gt;"!!!"),"NEW","")))</f>
        <v/>
      </c>
      <c r="G1715" s="11" t="str">
        <f aca="false">IF(OR(E1715="",E1715="!!!"),"",IF(OR(J1715=0,AND(J1715=1,K1715=1),AND(J1715=1,I1715="SBJ"),AND(J1715=1,I1715=0)),"?IN_FOCUS",IF(J1715&lt;=2,"?ACTIVATED",IF(J1715&lt;&gt;"","?FAMILIAR",IF(F1715="NEW",IF(ISNA(VLOOKUP(E1715,#REF!,1,FALSE())),"?TYPE_IDENTIFIABLE","?REFERENTIAL"),"_")))))</f>
        <v/>
      </c>
      <c r="H1715" s="12" t="str">
        <f aca="false">IF(J1715&lt;&gt;1,"",IF(I1715="SBJ","CB","?"))</f>
        <v/>
      </c>
      <c r="I1715" s="13" t="str">
        <f aca="false">IF(OR(E1715="",E1715="!!!",F1715="NEW"),"",INDEX(B$2:B1714,-1+SUMPRODUCT(MAX(ROW(E$2:E1714)*(E1715=E$2:E1714)))))</f>
        <v/>
      </c>
      <c r="J1715" s="14" t="str">
        <f aca="true">IF(OR(E1715="",E1715="!!!",F1715="NEW"),"",COUNTBLANK(OFFSET(A$1,,,SUMPRODUCT(MAX(ROW(E$2:E1715)*(E1715=E$2:E1715)))))-COUNTBLANK(OFFSET(A$1,,,SUMPRODUCT(MAX(ROW(E$1:E1714)*(E1715=E$1:E1714))))))</f>
        <v/>
      </c>
      <c r="K1715" s="14" t="str">
        <f aca="false">IF(OR(E1715="",E1715="!!!",F1715="NEW"),"",INDEX(J$1:J1714,SUMPRODUCT(MAX(ROW(E$1:E1714)*(E1715=E$1:E1714)))))</f>
        <v/>
      </c>
      <c r="L1715" s="15"/>
    </row>
    <row r="1716" customFormat="false" ht="12.75" hidden="false" customHeight="false" outlineLevel="0" collapsed="false">
      <c r="A1716" s="0" t="s">
        <v>689</v>
      </c>
      <c r="B1716" s="0" t="s">
        <v>28</v>
      </c>
      <c r="C1716" s="0" t="s">
        <v>135</v>
      </c>
      <c r="D1716" s="0" t="s">
        <v>29</v>
      </c>
      <c r="E1716" s="9" t="str">
        <f aca="false">IF(D1716="?OLD","!!!","")</f>
        <v>!!!</v>
      </c>
      <c r="F1716" s="10" t="str">
        <f aca="false">IF(OR(E1716="",E1716="!!!"),"",IF(NOT(ISNA(VLOOKUP(E1716,E$1:E1715,1,FALSE()))),"OLD",IF(AND(E1716&lt;&gt;"",E1716&lt;&gt;"!!!"),"NEW","")))</f>
        <v/>
      </c>
      <c r="G1716" s="11" t="str">
        <f aca="false">IF(OR(E1716="",E1716="!!!"),"",IF(OR(J1716=0,AND(J1716=1,K1716=1),AND(J1716=1,I1716="SBJ"),AND(J1716=1,I1716=0)),"?IN_FOCUS",IF(J1716&lt;=2,"?ACTIVATED",IF(J1716&lt;&gt;"","?FAMILIAR",IF(F1716="NEW",IF(ISNA(VLOOKUP(E1716,#REF!,1,FALSE())),"?TYPE_IDENTIFIABLE","?REFERENTIAL"),"_")))))</f>
        <v/>
      </c>
      <c r="H1716" s="12" t="str">
        <f aca="false">IF(J1716&lt;&gt;1,"",IF(I1716="SBJ","CB","?"))</f>
        <v/>
      </c>
      <c r="I1716" s="13" t="str">
        <f aca="false">IF(OR(E1716="",E1716="!!!",F1716="NEW"),"",INDEX(B$2:B1715,-1+SUMPRODUCT(MAX(ROW(E$2:E1715)*(E1716=E$2:E1715)))))</f>
        <v/>
      </c>
      <c r="J1716" s="14" t="str">
        <f aca="true">IF(OR(E1716="",E1716="!!!",F1716="NEW"),"",COUNTBLANK(OFFSET(A$1,,,SUMPRODUCT(MAX(ROW(E$2:E1716)*(E1716=E$2:E1716)))))-COUNTBLANK(OFFSET(A$1,,,SUMPRODUCT(MAX(ROW(E$1:E1715)*(E1716=E$1:E1715))))))</f>
        <v/>
      </c>
      <c r="K1716" s="14" t="str">
        <f aca="false">IF(OR(E1716="",E1716="!!!",F1716="NEW"),"",INDEX(J$1:J1715,SUMPRODUCT(MAX(ROW(E$1:E1715)*(E1716=E$1:E1715)))))</f>
        <v/>
      </c>
      <c r="L1716" s="15"/>
    </row>
    <row r="1717" customFormat="false" ht="12.75" hidden="false" customHeight="false" outlineLevel="0" collapsed="false">
      <c r="A1717" s="0" t="s">
        <v>31</v>
      </c>
      <c r="E1717" s="9" t="str">
        <f aca="false">IF(D1717="?OLD","!!!","")</f>
        <v/>
      </c>
      <c r="F1717" s="10" t="str">
        <f aca="false">IF(OR(E1717="",E1717="!!!"),"",IF(NOT(ISNA(VLOOKUP(E1717,E$1:E1716,1,FALSE()))),"OLD",IF(AND(E1717&lt;&gt;"",E1717&lt;&gt;"!!!"),"NEW","")))</f>
        <v/>
      </c>
      <c r="G1717" s="11" t="str">
        <f aca="false">IF(OR(E1717="",E1717="!!!"),"",IF(OR(J1717=0,AND(J1717=1,K1717=1),AND(J1717=1,I1717="SBJ"),AND(J1717=1,I1717=0)),"?IN_FOCUS",IF(J1717&lt;=2,"?ACTIVATED",IF(J1717&lt;&gt;"","?FAMILIAR",IF(F1717="NEW",IF(ISNA(VLOOKUP(E1717,#REF!,1,FALSE())),"?TYPE_IDENTIFIABLE","?REFERENTIAL"),"_")))))</f>
        <v/>
      </c>
      <c r="H1717" s="12" t="str">
        <f aca="false">IF(J1717&lt;&gt;1,"",IF(I1717="SBJ","CB","?"))</f>
        <v/>
      </c>
      <c r="I1717" s="13" t="str">
        <f aca="false">IF(OR(E1717="",E1717="!!!",F1717="NEW"),"",INDEX(B$2:B1716,-1+SUMPRODUCT(MAX(ROW(E$2:E1716)*(E1717=E$2:E1716)))))</f>
        <v/>
      </c>
      <c r="J1717" s="14" t="str">
        <f aca="true">IF(OR(E1717="",E1717="!!!",F1717="NEW"),"",COUNTBLANK(OFFSET(A$1,,,SUMPRODUCT(MAX(ROW(E$2:E1717)*(E1717=E$2:E1717)))))-COUNTBLANK(OFFSET(A$1,,,SUMPRODUCT(MAX(ROW(E$1:E1716)*(E1717=E$1:E1716))))))</f>
        <v/>
      </c>
      <c r="K1717" s="14" t="str">
        <f aca="false">IF(OR(E1717="",E1717="!!!",F1717="NEW"),"",INDEX(J$1:J1716,SUMPRODUCT(MAX(ROW(E$1:E1716)*(E1717=E$1:E1716)))))</f>
        <v/>
      </c>
      <c r="L1717" s="15"/>
    </row>
    <row r="1718" customFormat="false" ht="12.75" hidden="false" customHeight="false" outlineLevel="0" collapsed="false">
      <c r="A1718" s="0" t="s">
        <v>173</v>
      </c>
      <c r="E1718" s="9" t="str">
        <f aca="false">IF(D1718="?OLD","!!!","")</f>
        <v/>
      </c>
      <c r="F1718" s="10" t="str">
        <f aca="false">IF(OR(E1718="",E1718="!!!"),"",IF(NOT(ISNA(VLOOKUP(E1718,E$1:E1717,1,FALSE()))),"OLD",IF(AND(E1718&lt;&gt;"",E1718&lt;&gt;"!!!"),"NEW","")))</f>
        <v/>
      </c>
      <c r="G1718" s="11" t="str">
        <f aca="false">IF(OR(E1718="",E1718="!!!"),"",IF(OR(J1718=0,AND(J1718=1,K1718=1),AND(J1718=1,I1718="SBJ"),AND(J1718=1,I1718=0)),"?IN_FOCUS",IF(J1718&lt;=2,"?ACTIVATED",IF(J1718&lt;&gt;"","?FAMILIAR",IF(F1718="NEW",IF(ISNA(VLOOKUP(E1718,#REF!,1,FALSE())),"?TYPE_IDENTIFIABLE","?REFERENTIAL"),"_")))))</f>
        <v/>
      </c>
      <c r="H1718" s="12" t="str">
        <f aca="false">IF(J1718&lt;&gt;1,"",IF(I1718="SBJ","CB","?"))</f>
        <v/>
      </c>
      <c r="I1718" s="13" t="str">
        <f aca="false">IF(OR(E1718="",E1718="!!!",F1718="NEW"),"",INDEX(B$2:B1717,-1+SUMPRODUCT(MAX(ROW(E$2:E1717)*(E1718=E$2:E1717)))))</f>
        <v/>
      </c>
      <c r="J1718" s="14" t="str">
        <f aca="true">IF(OR(E1718="",E1718="!!!",F1718="NEW"),"",COUNTBLANK(OFFSET(A$1,,,SUMPRODUCT(MAX(ROW(E$2:E1718)*(E1718=E$2:E1718)))))-COUNTBLANK(OFFSET(A$1,,,SUMPRODUCT(MAX(ROW(E$1:E1717)*(E1718=E$1:E1717))))))</f>
        <v/>
      </c>
      <c r="K1718" s="14" t="str">
        <f aca="false">IF(OR(E1718="",E1718="!!!",F1718="NEW"),"",INDEX(J$1:J1717,SUMPRODUCT(MAX(ROW(E$1:E1717)*(E1718=E$1:E1717)))))</f>
        <v/>
      </c>
      <c r="L1718" s="15"/>
    </row>
    <row r="1719" customFormat="false" ht="12.75" hidden="false" customHeight="false" outlineLevel="0" collapsed="false">
      <c r="A1719" s="0" t="s">
        <v>66</v>
      </c>
      <c r="E1719" s="9" t="str">
        <f aca="false">IF(D1719="?OLD","!!!","")</f>
        <v/>
      </c>
      <c r="F1719" s="10" t="str">
        <f aca="false">IF(OR(E1719="",E1719="!!!"),"",IF(NOT(ISNA(VLOOKUP(E1719,E$1:E1718,1,FALSE()))),"OLD",IF(AND(E1719&lt;&gt;"",E1719&lt;&gt;"!!!"),"NEW","")))</f>
        <v/>
      </c>
      <c r="G1719" s="11" t="str">
        <f aca="false">IF(OR(E1719="",E1719="!!!"),"",IF(OR(J1719=0,AND(J1719=1,K1719=1),AND(J1719=1,I1719="SBJ"),AND(J1719=1,I1719=0)),"?IN_FOCUS",IF(J1719&lt;=2,"?ACTIVATED",IF(J1719&lt;&gt;"","?FAMILIAR",IF(F1719="NEW",IF(ISNA(VLOOKUP(E1719,#REF!,1,FALSE())),"?TYPE_IDENTIFIABLE","?REFERENTIAL"),"_")))))</f>
        <v/>
      </c>
      <c r="H1719" s="12" t="str">
        <f aca="false">IF(J1719&lt;&gt;1,"",IF(I1719="SBJ","CB","?"))</f>
        <v/>
      </c>
      <c r="I1719" s="13" t="str">
        <f aca="false">IF(OR(E1719="",E1719="!!!",F1719="NEW"),"",INDEX(B$2:B1718,-1+SUMPRODUCT(MAX(ROW(E$2:E1718)*(E1719=E$2:E1718)))))</f>
        <v/>
      </c>
      <c r="J1719" s="14" t="str">
        <f aca="true">IF(OR(E1719="",E1719="!!!",F1719="NEW"),"",COUNTBLANK(OFFSET(A$1,,,SUMPRODUCT(MAX(ROW(E$2:E1719)*(E1719=E$2:E1719)))))-COUNTBLANK(OFFSET(A$1,,,SUMPRODUCT(MAX(ROW(E$1:E1718)*(E1719=E$1:E1718))))))</f>
        <v/>
      </c>
      <c r="K1719" s="14" t="str">
        <f aca="false">IF(OR(E1719="",E1719="!!!",F1719="NEW"),"",INDEX(J$1:J1718,SUMPRODUCT(MAX(ROW(E$1:E1718)*(E1719=E$1:E1718)))))</f>
        <v/>
      </c>
      <c r="L1719" s="15"/>
    </row>
    <row r="1720" customFormat="false" ht="12.75" hidden="false" customHeight="false" outlineLevel="0" collapsed="false">
      <c r="A1720" s="0" t="s">
        <v>570</v>
      </c>
      <c r="B1720" s="0" t="s">
        <v>47</v>
      </c>
      <c r="C1720" s="0" t="s">
        <v>111</v>
      </c>
      <c r="D1720" s="0" t="s">
        <v>29</v>
      </c>
      <c r="E1720" s="9" t="str">
        <f aca="false">IF(D1720="?OLD","!!!","")</f>
        <v>!!!</v>
      </c>
      <c r="F1720" s="10" t="str">
        <f aca="false">IF(OR(E1720="",E1720="!!!"),"",IF(NOT(ISNA(VLOOKUP(E1720,E$1:E1719,1,FALSE()))),"OLD",IF(AND(E1720&lt;&gt;"",E1720&lt;&gt;"!!!"),"NEW","")))</f>
        <v/>
      </c>
      <c r="G1720" s="11" t="str">
        <f aca="false">IF(OR(E1720="",E1720="!!!"),"",IF(OR(J1720=0,AND(J1720=1,K1720=1),AND(J1720=1,I1720="SBJ"),AND(J1720=1,I1720=0)),"?IN_FOCUS",IF(J1720&lt;=2,"?ACTIVATED",IF(J1720&lt;&gt;"","?FAMILIAR",IF(F1720="NEW",IF(ISNA(VLOOKUP(E1720,#REF!,1,FALSE())),"?TYPE_IDENTIFIABLE","?REFERENTIAL"),"_")))))</f>
        <v/>
      </c>
      <c r="H1720" s="12" t="str">
        <f aca="false">IF(J1720&lt;&gt;1,"",IF(I1720="SBJ","CB","?"))</f>
        <v/>
      </c>
      <c r="I1720" s="13" t="str">
        <f aca="false">IF(OR(E1720="",E1720="!!!",F1720="NEW"),"",INDEX(B$2:B1719,-1+SUMPRODUCT(MAX(ROW(E$2:E1719)*(E1720=E$2:E1719)))))</f>
        <v/>
      </c>
      <c r="J1720" s="14" t="str">
        <f aca="true">IF(OR(E1720="",E1720="!!!",F1720="NEW"),"",COUNTBLANK(OFFSET(A$1,,,SUMPRODUCT(MAX(ROW(E$2:E1720)*(E1720=E$2:E1720)))))-COUNTBLANK(OFFSET(A$1,,,SUMPRODUCT(MAX(ROW(E$1:E1719)*(E1720=E$1:E1719))))))</f>
        <v/>
      </c>
      <c r="K1720" s="14" t="str">
        <f aca="false">IF(OR(E1720="",E1720="!!!",F1720="NEW"),"",INDEX(J$1:J1719,SUMPRODUCT(MAX(ROW(E$1:E1719)*(E1720=E$1:E1719)))))</f>
        <v/>
      </c>
      <c r="L1720" s="15"/>
    </row>
    <row r="1721" customFormat="false" ht="12.75" hidden="false" customHeight="false" outlineLevel="0" collapsed="false">
      <c r="A1721" s="0" t="s">
        <v>719</v>
      </c>
      <c r="E1721" s="9" t="str">
        <f aca="false">IF(D1721="?OLD","!!!","")</f>
        <v/>
      </c>
      <c r="F1721" s="10" t="str">
        <f aca="false">IF(OR(E1721="",E1721="!!!"),"",IF(NOT(ISNA(VLOOKUP(E1721,E$1:E1720,1,FALSE()))),"OLD",IF(AND(E1721&lt;&gt;"",E1721&lt;&gt;"!!!"),"NEW","")))</f>
        <v/>
      </c>
      <c r="G1721" s="11" t="str">
        <f aca="false">IF(OR(E1721="",E1721="!!!"),"",IF(OR(J1721=0,AND(J1721=1,K1721=1),AND(J1721=1,I1721="SBJ"),AND(J1721=1,I1721=0)),"?IN_FOCUS",IF(J1721&lt;=2,"?ACTIVATED",IF(J1721&lt;&gt;"","?FAMILIAR",IF(F1721="NEW",IF(ISNA(VLOOKUP(E1721,#REF!,1,FALSE())),"?TYPE_IDENTIFIABLE","?REFERENTIAL"),"_")))))</f>
        <v/>
      </c>
      <c r="H1721" s="12" t="str">
        <f aca="false">IF(J1721&lt;&gt;1,"",IF(I1721="SBJ","CB","?"))</f>
        <v/>
      </c>
      <c r="I1721" s="13" t="str">
        <f aca="false">IF(OR(E1721="",E1721="!!!",F1721="NEW"),"",INDEX(B$2:B1720,-1+SUMPRODUCT(MAX(ROW(E$2:E1720)*(E1721=E$2:E1720)))))</f>
        <v/>
      </c>
      <c r="J1721" s="14" t="str">
        <f aca="true">IF(OR(E1721="",E1721="!!!",F1721="NEW"),"",COUNTBLANK(OFFSET(A$1,,,SUMPRODUCT(MAX(ROW(E$2:E1721)*(E1721=E$2:E1721)))))-COUNTBLANK(OFFSET(A$1,,,SUMPRODUCT(MAX(ROW(E$1:E1720)*(E1721=E$1:E1720))))))</f>
        <v/>
      </c>
      <c r="K1721" s="14" t="str">
        <f aca="false">IF(OR(E1721="",E1721="!!!",F1721="NEW"),"",INDEX(J$1:J1720,SUMPRODUCT(MAX(ROW(E$1:E1720)*(E1721=E$1:E1720)))))</f>
        <v/>
      </c>
      <c r="L1721" s="15"/>
    </row>
    <row r="1722" customFormat="false" ht="12.75" hidden="false" customHeight="false" outlineLevel="0" collapsed="false">
      <c r="A1722" s="0" t="s">
        <v>579</v>
      </c>
      <c r="B1722" s="0" t="s">
        <v>64</v>
      </c>
      <c r="C1722" s="0" t="s">
        <v>55</v>
      </c>
      <c r="D1722" s="0" t="s">
        <v>29</v>
      </c>
      <c r="E1722" s="9" t="str">
        <f aca="false">IF(D1722="?OLD","!!!","")</f>
        <v>!!!</v>
      </c>
      <c r="F1722" s="10" t="str">
        <f aca="false">IF(OR(E1722="",E1722="!!!"),"",IF(NOT(ISNA(VLOOKUP(E1722,E$1:E1721,1,FALSE()))),"OLD",IF(AND(E1722&lt;&gt;"",E1722&lt;&gt;"!!!"),"NEW","")))</f>
        <v/>
      </c>
      <c r="G1722" s="11" t="str">
        <f aca="false">IF(OR(E1722="",E1722="!!!"),"",IF(OR(J1722=0,AND(J1722=1,K1722=1),AND(J1722=1,I1722="SBJ"),AND(J1722=1,I1722=0)),"?IN_FOCUS",IF(J1722&lt;=2,"?ACTIVATED",IF(J1722&lt;&gt;"","?FAMILIAR",IF(F1722="NEW",IF(ISNA(VLOOKUP(E1722,#REF!,1,FALSE())),"?TYPE_IDENTIFIABLE","?REFERENTIAL"),"_")))))</f>
        <v/>
      </c>
      <c r="H1722" s="12" t="str">
        <f aca="false">IF(J1722&lt;&gt;1,"",IF(I1722="SBJ","CB","?"))</f>
        <v/>
      </c>
      <c r="I1722" s="13" t="str">
        <f aca="false">IF(OR(E1722="",E1722="!!!",F1722="NEW"),"",INDEX(B$2:B1721,-1+SUMPRODUCT(MAX(ROW(E$2:E1721)*(E1722=E$2:E1721)))))</f>
        <v/>
      </c>
      <c r="J1722" s="14" t="str">
        <f aca="true">IF(OR(E1722="",E1722="!!!",F1722="NEW"),"",COUNTBLANK(OFFSET(A$1,,,SUMPRODUCT(MAX(ROW(E$2:E1722)*(E1722=E$2:E1722)))))-COUNTBLANK(OFFSET(A$1,,,SUMPRODUCT(MAX(ROW(E$1:E1721)*(E1722=E$1:E1721))))))</f>
        <v/>
      </c>
      <c r="K1722" s="14" t="str">
        <f aca="false">IF(OR(E1722="",E1722="!!!",F1722="NEW"),"",INDEX(J$1:J1721,SUMPRODUCT(MAX(ROW(E$1:E1721)*(E1722=E$1:E1721)))))</f>
        <v/>
      </c>
      <c r="L1722" s="15"/>
    </row>
    <row r="1723" customFormat="false" ht="12.75" hidden="false" customHeight="false" outlineLevel="0" collapsed="false">
      <c r="A1723" s="0" t="s">
        <v>683</v>
      </c>
      <c r="E1723" s="9" t="str">
        <f aca="false">IF(D1723="?OLD","!!!","")</f>
        <v/>
      </c>
      <c r="F1723" s="10" t="str">
        <f aca="false">IF(OR(E1723="",E1723="!!!"),"",IF(NOT(ISNA(VLOOKUP(E1723,E$1:E1722,1,FALSE()))),"OLD",IF(AND(E1723&lt;&gt;"",E1723&lt;&gt;"!!!"),"NEW","")))</f>
        <v/>
      </c>
      <c r="G1723" s="11" t="str">
        <f aca="false">IF(OR(E1723="",E1723="!!!"),"",IF(OR(J1723=0,AND(J1723=1,K1723=1),AND(J1723=1,I1723="SBJ"),AND(J1723=1,I1723=0)),"?IN_FOCUS",IF(J1723&lt;=2,"?ACTIVATED",IF(J1723&lt;&gt;"","?FAMILIAR",IF(F1723="NEW",IF(ISNA(VLOOKUP(E1723,#REF!,1,FALSE())),"?TYPE_IDENTIFIABLE","?REFERENTIAL"),"_")))))</f>
        <v/>
      </c>
      <c r="H1723" s="12" t="str">
        <f aca="false">IF(J1723&lt;&gt;1,"",IF(I1723="SBJ","CB","?"))</f>
        <v/>
      </c>
      <c r="I1723" s="13" t="str">
        <f aca="false">IF(OR(E1723="",E1723="!!!",F1723="NEW"),"",INDEX(B$2:B1722,-1+SUMPRODUCT(MAX(ROW(E$2:E1722)*(E1723=E$2:E1722)))))</f>
        <v/>
      </c>
      <c r="J1723" s="14" t="str">
        <f aca="true">IF(OR(E1723="",E1723="!!!",F1723="NEW"),"",COUNTBLANK(OFFSET(A$1,,,SUMPRODUCT(MAX(ROW(E$2:E1723)*(E1723=E$2:E1723)))))-COUNTBLANK(OFFSET(A$1,,,SUMPRODUCT(MAX(ROW(E$1:E1722)*(E1723=E$1:E1722))))))</f>
        <v/>
      </c>
      <c r="K1723" s="14" t="str">
        <f aca="false">IF(OR(E1723="",E1723="!!!",F1723="NEW"),"",INDEX(J$1:J1722,SUMPRODUCT(MAX(ROW(E$1:E1722)*(E1723=E$1:E1722)))))</f>
        <v/>
      </c>
      <c r="L1723" s="15"/>
    </row>
    <row r="1724" customFormat="false" ht="12.75" hidden="false" customHeight="false" outlineLevel="0" collapsed="false">
      <c r="A1724" s="0" t="s">
        <v>720</v>
      </c>
      <c r="B1724" s="0" t="s">
        <v>107</v>
      </c>
      <c r="C1724" s="0" t="s">
        <v>15</v>
      </c>
      <c r="D1724" s="0" t="s">
        <v>29</v>
      </c>
      <c r="E1724" s="9" t="str">
        <f aca="false">IF(D1724="?OLD","!!!","")</f>
        <v>!!!</v>
      </c>
      <c r="F1724" s="10" t="str">
        <f aca="false">IF(OR(E1724="",E1724="!!!"),"",IF(NOT(ISNA(VLOOKUP(E1724,E$1:E1723,1,FALSE()))),"OLD",IF(AND(E1724&lt;&gt;"",E1724&lt;&gt;"!!!"),"NEW","")))</f>
        <v/>
      </c>
      <c r="G1724" s="11" t="str">
        <f aca="false">IF(OR(E1724="",E1724="!!!"),"",IF(OR(J1724=0,AND(J1724=1,K1724=1),AND(J1724=1,I1724="SBJ"),AND(J1724=1,I1724=0)),"?IN_FOCUS",IF(J1724&lt;=2,"?ACTIVATED",IF(J1724&lt;&gt;"","?FAMILIAR",IF(F1724="NEW",IF(ISNA(VLOOKUP(E1724,#REF!,1,FALSE())),"?TYPE_IDENTIFIABLE","?REFERENTIAL"),"_")))))</f>
        <v/>
      </c>
      <c r="H1724" s="12" t="str">
        <f aca="false">IF(J1724&lt;&gt;1,"",IF(I1724="SBJ","CB","?"))</f>
        <v/>
      </c>
      <c r="I1724" s="13" t="str">
        <f aca="false">IF(OR(E1724="",E1724="!!!",F1724="NEW"),"",INDEX(B$2:B1723,-1+SUMPRODUCT(MAX(ROW(E$2:E1723)*(E1724=E$2:E1723)))))</f>
        <v/>
      </c>
      <c r="J1724" s="14" t="str">
        <f aca="true">IF(OR(E1724="",E1724="!!!",F1724="NEW"),"",COUNTBLANK(OFFSET(A$1,,,SUMPRODUCT(MAX(ROW(E$2:E1724)*(E1724=E$2:E1724)))))-COUNTBLANK(OFFSET(A$1,,,SUMPRODUCT(MAX(ROW(E$1:E1723)*(E1724=E$1:E1723))))))</f>
        <v/>
      </c>
      <c r="K1724" s="14" t="str">
        <f aca="false">IF(OR(E1724="",E1724="!!!",F1724="NEW"),"",INDEX(J$1:J1723,SUMPRODUCT(MAX(ROW(E$1:E1723)*(E1724=E$1:E1723)))))</f>
        <v/>
      </c>
      <c r="L1724" s="15"/>
    </row>
    <row r="1725" customFormat="false" ht="12.75" hidden="false" customHeight="false" outlineLevel="0" collapsed="false">
      <c r="A1725" s="0" t="s">
        <v>31</v>
      </c>
      <c r="E1725" s="9" t="str">
        <f aca="false">IF(D1725="?OLD","!!!","")</f>
        <v/>
      </c>
      <c r="F1725" s="10" t="str">
        <f aca="false">IF(OR(E1725="",E1725="!!!"),"",IF(NOT(ISNA(VLOOKUP(E1725,E$1:E1724,1,FALSE()))),"OLD",IF(AND(E1725&lt;&gt;"",E1725&lt;&gt;"!!!"),"NEW","")))</f>
        <v/>
      </c>
      <c r="G1725" s="11" t="str">
        <f aca="false">IF(OR(E1725="",E1725="!!!"),"",IF(OR(J1725=0,AND(J1725=1,K1725=1),AND(J1725=1,I1725="SBJ"),AND(J1725=1,I1725=0)),"?IN_FOCUS",IF(J1725&lt;=2,"?ACTIVATED",IF(J1725&lt;&gt;"","?FAMILIAR",IF(F1725="NEW",IF(ISNA(VLOOKUP(E1725,#REF!,1,FALSE())),"?TYPE_IDENTIFIABLE","?REFERENTIAL"),"_")))))</f>
        <v/>
      </c>
      <c r="H1725" s="12" t="str">
        <f aca="false">IF(J1725&lt;&gt;1,"",IF(I1725="SBJ","CB","?"))</f>
        <v/>
      </c>
      <c r="I1725" s="13" t="str">
        <f aca="false">IF(OR(E1725="",E1725="!!!",F1725="NEW"),"",INDEX(B$2:B1724,-1+SUMPRODUCT(MAX(ROW(E$2:E1724)*(E1725=E$2:E1724)))))</f>
        <v/>
      </c>
      <c r="J1725" s="14" t="str">
        <f aca="true">IF(OR(E1725="",E1725="!!!",F1725="NEW"),"",COUNTBLANK(OFFSET(A$1,,,SUMPRODUCT(MAX(ROW(E$2:E1725)*(E1725=E$2:E1725)))))-COUNTBLANK(OFFSET(A$1,,,SUMPRODUCT(MAX(ROW(E$1:E1724)*(E1725=E$1:E1724))))))</f>
        <v/>
      </c>
      <c r="K1725" s="14" t="str">
        <f aca="false">IF(OR(E1725="",E1725="!!!",F1725="NEW"),"",INDEX(J$1:J1724,SUMPRODUCT(MAX(ROW(E$1:E1724)*(E1725=E$1:E1724)))))</f>
        <v/>
      </c>
      <c r="L1725" s="15"/>
    </row>
    <row r="1726" customFormat="false" ht="12.75" hidden="false" customHeight="false" outlineLevel="0" collapsed="false">
      <c r="A1726" s="0" t="s">
        <v>721</v>
      </c>
      <c r="E1726" s="9" t="str">
        <f aca="false">IF(D1726="?OLD","!!!","")</f>
        <v/>
      </c>
      <c r="F1726" s="10" t="str">
        <f aca="false">IF(OR(E1726="",E1726="!!!"),"",IF(NOT(ISNA(VLOOKUP(E1726,E$1:E1725,1,FALSE()))),"OLD",IF(AND(E1726&lt;&gt;"",E1726&lt;&gt;"!!!"),"NEW","")))</f>
        <v/>
      </c>
      <c r="G1726" s="11" t="str">
        <f aca="false">IF(OR(E1726="",E1726="!!!"),"",IF(OR(J1726=0,AND(J1726=1,K1726=1),AND(J1726=1,I1726="SBJ"),AND(J1726=1,I1726=0)),"?IN_FOCUS",IF(J1726&lt;=2,"?ACTIVATED",IF(J1726&lt;&gt;"","?FAMILIAR",IF(F1726="NEW",IF(ISNA(VLOOKUP(E1726,#REF!,1,FALSE())),"?TYPE_IDENTIFIABLE","?REFERENTIAL"),"_")))))</f>
        <v/>
      </c>
      <c r="H1726" s="12" t="str">
        <f aca="false">IF(J1726&lt;&gt;1,"",IF(I1726="SBJ","CB","?"))</f>
        <v/>
      </c>
      <c r="I1726" s="13" t="str">
        <f aca="false">IF(OR(E1726="",E1726="!!!",F1726="NEW"),"",INDEX(B$2:B1725,-1+SUMPRODUCT(MAX(ROW(E$2:E1725)*(E1726=E$2:E1725)))))</f>
        <v/>
      </c>
      <c r="J1726" s="14" t="str">
        <f aca="true">IF(OR(E1726="",E1726="!!!",F1726="NEW"),"",COUNTBLANK(OFFSET(A$1,,,SUMPRODUCT(MAX(ROW(E$2:E1726)*(E1726=E$2:E1726)))))-COUNTBLANK(OFFSET(A$1,,,SUMPRODUCT(MAX(ROW(E$1:E1725)*(E1726=E$1:E1725))))))</f>
        <v/>
      </c>
      <c r="K1726" s="14" t="str">
        <f aca="false">IF(OR(E1726="",E1726="!!!",F1726="NEW"),"",INDEX(J$1:J1725,SUMPRODUCT(MAX(ROW(E$1:E1725)*(E1726=E$1:E1725)))))</f>
        <v/>
      </c>
      <c r="L1726" s="15"/>
    </row>
    <row r="1727" customFormat="false" ht="12.75" hidden="false" customHeight="false" outlineLevel="0" collapsed="false">
      <c r="A1727" s="0" t="s">
        <v>561</v>
      </c>
      <c r="E1727" s="9" t="str">
        <f aca="false">IF(D1727="?OLD","!!!","")</f>
        <v/>
      </c>
      <c r="F1727" s="10" t="str">
        <f aca="false">IF(OR(E1727="",E1727="!!!"),"",IF(NOT(ISNA(VLOOKUP(E1727,E$1:E1726,1,FALSE()))),"OLD",IF(AND(E1727&lt;&gt;"",E1727&lt;&gt;"!!!"),"NEW","")))</f>
        <v/>
      </c>
      <c r="G1727" s="11" t="str">
        <f aca="false">IF(OR(E1727="",E1727="!!!"),"",IF(OR(J1727=0,AND(J1727=1,K1727=1),AND(J1727=1,I1727="SBJ"),AND(J1727=1,I1727=0)),"?IN_FOCUS",IF(J1727&lt;=2,"?ACTIVATED",IF(J1727&lt;&gt;"","?FAMILIAR",IF(F1727="NEW",IF(ISNA(VLOOKUP(E1727,#REF!,1,FALSE())),"?TYPE_IDENTIFIABLE","?REFERENTIAL"),"_")))))</f>
        <v/>
      </c>
      <c r="H1727" s="12" t="str">
        <f aca="false">IF(J1727&lt;&gt;1,"",IF(I1727="SBJ","CB","?"))</f>
        <v/>
      </c>
      <c r="I1727" s="13" t="str">
        <f aca="false">IF(OR(E1727="",E1727="!!!",F1727="NEW"),"",INDEX(B$2:B1726,-1+SUMPRODUCT(MAX(ROW(E$2:E1726)*(E1727=E$2:E1726)))))</f>
        <v/>
      </c>
      <c r="J1727" s="14" t="str">
        <f aca="true">IF(OR(E1727="",E1727="!!!",F1727="NEW"),"",COUNTBLANK(OFFSET(A$1,,,SUMPRODUCT(MAX(ROW(E$2:E1727)*(E1727=E$2:E1727)))))-COUNTBLANK(OFFSET(A$1,,,SUMPRODUCT(MAX(ROW(E$1:E1726)*(E1727=E$1:E1726))))))</f>
        <v/>
      </c>
      <c r="K1727" s="14" t="str">
        <f aca="false">IF(OR(E1727="",E1727="!!!",F1727="NEW"),"",INDEX(J$1:J1726,SUMPRODUCT(MAX(ROW(E$1:E1726)*(E1727=E$1:E1726)))))</f>
        <v/>
      </c>
      <c r="L1727" s="15"/>
    </row>
    <row r="1728" customFormat="false" ht="12.75" hidden="false" customHeight="false" outlineLevel="0" collapsed="false">
      <c r="A1728" s="0" t="s">
        <v>88</v>
      </c>
      <c r="E1728" s="9" t="str">
        <f aca="false">IF(D1728="?OLD","!!!","")</f>
        <v/>
      </c>
      <c r="F1728" s="10" t="str">
        <f aca="false">IF(OR(E1728="",E1728="!!!"),"",IF(NOT(ISNA(VLOOKUP(E1728,E$1:E1727,1,FALSE()))),"OLD",IF(AND(E1728&lt;&gt;"",E1728&lt;&gt;"!!!"),"NEW","")))</f>
        <v/>
      </c>
      <c r="G1728" s="11" t="str">
        <f aca="false">IF(OR(E1728="",E1728="!!!"),"",IF(OR(J1728=0,AND(J1728=1,K1728=1),AND(J1728=1,I1728="SBJ"),AND(J1728=1,I1728=0)),"?IN_FOCUS",IF(J1728&lt;=2,"?ACTIVATED",IF(J1728&lt;&gt;"","?FAMILIAR",IF(F1728="NEW",IF(ISNA(VLOOKUP(E1728,#REF!,1,FALSE())),"?TYPE_IDENTIFIABLE","?REFERENTIAL"),"_")))))</f>
        <v/>
      </c>
      <c r="H1728" s="12" t="str">
        <f aca="false">IF(J1728&lt;&gt;1,"",IF(I1728="SBJ","CB","?"))</f>
        <v/>
      </c>
      <c r="I1728" s="13" t="str">
        <f aca="false">IF(OR(E1728="",E1728="!!!",F1728="NEW"),"",INDEX(B$2:B1727,-1+SUMPRODUCT(MAX(ROW(E$2:E1727)*(E1728=E$2:E1727)))))</f>
        <v/>
      </c>
      <c r="J1728" s="14" t="str">
        <f aca="true">IF(OR(E1728="",E1728="!!!",F1728="NEW"),"",COUNTBLANK(OFFSET(A$1,,,SUMPRODUCT(MAX(ROW(E$2:E1728)*(E1728=E$2:E1728)))))-COUNTBLANK(OFFSET(A$1,,,SUMPRODUCT(MAX(ROW(E$1:E1727)*(E1728=E$1:E1727))))))</f>
        <v/>
      </c>
      <c r="K1728" s="14" t="str">
        <f aca="false">IF(OR(E1728="",E1728="!!!",F1728="NEW"),"",INDEX(J$1:J1727,SUMPRODUCT(MAX(ROW(E$1:E1727)*(E1728=E$1:E1727)))))</f>
        <v/>
      </c>
      <c r="L1728" s="15"/>
    </row>
    <row r="1729" customFormat="false" ht="12.75" hidden="false" customHeight="false" outlineLevel="0" collapsed="false">
      <c r="A1729" s="0" t="s">
        <v>722</v>
      </c>
      <c r="E1729" s="9" t="str">
        <f aca="false">IF(D1729="?OLD","!!!","")</f>
        <v/>
      </c>
      <c r="F1729" s="10" t="str">
        <f aca="false">IF(OR(E1729="",E1729="!!!"),"",IF(NOT(ISNA(VLOOKUP(E1729,E$1:E1728,1,FALSE()))),"OLD",IF(AND(E1729&lt;&gt;"",E1729&lt;&gt;"!!!"),"NEW","")))</f>
        <v/>
      </c>
      <c r="G1729" s="11" t="str">
        <f aca="false">IF(OR(E1729="",E1729="!!!"),"",IF(OR(J1729=0,AND(J1729=1,K1729=1),AND(J1729=1,I1729="SBJ"),AND(J1729=1,I1729=0)),"?IN_FOCUS",IF(J1729&lt;=2,"?ACTIVATED",IF(J1729&lt;&gt;"","?FAMILIAR",IF(F1729="NEW",IF(ISNA(VLOOKUP(E1729,#REF!,1,FALSE())),"?TYPE_IDENTIFIABLE","?REFERENTIAL"),"_")))))</f>
        <v/>
      </c>
      <c r="H1729" s="12" t="str">
        <f aca="false">IF(J1729&lt;&gt;1,"",IF(I1729="SBJ","CB","?"))</f>
        <v/>
      </c>
      <c r="I1729" s="13" t="str">
        <f aca="false">IF(OR(E1729="",E1729="!!!",F1729="NEW"),"",INDEX(B$2:B1728,-1+SUMPRODUCT(MAX(ROW(E$2:E1728)*(E1729=E$2:E1728)))))</f>
        <v/>
      </c>
      <c r="J1729" s="14" t="str">
        <f aca="true">IF(OR(E1729="",E1729="!!!",F1729="NEW"),"",COUNTBLANK(OFFSET(A$1,,,SUMPRODUCT(MAX(ROW(E$2:E1729)*(E1729=E$2:E1729)))))-COUNTBLANK(OFFSET(A$1,,,SUMPRODUCT(MAX(ROW(E$1:E1728)*(E1729=E$1:E1728))))))</f>
        <v/>
      </c>
      <c r="K1729" s="14" t="str">
        <f aca="false">IF(OR(E1729="",E1729="!!!",F1729="NEW"),"",INDEX(J$1:J1728,SUMPRODUCT(MAX(ROW(E$1:E1728)*(E1729=E$1:E1728)))))</f>
        <v/>
      </c>
      <c r="L1729" s="15"/>
    </row>
    <row r="1730" customFormat="false" ht="12.75" hidden="false" customHeight="false" outlineLevel="0" collapsed="false">
      <c r="A1730" s="0" t="s">
        <v>183</v>
      </c>
      <c r="E1730" s="9" t="str">
        <f aca="false">IF(D1730="?OLD","!!!","")</f>
        <v/>
      </c>
      <c r="F1730" s="10" t="str">
        <f aca="false">IF(OR(E1730="",E1730="!!!"),"",IF(NOT(ISNA(VLOOKUP(E1730,E$1:E1729,1,FALSE()))),"OLD",IF(AND(E1730&lt;&gt;"",E1730&lt;&gt;"!!!"),"NEW","")))</f>
        <v/>
      </c>
      <c r="G1730" s="11" t="str">
        <f aca="false">IF(OR(E1730="",E1730="!!!"),"",IF(OR(J1730=0,AND(J1730=1,K1730=1),AND(J1730=1,I1730="SBJ"),AND(J1730=1,I1730=0)),"?IN_FOCUS",IF(J1730&lt;=2,"?ACTIVATED",IF(J1730&lt;&gt;"","?FAMILIAR",IF(F1730="NEW",IF(ISNA(VLOOKUP(E1730,#REF!,1,FALSE())),"?TYPE_IDENTIFIABLE","?REFERENTIAL"),"_")))))</f>
        <v/>
      </c>
      <c r="H1730" s="12" t="str">
        <f aca="false">IF(J1730&lt;&gt;1,"",IF(I1730="SBJ","CB","?"))</f>
        <v/>
      </c>
      <c r="I1730" s="13" t="str">
        <f aca="false">IF(OR(E1730="",E1730="!!!",F1730="NEW"),"",INDEX(B$2:B1729,-1+SUMPRODUCT(MAX(ROW(E$2:E1729)*(E1730=E$2:E1729)))))</f>
        <v/>
      </c>
      <c r="J1730" s="14" t="str">
        <f aca="true">IF(OR(E1730="",E1730="!!!",F1730="NEW"),"",COUNTBLANK(OFFSET(A$1,,,SUMPRODUCT(MAX(ROW(E$2:E1730)*(E1730=E$2:E1730)))))-COUNTBLANK(OFFSET(A$1,,,SUMPRODUCT(MAX(ROW(E$1:E1729)*(E1730=E$1:E1729))))))</f>
        <v/>
      </c>
      <c r="K1730" s="14" t="str">
        <f aca="false">IF(OR(E1730="",E1730="!!!",F1730="NEW"),"",INDEX(J$1:J1729,SUMPRODUCT(MAX(ROW(E$1:E1729)*(E1730=E$1:E1729)))))</f>
        <v/>
      </c>
      <c r="L1730" s="15"/>
    </row>
    <row r="1731" customFormat="false" ht="12.75" hidden="false" customHeight="false" outlineLevel="0" collapsed="false">
      <c r="A1731" s="0" t="s">
        <v>73</v>
      </c>
      <c r="E1731" s="9" t="str">
        <f aca="false">IF(D1731="?OLD","!!!","")</f>
        <v/>
      </c>
      <c r="F1731" s="10" t="str">
        <f aca="false">IF(OR(E1731="",E1731="!!!"),"",IF(NOT(ISNA(VLOOKUP(E1731,E$1:E1730,1,FALSE()))),"OLD",IF(AND(E1731&lt;&gt;"",E1731&lt;&gt;"!!!"),"NEW","")))</f>
        <v/>
      </c>
      <c r="G1731" s="11" t="str">
        <f aca="false">IF(OR(E1731="",E1731="!!!"),"",IF(OR(J1731=0,AND(J1731=1,K1731=1),AND(J1731=1,I1731="SBJ"),AND(J1731=1,I1731=0)),"?IN_FOCUS",IF(J1731&lt;=2,"?ACTIVATED",IF(J1731&lt;&gt;"","?FAMILIAR",IF(F1731="NEW",IF(ISNA(VLOOKUP(E1731,#REF!,1,FALSE())),"?TYPE_IDENTIFIABLE","?REFERENTIAL"),"_")))))</f>
        <v/>
      </c>
      <c r="H1731" s="12" t="str">
        <f aca="false">IF(J1731&lt;&gt;1,"",IF(I1731="SBJ","CB","?"))</f>
        <v/>
      </c>
      <c r="I1731" s="13" t="str">
        <f aca="false">IF(OR(E1731="",E1731="!!!",F1731="NEW"),"",INDEX(B$2:B1730,-1+SUMPRODUCT(MAX(ROW(E$2:E1730)*(E1731=E$2:E1730)))))</f>
        <v/>
      </c>
      <c r="J1731" s="14" t="str">
        <f aca="true">IF(OR(E1731="",E1731="!!!",F1731="NEW"),"",COUNTBLANK(OFFSET(A$1,,,SUMPRODUCT(MAX(ROW(E$2:E1731)*(E1731=E$2:E1731)))))-COUNTBLANK(OFFSET(A$1,,,SUMPRODUCT(MAX(ROW(E$1:E1730)*(E1731=E$1:E1730))))))</f>
        <v/>
      </c>
      <c r="K1731" s="14" t="str">
        <f aca="false">IF(OR(E1731="",E1731="!!!",F1731="NEW"),"",INDEX(J$1:J1730,SUMPRODUCT(MAX(ROW(E$1:E1730)*(E1731=E$1:E1730)))))</f>
        <v/>
      </c>
      <c r="L1731" s="15"/>
    </row>
    <row r="1732" customFormat="false" ht="12.75" hidden="false" customHeight="false" outlineLevel="0" collapsed="false">
      <c r="E1732" s="9" t="str">
        <f aca="false">IF(D1732="?OLD","!!!","")</f>
        <v/>
      </c>
      <c r="F1732" s="10" t="str">
        <f aca="false">IF(OR(E1732="",E1732="!!!"),"",IF(NOT(ISNA(VLOOKUP(E1732,E$1:E1731,1,FALSE()))),"OLD",IF(AND(E1732&lt;&gt;"",E1732&lt;&gt;"!!!"),"NEW","")))</f>
        <v/>
      </c>
      <c r="G1732" s="11" t="str">
        <f aca="false">IF(OR(E1732="",E1732="!!!"),"",IF(OR(J1732=0,AND(J1732=1,K1732=1),AND(J1732=1,I1732="SBJ"),AND(J1732=1,I1732=0)),"?IN_FOCUS",IF(J1732&lt;=2,"?ACTIVATED",IF(J1732&lt;&gt;"","?FAMILIAR",IF(F1732="NEW",IF(ISNA(VLOOKUP(E1732,#REF!,1,FALSE())),"?TYPE_IDENTIFIABLE","?REFERENTIAL"),"_")))))</f>
        <v/>
      </c>
      <c r="H1732" s="12" t="str">
        <f aca="false">IF(J1732&lt;&gt;1,"",IF(I1732="SBJ","CB","?"))</f>
        <v/>
      </c>
      <c r="I1732" s="13" t="str">
        <f aca="false">IF(OR(E1732="",E1732="!!!",F1732="NEW"),"",INDEX(B$2:B1731,-1+SUMPRODUCT(MAX(ROW(E$2:E1731)*(E1732=E$2:E1731)))))</f>
        <v/>
      </c>
      <c r="J1732" s="14" t="str">
        <f aca="true">IF(OR(E1732="",E1732="!!!",F1732="NEW"),"",COUNTBLANK(OFFSET(A$1,,,SUMPRODUCT(MAX(ROW(E$2:E1732)*(E1732=E$2:E1732)))))-COUNTBLANK(OFFSET(A$1,,,SUMPRODUCT(MAX(ROW(E$1:E1731)*(E1732=E$1:E1731))))))</f>
        <v/>
      </c>
      <c r="K1732" s="14" t="str">
        <f aca="false">IF(OR(E1732="",E1732="!!!",F1732="NEW"),"",INDEX(J$1:J1731,SUMPRODUCT(MAX(ROW(E$1:E1731)*(E1732=E$1:E1731)))))</f>
        <v/>
      </c>
      <c r="L1732" s="15"/>
    </row>
    <row r="1733" customFormat="false" ht="12.75" hidden="false" customHeight="false" outlineLevel="0" collapsed="false">
      <c r="A1733" s="0" t="s">
        <v>260</v>
      </c>
      <c r="E1733" s="9" t="str">
        <f aca="false">IF(D1733="?OLD","!!!","")</f>
        <v/>
      </c>
      <c r="F1733" s="10" t="str">
        <f aca="false">IF(OR(E1733="",E1733="!!!"),"",IF(NOT(ISNA(VLOOKUP(E1733,E$1:E1732,1,FALSE()))),"OLD",IF(AND(E1733&lt;&gt;"",E1733&lt;&gt;"!!!"),"NEW","")))</f>
        <v/>
      </c>
      <c r="G1733" s="11" t="str">
        <f aca="false">IF(OR(E1733="",E1733="!!!"),"",IF(OR(J1733=0,AND(J1733=1,K1733=1),AND(J1733=1,I1733="SBJ"),AND(J1733=1,I1733=0)),"?IN_FOCUS",IF(J1733&lt;=2,"?ACTIVATED",IF(J1733&lt;&gt;"","?FAMILIAR",IF(F1733="NEW",IF(ISNA(VLOOKUP(E1733,#REF!,1,FALSE())),"?TYPE_IDENTIFIABLE","?REFERENTIAL"),"_")))))</f>
        <v/>
      </c>
      <c r="H1733" s="12" t="str">
        <f aca="false">IF(J1733&lt;&gt;1,"",IF(I1733="SBJ","CB","?"))</f>
        <v/>
      </c>
      <c r="I1733" s="13" t="str">
        <f aca="false">IF(OR(E1733="",E1733="!!!",F1733="NEW"),"",INDEX(B$2:B1732,-1+SUMPRODUCT(MAX(ROW(E$2:E1732)*(E1733=E$2:E1732)))))</f>
        <v/>
      </c>
      <c r="J1733" s="14" t="str">
        <f aca="true">IF(OR(E1733="",E1733="!!!",F1733="NEW"),"",COUNTBLANK(OFFSET(A$1,,,SUMPRODUCT(MAX(ROW(E$2:E1733)*(E1733=E$2:E1733)))))-COUNTBLANK(OFFSET(A$1,,,SUMPRODUCT(MAX(ROW(E$1:E1732)*(E1733=E$1:E1732))))))</f>
        <v/>
      </c>
      <c r="K1733" s="14" t="str">
        <f aca="false">IF(OR(E1733="",E1733="!!!",F1733="NEW"),"",INDEX(J$1:J1732,SUMPRODUCT(MAX(ROW(E$1:E1732)*(E1733=E$1:E1732)))))</f>
        <v/>
      </c>
      <c r="L1733" s="15"/>
    </row>
    <row r="1734" customFormat="false" ht="12.75" hidden="false" customHeight="false" outlineLevel="0" collapsed="false">
      <c r="A1734" s="0" t="s">
        <v>723</v>
      </c>
      <c r="E1734" s="9" t="str">
        <f aca="false">IF(D1734="?OLD","!!!","")</f>
        <v/>
      </c>
      <c r="F1734" s="10" t="str">
        <f aca="false">IF(OR(E1734="",E1734="!!!"),"",IF(NOT(ISNA(VLOOKUP(E1734,E$1:E1733,1,FALSE()))),"OLD",IF(AND(E1734&lt;&gt;"",E1734&lt;&gt;"!!!"),"NEW","")))</f>
        <v/>
      </c>
      <c r="G1734" s="11" t="str">
        <f aca="false">IF(OR(E1734="",E1734="!!!"),"",IF(OR(J1734=0,AND(J1734=1,K1734=1),AND(J1734=1,I1734="SBJ"),AND(J1734=1,I1734=0)),"?IN_FOCUS",IF(J1734&lt;=2,"?ACTIVATED",IF(J1734&lt;&gt;"","?FAMILIAR",IF(F1734="NEW",IF(ISNA(VLOOKUP(E1734,#REF!,1,FALSE())),"?TYPE_IDENTIFIABLE","?REFERENTIAL"),"_")))))</f>
        <v/>
      </c>
      <c r="H1734" s="12" t="str">
        <f aca="false">IF(J1734&lt;&gt;1,"",IF(I1734="SBJ","CB","?"))</f>
        <v/>
      </c>
      <c r="I1734" s="13" t="str">
        <f aca="false">IF(OR(E1734="",E1734="!!!",F1734="NEW"),"",INDEX(B$2:B1733,-1+SUMPRODUCT(MAX(ROW(E$2:E1733)*(E1734=E$2:E1733)))))</f>
        <v/>
      </c>
      <c r="J1734" s="14" t="str">
        <f aca="true">IF(OR(E1734="",E1734="!!!",F1734="NEW"),"",COUNTBLANK(OFFSET(A$1,,,SUMPRODUCT(MAX(ROW(E$2:E1734)*(E1734=E$2:E1734)))))-COUNTBLANK(OFFSET(A$1,,,SUMPRODUCT(MAX(ROW(E$1:E1733)*(E1734=E$1:E1733))))))</f>
        <v/>
      </c>
      <c r="K1734" s="14" t="str">
        <f aca="false">IF(OR(E1734="",E1734="!!!",F1734="NEW"),"",INDEX(J$1:J1733,SUMPRODUCT(MAX(ROW(E$1:E1733)*(E1734=E$1:E1733)))))</f>
        <v/>
      </c>
      <c r="L1734" s="15"/>
    </row>
    <row r="1735" customFormat="false" ht="12.75" hidden="false" customHeight="false" outlineLevel="0" collapsed="false">
      <c r="A1735" s="0" t="s">
        <v>262</v>
      </c>
      <c r="E1735" s="9" t="str">
        <f aca="false">IF(D1735="?OLD","!!!","")</f>
        <v/>
      </c>
      <c r="F1735" s="10" t="str">
        <f aca="false">IF(OR(E1735="",E1735="!!!"),"",IF(NOT(ISNA(VLOOKUP(E1735,E$1:E1734,1,FALSE()))),"OLD",IF(AND(E1735&lt;&gt;"",E1735&lt;&gt;"!!!"),"NEW","")))</f>
        <v/>
      </c>
      <c r="G1735" s="11" t="str">
        <f aca="false">IF(OR(E1735="",E1735="!!!"),"",IF(OR(J1735=0,AND(J1735=1,K1735=1),AND(J1735=1,I1735="SBJ"),AND(J1735=1,I1735=0)),"?IN_FOCUS",IF(J1735&lt;=2,"?ACTIVATED",IF(J1735&lt;&gt;"","?FAMILIAR",IF(F1735="NEW",IF(ISNA(VLOOKUP(E1735,#REF!,1,FALSE())),"?TYPE_IDENTIFIABLE","?REFERENTIAL"),"_")))))</f>
        <v/>
      </c>
      <c r="H1735" s="12" t="str">
        <f aca="false">IF(J1735&lt;&gt;1,"",IF(I1735="SBJ","CB","?"))</f>
        <v/>
      </c>
      <c r="I1735" s="13" t="str">
        <f aca="false">IF(OR(E1735="",E1735="!!!",F1735="NEW"),"",INDEX(B$2:B1734,-1+SUMPRODUCT(MAX(ROW(E$2:E1734)*(E1735=E$2:E1734)))))</f>
        <v/>
      </c>
      <c r="J1735" s="14" t="str">
        <f aca="true">IF(OR(E1735="",E1735="!!!",F1735="NEW"),"",COUNTBLANK(OFFSET(A$1,,,SUMPRODUCT(MAX(ROW(E$2:E1735)*(E1735=E$2:E1735)))))-COUNTBLANK(OFFSET(A$1,,,SUMPRODUCT(MAX(ROW(E$1:E1734)*(E1735=E$1:E1734))))))</f>
        <v/>
      </c>
      <c r="K1735" s="14" t="str">
        <f aca="false">IF(OR(E1735="",E1735="!!!",F1735="NEW"),"",INDEX(J$1:J1734,SUMPRODUCT(MAX(ROW(E$1:E1734)*(E1735=E$1:E1734)))))</f>
        <v/>
      </c>
      <c r="L1735" s="15"/>
    </row>
    <row r="1736" customFormat="false" ht="12.75" hidden="false" customHeight="false" outlineLevel="0" collapsed="false">
      <c r="A1736" s="0" t="s">
        <v>238</v>
      </c>
      <c r="B1736" s="0" t="s">
        <v>42</v>
      </c>
      <c r="C1736" s="0" t="s">
        <v>38</v>
      </c>
      <c r="D1736" s="0" t="s">
        <v>29</v>
      </c>
      <c r="E1736" s="9" t="str">
        <f aca="false">IF(D1736="?OLD","!!!","")</f>
        <v>!!!</v>
      </c>
      <c r="F1736" s="10" t="str">
        <f aca="false">IF(OR(E1736="",E1736="!!!"),"",IF(NOT(ISNA(VLOOKUP(E1736,E$1:E1735,1,FALSE()))),"OLD",IF(AND(E1736&lt;&gt;"",E1736&lt;&gt;"!!!"),"NEW","")))</f>
        <v/>
      </c>
      <c r="G1736" s="11" t="str">
        <f aca="false">IF(OR(E1736="",E1736="!!!"),"",IF(OR(J1736=0,AND(J1736=1,K1736=1),AND(J1736=1,I1736="SBJ"),AND(J1736=1,I1736=0)),"?IN_FOCUS",IF(J1736&lt;=2,"?ACTIVATED",IF(J1736&lt;&gt;"","?FAMILIAR",IF(F1736="NEW",IF(ISNA(VLOOKUP(E1736,#REF!,1,FALSE())),"?TYPE_IDENTIFIABLE","?REFERENTIAL"),"_")))))</f>
        <v/>
      </c>
      <c r="H1736" s="12" t="str">
        <f aca="false">IF(J1736&lt;&gt;1,"",IF(I1736="SBJ","CB","?"))</f>
        <v/>
      </c>
      <c r="I1736" s="13" t="str">
        <f aca="false">IF(OR(E1736="",E1736="!!!",F1736="NEW"),"",INDEX(B$2:B1735,-1+SUMPRODUCT(MAX(ROW(E$2:E1735)*(E1736=E$2:E1735)))))</f>
        <v/>
      </c>
      <c r="J1736" s="14" t="str">
        <f aca="true">IF(OR(E1736="",E1736="!!!",F1736="NEW"),"",COUNTBLANK(OFFSET(A$1,,,SUMPRODUCT(MAX(ROW(E$2:E1736)*(E1736=E$2:E1736)))))-COUNTBLANK(OFFSET(A$1,,,SUMPRODUCT(MAX(ROW(E$1:E1735)*(E1736=E$1:E1735))))))</f>
        <v/>
      </c>
      <c r="K1736" s="14" t="str">
        <f aca="false">IF(OR(E1736="",E1736="!!!",F1736="NEW"),"",INDEX(J$1:J1735,SUMPRODUCT(MAX(ROW(E$1:E1735)*(E1736=E$1:E1735)))))</f>
        <v/>
      </c>
      <c r="L1736" s="15"/>
    </row>
    <row r="1737" customFormat="false" ht="12.75" hidden="false" customHeight="false" outlineLevel="0" collapsed="false">
      <c r="A1737" s="0" t="s">
        <v>294</v>
      </c>
      <c r="E1737" s="9" t="str">
        <f aca="false">IF(D1737="?OLD","!!!","")</f>
        <v/>
      </c>
      <c r="F1737" s="10" t="str">
        <f aca="false">IF(OR(E1737="",E1737="!!!"),"",IF(NOT(ISNA(VLOOKUP(E1737,E$1:E1736,1,FALSE()))),"OLD",IF(AND(E1737&lt;&gt;"",E1737&lt;&gt;"!!!"),"NEW","")))</f>
        <v/>
      </c>
      <c r="G1737" s="11" t="str">
        <f aca="false">IF(OR(E1737="",E1737="!!!"),"",IF(OR(J1737=0,AND(J1737=1,K1737=1),AND(J1737=1,I1737="SBJ"),AND(J1737=1,I1737=0)),"?IN_FOCUS",IF(J1737&lt;=2,"?ACTIVATED",IF(J1737&lt;&gt;"","?FAMILIAR",IF(F1737="NEW",IF(ISNA(VLOOKUP(E1737,#REF!,1,FALSE())),"?TYPE_IDENTIFIABLE","?REFERENTIAL"),"_")))))</f>
        <v/>
      </c>
      <c r="H1737" s="12" t="str">
        <f aca="false">IF(J1737&lt;&gt;1,"",IF(I1737="SBJ","CB","?"))</f>
        <v/>
      </c>
      <c r="I1737" s="13" t="str">
        <f aca="false">IF(OR(E1737="",E1737="!!!",F1737="NEW"),"",INDEX(B$2:B1736,-1+SUMPRODUCT(MAX(ROW(E$2:E1736)*(E1737=E$2:E1736)))))</f>
        <v/>
      </c>
      <c r="J1737" s="14" t="str">
        <f aca="true">IF(OR(E1737="",E1737="!!!",F1737="NEW"),"",COUNTBLANK(OFFSET(A$1,,,SUMPRODUCT(MAX(ROW(E$2:E1737)*(E1737=E$2:E1737)))))-COUNTBLANK(OFFSET(A$1,,,SUMPRODUCT(MAX(ROW(E$1:E1736)*(E1737=E$1:E1736))))))</f>
        <v/>
      </c>
      <c r="K1737" s="14" t="str">
        <f aca="false">IF(OR(E1737="",E1737="!!!",F1737="NEW"),"",INDEX(J$1:J1736,SUMPRODUCT(MAX(ROW(E$1:E1736)*(E1737=E$1:E1736)))))</f>
        <v/>
      </c>
      <c r="L1737" s="15"/>
    </row>
    <row r="1738" customFormat="false" ht="12.75" hidden="false" customHeight="false" outlineLevel="0" collapsed="false">
      <c r="A1738" s="0" t="s">
        <v>724</v>
      </c>
      <c r="E1738" s="9" t="str">
        <f aca="false">IF(D1738="?OLD","!!!","")</f>
        <v/>
      </c>
      <c r="F1738" s="10" t="str">
        <f aca="false">IF(OR(E1738="",E1738="!!!"),"",IF(NOT(ISNA(VLOOKUP(E1738,E$1:E1737,1,FALSE()))),"OLD",IF(AND(E1738&lt;&gt;"",E1738&lt;&gt;"!!!"),"NEW","")))</f>
        <v/>
      </c>
      <c r="G1738" s="11" t="str">
        <f aca="false">IF(OR(E1738="",E1738="!!!"),"",IF(OR(J1738=0,AND(J1738=1,K1738=1),AND(J1738=1,I1738="SBJ"),AND(J1738=1,I1738=0)),"?IN_FOCUS",IF(J1738&lt;=2,"?ACTIVATED",IF(J1738&lt;&gt;"","?FAMILIAR",IF(F1738="NEW",IF(ISNA(VLOOKUP(E1738,#REF!,1,FALSE())),"?TYPE_IDENTIFIABLE","?REFERENTIAL"),"_")))))</f>
        <v/>
      </c>
      <c r="H1738" s="12" t="str">
        <f aca="false">IF(J1738&lt;&gt;1,"",IF(I1738="SBJ","CB","?"))</f>
        <v/>
      </c>
      <c r="I1738" s="13" t="str">
        <f aca="false">IF(OR(E1738="",E1738="!!!",F1738="NEW"),"",INDEX(B$2:B1737,-1+SUMPRODUCT(MAX(ROW(E$2:E1737)*(E1738=E$2:E1737)))))</f>
        <v/>
      </c>
      <c r="J1738" s="14" t="str">
        <f aca="true">IF(OR(E1738="",E1738="!!!",F1738="NEW"),"",COUNTBLANK(OFFSET(A$1,,,SUMPRODUCT(MAX(ROW(E$2:E1738)*(E1738=E$2:E1738)))))-COUNTBLANK(OFFSET(A$1,,,SUMPRODUCT(MAX(ROW(E$1:E1737)*(E1738=E$1:E1737))))))</f>
        <v/>
      </c>
      <c r="K1738" s="14" t="str">
        <f aca="false">IF(OR(E1738="",E1738="!!!",F1738="NEW"),"",INDEX(J$1:J1737,SUMPRODUCT(MAX(ROW(E$1:E1737)*(E1738=E$1:E1737)))))</f>
        <v/>
      </c>
      <c r="L1738" s="15"/>
    </row>
    <row r="1739" customFormat="false" ht="12.75" hidden="false" customHeight="false" outlineLevel="0" collapsed="false">
      <c r="A1739" s="0" t="s">
        <v>725</v>
      </c>
      <c r="E1739" s="9" t="str">
        <f aca="false">IF(D1739="?OLD","!!!","")</f>
        <v/>
      </c>
      <c r="F1739" s="10" t="str">
        <f aca="false">IF(OR(E1739="",E1739="!!!"),"",IF(NOT(ISNA(VLOOKUP(E1739,E$1:E1738,1,FALSE()))),"OLD",IF(AND(E1739&lt;&gt;"",E1739&lt;&gt;"!!!"),"NEW","")))</f>
        <v/>
      </c>
      <c r="G1739" s="11" t="str">
        <f aca="false">IF(OR(E1739="",E1739="!!!"),"",IF(OR(J1739=0,AND(J1739=1,K1739=1),AND(J1739=1,I1739="SBJ"),AND(J1739=1,I1739=0)),"?IN_FOCUS",IF(J1739&lt;=2,"?ACTIVATED",IF(J1739&lt;&gt;"","?FAMILIAR",IF(F1739="NEW",IF(ISNA(VLOOKUP(E1739,#REF!,1,FALSE())),"?TYPE_IDENTIFIABLE","?REFERENTIAL"),"_")))))</f>
        <v/>
      </c>
      <c r="H1739" s="12" t="str">
        <f aca="false">IF(J1739&lt;&gt;1,"",IF(I1739="SBJ","CB","?"))</f>
        <v/>
      </c>
      <c r="I1739" s="13" t="str">
        <f aca="false">IF(OR(E1739="",E1739="!!!",F1739="NEW"),"",INDEX(B$2:B1738,-1+SUMPRODUCT(MAX(ROW(E$2:E1738)*(E1739=E$2:E1738)))))</f>
        <v/>
      </c>
      <c r="J1739" s="14" t="str">
        <f aca="true">IF(OR(E1739="",E1739="!!!",F1739="NEW"),"",COUNTBLANK(OFFSET(A$1,,,SUMPRODUCT(MAX(ROW(E$2:E1739)*(E1739=E$2:E1739)))))-COUNTBLANK(OFFSET(A$1,,,SUMPRODUCT(MAX(ROW(E$1:E1738)*(E1739=E$1:E1738))))))</f>
        <v/>
      </c>
      <c r="K1739" s="14" t="str">
        <f aca="false">IF(OR(E1739="",E1739="!!!",F1739="NEW"),"",INDEX(J$1:J1738,SUMPRODUCT(MAX(ROW(E$1:E1738)*(E1739=E$1:E1738)))))</f>
        <v/>
      </c>
      <c r="L1739" s="15"/>
    </row>
    <row r="1740" customFormat="false" ht="12.75" hidden="false" customHeight="false" outlineLevel="0" collapsed="false">
      <c r="A1740" s="0" t="s">
        <v>726</v>
      </c>
      <c r="E1740" s="9" t="str">
        <f aca="false">IF(D1740="?OLD","!!!","")</f>
        <v/>
      </c>
      <c r="F1740" s="10" t="str">
        <f aca="false">IF(OR(E1740="",E1740="!!!"),"",IF(NOT(ISNA(VLOOKUP(E1740,E$1:E1739,1,FALSE()))),"OLD",IF(AND(E1740&lt;&gt;"",E1740&lt;&gt;"!!!"),"NEW","")))</f>
        <v/>
      </c>
      <c r="G1740" s="11" t="str">
        <f aca="false">IF(OR(E1740="",E1740="!!!"),"",IF(OR(J1740=0,AND(J1740=1,K1740=1),AND(J1740=1,I1740="SBJ"),AND(J1740=1,I1740=0)),"?IN_FOCUS",IF(J1740&lt;=2,"?ACTIVATED",IF(J1740&lt;&gt;"","?FAMILIAR",IF(F1740="NEW",IF(ISNA(VLOOKUP(E1740,#REF!,1,FALSE())),"?TYPE_IDENTIFIABLE","?REFERENTIAL"),"_")))))</f>
        <v/>
      </c>
      <c r="H1740" s="12" t="str">
        <f aca="false">IF(J1740&lt;&gt;1,"",IF(I1740="SBJ","CB","?"))</f>
        <v/>
      </c>
      <c r="I1740" s="13" t="str">
        <f aca="false">IF(OR(E1740="",E1740="!!!",F1740="NEW"),"",INDEX(B$2:B1739,-1+SUMPRODUCT(MAX(ROW(E$2:E1739)*(E1740=E$2:E1739)))))</f>
        <v/>
      </c>
      <c r="J1740" s="14" t="str">
        <f aca="true">IF(OR(E1740="",E1740="!!!",F1740="NEW"),"",COUNTBLANK(OFFSET(A$1,,,SUMPRODUCT(MAX(ROW(E$2:E1740)*(E1740=E$2:E1740)))))-COUNTBLANK(OFFSET(A$1,,,SUMPRODUCT(MAX(ROW(E$1:E1739)*(E1740=E$1:E1739))))))</f>
        <v/>
      </c>
      <c r="K1740" s="14" t="str">
        <f aca="false">IF(OR(E1740="",E1740="!!!",F1740="NEW"),"",INDEX(J$1:J1739,SUMPRODUCT(MAX(ROW(E$1:E1739)*(E1740=E$1:E1739)))))</f>
        <v/>
      </c>
      <c r="L1740" s="15"/>
    </row>
    <row r="1741" customFormat="false" ht="12.75" hidden="false" customHeight="false" outlineLevel="0" collapsed="false">
      <c r="A1741" s="0" t="s">
        <v>31</v>
      </c>
      <c r="E1741" s="9" t="str">
        <f aca="false">IF(D1741="?OLD","!!!","")</f>
        <v/>
      </c>
      <c r="F1741" s="10" t="str">
        <f aca="false">IF(OR(E1741="",E1741="!!!"),"",IF(NOT(ISNA(VLOOKUP(E1741,E$1:E1740,1,FALSE()))),"OLD",IF(AND(E1741&lt;&gt;"",E1741&lt;&gt;"!!!"),"NEW","")))</f>
        <v/>
      </c>
      <c r="G1741" s="11" t="str">
        <f aca="false">IF(OR(E1741="",E1741="!!!"),"",IF(OR(J1741=0,AND(J1741=1,K1741=1),AND(J1741=1,I1741="SBJ"),AND(J1741=1,I1741=0)),"?IN_FOCUS",IF(J1741&lt;=2,"?ACTIVATED",IF(J1741&lt;&gt;"","?FAMILIAR",IF(F1741="NEW",IF(ISNA(VLOOKUP(E1741,#REF!,1,FALSE())),"?TYPE_IDENTIFIABLE","?REFERENTIAL"),"_")))))</f>
        <v/>
      </c>
      <c r="H1741" s="12" t="str">
        <f aca="false">IF(J1741&lt;&gt;1,"",IF(I1741="SBJ","CB","?"))</f>
        <v/>
      </c>
      <c r="I1741" s="13" t="str">
        <f aca="false">IF(OR(E1741="",E1741="!!!",F1741="NEW"),"",INDEX(B$2:B1740,-1+SUMPRODUCT(MAX(ROW(E$2:E1740)*(E1741=E$2:E1740)))))</f>
        <v/>
      </c>
      <c r="J1741" s="14" t="str">
        <f aca="true">IF(OR(E1741="",E1741="!!!",F1741="NEW"),"",COUNTBLANK(OFFSET(A$1,,,SUMPRODUCT(MAX(ROW(E$2:E1741)*(E1741=E$2:E1741)))))-COUNTBLANK(OFFSET(A$1,,,SUMPRODUCT(MAX(ROW(E$1:E1740)*(E1741=E$1:E1740))))))</f>
        <v/>
      </c>
      <c r="K1741" s="14" t="str">
        <f aca="false">IF(OR(E1741="",E1741="!!!",F1741="NEW"),"",INDEX(J$1:J1740,SUMPRODUCT(MAX(ROW(E$1:E1740)*(E1741=E$1:E1740)))))</f>
        <v/>
      </c>
      <c r="L1741" s="15"/>
    </row>
    <row r="1742" customFormat="false" ht="12.75" hidden="false" customHeight="false" outlineLevel="0" collapsed="false">
      <c r="A1742" s="0" t="s">
        <v>262</v>
      </c>
      <c r="E1742" s="9" t="str">
        <f aca="false">IF(D1742="?OLD","!!!","")</f>
        <v/>
      </c>
      <c r="F1742" s="10" t="str">
        <f aca="false">IF(OR(E1742="",E1742="!!!"),"",IF(NOT(ISNA(VLOOKUP(E1742,E$1:E1741,1,FALSE()))),"OLD",IF(AND(E1742&lt;&gt;"",E1742&lt;&gt;"!!!"),"NEW","")))</f>
        <v/>
      </c>
      <c r="G1742" s="11" t="str">
        <f aca="false">IF(OR(E1742="",E1742="!!!"),"",IF(OR(J1742=0,AND(J1742=1,K1742=1),AND(J1742=1,I1742="SBJ"),AND(J1742=1,I1742=0)),"?IN_FOCUS",IF(J1742&lt;=2,"?ACTIVATED",IF(J1742&lt;&gt;"","?FAMILIAR",IF(F1742="NEW",IF(ISNA(VLOOKUP(E1742,#REF!,1,FALSE())),"?TYPE_IDENTIFIABLE","?REFERENTIAL"),"_")))))</f>
        <v/>
      </c>
      <c r="H1742" s="12" t="str">
        <f aca="false">IF(J1742&lt;&gt;1,"",IF(I1742="SBJ","CB","?"))</f>
        <v/>
      </c>
      <c r="I1742" s="13" t="str">
        <f aca="false">IF(OR(E1742="",E1742="!!!",F1742="NEW"),"",INDEX(B$2:B1741,-1+SUMPRODUCT(MAX(ROW(E$2:E1741)*(E1742=E$2:E1741)))))</f>
        <v/>
      </c>
      <c r="J1742" s="14" t="str">
        <f aca="true">IF(OR(E1742="",E1742="!!!",F1742="NEW"),"",COUNTBLANK(OFFSET(A$1,,,SUMPRODUCT(MAX(ROW(E$2:E1742)*(E1742=E$2:E1742)))))-COUNTBLANK(OFFSET(A$1,,,SUMPRODUCT(MAX(ROW(E$1:E1741)*(E1742=E$1:E1741))))))</f>
        <v/>
      </c>
      <c r="K1742" s="14" t="str">
        <f aca="false">IF(OR(E1742="",E1742="!!!",F1742="NEW"),"",INDEX(J$1:J1741,SUMPRODUCT(MAX(ROW(E$1:E1741)*(E1742=E$1:E1741)))))</f>
        <v/>
      </c>
      <c r="L1742" s="15"/>
    </row>
    <row r="1743" customFormat="false" ht="12.75" hidden="false" customHeight="false" outlineLevel="0" collapsed="false">
      <c r="A1743" s="0" t="s">
        <v>154</v>
      </c>
      <c r="E1743" s="9" t="str">
        <f aca="false">IF(D1743="?OLD","!!!","")</f>
        <v/>
      </c>
      <c r="F1743" s="10" t="str">
        <f aca="false">IF(OR(E1743="",E1743="!!!"),"",IF(NOT(ISNA(VLOOKUP(E1743,E$1:E1742,1,FALSE()))),"OLD",IF(AND(E1743&lt;&gt;"",E1743&lt;&gt;"!!!"),"NEW","")))</f>
        <v/>
      </c>
      <c r="G1743" s="11" t="str">
        <f aca="false">IF(OR(E1743="",E1743="!!!"),"",IF(OR(J1743=0,AND(J1743=1,K1743=1),AND(J1743=1,I1743="SBJ"),AND(J1743=1,I1743=0)),"?IN_FOCUS",IF(J1743&lt;=2,"?ACTIVATED",IF(J1743&lt;&gt;"","?FAMILIAR",IF(F1743="NEW",IF(ISNA(VLOOKUP(E1743,#REF!,1,FALSE())),"?TYPE_IDENTIFIABLE","?REFERENTIAL"),"_")))))</f>
        <v/>
      </c>
      <c r="H1743" s="12" t="str">
        <f aca="false">IF(J1743&lt;&gt;1,"",IF(I1743="SBJ","CB","?"))</f>
        <v/>
      </c>
      <c r="I1743" s="13" t="str">
        <f aca="false">IF(OR(E1743="",E1743="!!!",F1743="NEW"),"",INDEX(B$2:B1742,-1+SUMPRODUCT(MAX(ROW(E$2:E1742)*(E1743=E$2:E1742)))))</f>
        <v/>
      </c>
      <c r="J1743" s="14" t="str">
        <f aca="true">IF(OR(E1743="",E1743="!!!",F1743="NEW"),"",COUNTBLANK(OFFSET(A$1,,,SUMPRODUCT(MAX(ROW(E$2:E1743)*(E1743=E$2:E1743)))))-COUNTBLANK(OFFSET(A$1,,,SUMPRODUCT(MAX(ROW(E$1:E1742)*(E1743=E$1:E1742))))))</f>
        <v/>
      </c>
      <c r="K1743" s="14" t="str">
        <f aca="false">IF(OR(E1743="",E1743="!!!",F1743="NEW"),"",INDEX(J$1:J1742,SUMPRODUCT(MAX(ROW(E$1:E1742)*(E1743=E$1:E1742)))))</f>
        <v/>
      </c>
      <c r="L1743" s="15"/>
    </row>
    <row r="1744" customFormat="false" ht="12.75" hidden="false" customHeight="false" outlineLevel="0" collapsed="false">
      <c r="A1744" s="0" t="s">
        <v>21</v>
      </c>
      <c r="B1744" s="0" t="s">
        <v>14</v>
      </c>
      <c r="C1744" s="0" t="s">
        <v>23</v>
      </c>
      <c r="D1744" s="0" t="s">
        <v>29</v>
      </c>
      <c r="E1744" s="9" t="str">
        <f aca="false">IF(D1744="?OLD","!!!","")</f>
        <v>!!!</v>
      </c>
      <c r="F1744" s="10" t="str">
        <f aca="false">IF(OR(E1744="",E1744="!!!"),"",IF(NOT(ISNA(VLOOKUP(E1744,E$1:E1743,1,FALSE()))),"OLD",IF(AND(E1744&lt;&gt;"",E1744&lt;&gt;"!!!"),"NEW","")))</f>
        <v/>
      </c>
      <c r="G1744" s="11" t="str">
        <f aca="false">IF(OR(E1744="",E1744="!!!"),"",IF(OR(J1744=0,AND(J1744=1,K1744=1),AND(J1744=1,I1744="SBJ"),AND(J1744=1,I1744=0)),"?IN_FOCUS",IF(J1744&lt;=2,"?ACTIVATED",IF(J1744&lt;&gt;"","?FAMILIAR",IF(F1744="NEW",IF(ISNA(VLOOKUP(E1744,#REF!,1,FALSE())),"?TYPE_IDENTIFIABLE","?REFERENTIAL"),"_")))))</f>
        <v/>
      </c>
      <c r="H1744" s="12" t="str">
        <f aca="false">IF(J1744&lt;&gt;1,"",IF(I1744="SBJ","CB","?"))</f>
        <v/>
      </c>
      <c r="I1744" s="13" t="str">
        <f aca="false">IF(OR(E1744="",E1744="!!!",F1744="NEW"),"",INDEX(B$2:B1743,-1+SUMPRODUCT(MAX(ROW(E$2:E1743)*(E1744=E$2:E1743)))))</f>
        <v/>
      </c>
      <c r="J1744" s="14" t="str">
        <f aca="true">IF(OR(E1744="",E1744="!!!",F1744="NEW"),"",COUNTBLANK(OFFSET(A$1,,,SUMPRODUCT(MAX(ROW(E$2:E1744)*(E1744=E$2:E1744)))))-COUNTBLANK(OFFSET(A$1,,,SUMPRODUCT(MAX(ROW(E$1:E1743)*(E1744=E$1:E1743))))))</f>
        <v/>
      </c>
      <c r="K1744" s="14" t="str">
        <f aca="false">IF(OR(E1744="",E1744="!!!",F1744="NEW"),"",INDEX(J$1:J1743,SUMPRODUCT(MAX(ROW(E$1:E1743)*(E1744=E$1:E1743)))))</f>
        <v/>
      </c>
      <c r="L1744" s="15"/>
    </row>
    <row r="1745" customFormat="false" ht="12.75" hidden="false" customHeight="false" outlineLevel="0" collapsed="false">
      <c r="A1745" s="0" t="s">
        <v>73</v>
      </c>
      <c r="E1745" s="9" t="str">
        <f aca="false">IF(D1745="?OLD","!!!","")</f>
        <v/>
      </c>
      <c r="F1745" s="10" t="str">
        <f aca="false">IF(OR(E1745="",E1745="!!!"),"",IF(NOT(ISNA(VLOOKUP(E1745,E$1:E1744,1,FALSE()))),"OLD",IF(AND(E1745&lt;&gt;"",E1745&lt;&gt;"!!!"),"NEW","")))</f>
        <v/>
      </c>
      <c r="G1745" s="11" t="str">
        <f aca="false">IF(OR(E1745="",E1745="!!!"),"",IF(OR(J1745=0,AND(J1745=1,K1745=1),AND(J1745=1,I1745="SBJ"),AND(J1745=1,I1745=0)),"?IN_FOCUS",IF(J1745&lt;=2,"?ACTIVATED",IF(J1745&lt;&gt;"","?FAMILIAR",IF(F1745="NEW",IF(ISNA(VLOOKUP(E1745,#REF!,1,FALSE())),"?TYPE_IDENTIFIABLE","?REFERENTIAL"),"_")))))</f>
        <v/>
      </c>
      <c r="H1745" s="12" t="str">
        <f aca="false">IF(J1745&lt;&gt;1,"",IF(I1745="SBJ","CB","?"))</f>
        <v/>
      </c>
      <c r="I1745" s="13" t="str">
        <f aca="false">IF(OR(E1745="",E1745="!!!",F1745="NEW"),"",INDEX(B$2:B1744,-1+SUMPRODUCT(MAX(ROW(E$2:E1744)*(E1745=E$2:E1744)))))</f>
        <v/>
      </c>
      <c r="J1745" s="14" t="str">
        <f aca="true">IF(OR(E1745="",E1745="!!!",F1745="NEW"),"",COUNTBLANK(OFFSET(A$1,,,SUMPRODUCT(MAX(ROW(E$2:E1745)*(E1745=E$2:E1745)))))-COUNTBLANK(OFFSET(A$1,,,SUMPRODUCT(MAX(ROW(E$1:E1744)*(E1745=E$1:E1744))))))</f>
        <v/>
      </c>
      <c r="K1745" s="14" t="str">
        <f aca="false">IF(OR(E1745="",E1745="!!!",F1745="NEW"),"",INDEX(J$1:J1744,SUMPRODUCT(MAX(ROW(E$1:E1744)*(E1745=E$1:E1744)))))</f>
        <v/>
      </c>
      <c r="L1745" s="15"/>
    </row>
    <row r="1746" customFormat="false" ht="12.75" hidden="false" customHeight="false" outlineLevel="0" collapsed="false">
      <c r="E1746" s="9" t="str">
        <f aca="false">IF(D1746="?OLD","!!!","")</f>
        <v/>
      </c>
      <c r="F1746" s="10" t="str">
        <f aca="false">IF(OR(E1746="",E1746="!!!"),"",IF(NOT(ISNA(VLOOKUP(E1746,E$1:E1745,1,FALSE()))),"OLD",IF(AND(E1746&lt;&gt;"",E1746&lt;&gt;"!!!"),"NEW","")))</f>
        <v/>
      </c>
      <c r="G1746" s="11" t="str">
        <f aca="false">IF(OR(E1746="",E1746="!!!"),"",IF(OR(J1746=0,AND(J1746=1,K1746=1),AND(J1746=1,I1746="SBJ"),AND(J1746=1,I1746=0)),"?IN_FOCUS",IF(J1746&lt;=2,"?ACTIVATED",IF(J1746&lt;&gt;"","?FAMILIAR",IF(F1746="NEW",IF(ISNA(VLOOKUP(E1746,#REF!,1,FALSE())),"?TYPE_IDENTIFIABLE","?REFERENTIAL"),"_")))))</f>
        <v/>
      </c>
      <c r="H1746" s="12" t="str">
        <f aca="false">IF(J1746&lt;&gt;1,"",IF(I1746="SBJ","CB","?"))</f>
        <v/>
      </c>
      <c r="I1746" s="13" t="str">
        <f aca="false">IF(OR(E1746="",E1746="!!!",F1746="NEW"),"",INDEX(B$2:B1745,-1+SUMPRODUCT(MAX(ROW(E$2:E1745)*(E1746=E$2:E1745)))))</f>
        <v/>
      </c>
      <c r="J1746" s="14" t="str">
        <f aca="true">IF(OR(E1746="",E1746="!!!",F1746="NEW"),"",COUNTBLANK(OFFSET(A$1,,,SUMPRODUCT(MAX(ROW(E$2:E1746)*(E1746=E$2:E1746)))))-COUNTBLANK(OFFSET(A$1,,,SUMPRODUCT(MAX(ROW(E$1:E1745)*(E1746=E$1:E1745))))))</f>
        <v/>
      </c>
      <c r="K1746" s="14" t="str">
        <f aca="false">IF(OR(E1746="",E1746="!!!",F1746="NEW"),"",INDEX(J$1:J1745,SUMPRODUCT(MAX(ROW(E$1:E1745)*(E1746=E$1:E1745)))))</f>
        <v/>
      </c>
      <c r="L1746" s="15"/>
    </row>
    <row r="1747" customFormat="false" ht="12.75" hidden="false" customHeight="false" outlineLevel="0" collapsed="false">
      <c r="A1747" s="0" t="s">
        <v>260</v>
      </c>
      <c r="E1747" s="9" t="str">
        <f aca="false">IF(D1747="?OLD","!!!","")</f>
        <v/>
      </c>
      <c r="F1747" s="10" t="str">
        <f aca="false">IF(OR(E1747="",E1747="!!!"),"",IF(NOT(ISNA(VLOOKUP(E1747,E$1:E1746,1,FALSE()))),"OLD",IF(AND(E1747&lt;&gt;"",E1747&lt;&gt;"!!!"),"NEW","")))</f>
        <v/>
      </c>
      <c r="G1747" s="11" t="str">
        <f aca="false">IF(OR(E1747="",E1747="!!!"),"",IF(OR(J1747=0,AND(J1747=1,K1747=1),AND(J1747=1,I1747="SBJ"),AND(J1747=1,I1747=0)),"?IN_FOCUS",IF(J1747&lt;=2,"?ACTIVATED",IF(J1747&lt;&gt;"","?FAMILIAR",IF(F1747="NEW",IF(ISNA(VLOOKUP(E1747,#REF!,1,FALSE())),"?TYPE_IDENTIFIABLE","?REFERENTIAL"),"_")))))</f>
        <v/>
      </c>
      <c r="H1747" s="12" t="str">
        <f aca="false">IF(J1747&lt;&gt;1,"",IF(I1747="SBJ","CB","?"))</f>
        <v/>
      </c>
      <c r="I1747" s="13" t="str">
        <f aca="false">IF(OR(E1747="",E1747="!!!",F1747="NEW"),"",INDEX(B$2:B1746,-1+SUMPRODUCT(MAX(ROW(E$2:E1746)*(E1747=E$2:E1746)))))</f>
        <v/>
      </c>
      <c r="J1747" s="14" t="str">
        <f aca="true">IF(OR(E1747="",E1747="!!!",F1747="NEW"),"",COUNTBLANK(OFFSET(A$1,,,SUMPRODUCT(MAX(ROW(E$2:E1747)*(E1747=E$2:E1747)))))-COUNTBLANK(OFFSET(A$1,,,SUMPRODUCT(MAX(ROW(E$1:E1746)*(E1747=E$1:E1746))))))</f>
        <v/>
      </c>
      <c r="K1747" s="14" t="str">
        <f aca="false">IF(OR(E1747="",E1747="!!!",F1747="NEW"),"",INDEX(J$1:J1746,SUMPRODUCT(MAX(ROW(E$1:E1746)*(E1747=E$1:E1746)))))</f>
        <v/>
      </c>
      <c r="L1747" s="15"/>
    </row>
    <row r="1748" customFormat="false" ht="12.75" hidden="false" customHeight="false" outlineLevel="0" collapsed="false">
      <c r="A1748" s="0" t="s">
        <v>727</v>
      </c>
      <c r="E1748" s="9" t="str">
        <f aca="false">IF(D1748="?OLD","!!!","")</f>
        <v/>
      </c>
      <c r="F1748" s="10" t="str">
        <f aca="false">IF(OR(E1748="",E1748="!!!"),"",IF(NOT(ISNA(VLOOKUP(E1748,E$1:E1747,1,FALSE()))),"OLD",IF(AND(E1748&lt;&gt;"",E1748&lt;&gt;"!!!"),"NEW","")))</f>
        <v/>
      </c>
      <c r="G1748" s="11" t="str">
        <f aca="false">IF(OR(E1748="",E1748="!!!"),"",IF(OR(J1748=0,AND(J1748=1,K1748=1),AND(J1748=1,I1748="SBJ"),AND(J1748=1,I1748=0)),"?IN_FOCUS",IF(J1748&lt;=2,"?ACTIVATED",IF(J1748&lt;&gt;"","?FAMILIAR",IF(F1748="NEW",IF(ISNA(VLOOKUP(E1748,#REF!,1,FALSE())),"?TYPE_IDENTIFIABLE","?REFERENTIAL"),"_")))))</f>
        <v/>
      </c>
      <c r="H1748" s="12" t="str">
        <f aca="false">IF(J1748&lt;&gt;1,"",IF(I1748="SBJ","CB","?"))</f>
        <v/>
      </c>
      <c r="I1748" s="13" t="str">
        <f aca="false">IF(OR(E1748="",E1748="!!!",F1748="NEW"),"",INDEX(B$2:B1747,-1+SUMPRODUCT(MAX(ROW(E$2:E1747)*(E1748=E$2:E1747)))))</f>
        <v/>
      </c>
      <c r="J1748" s="14" t="str">
        <f aca="true">IF(OR(E1748="",E1748="!!!",F1748="NEW"),"",COUNTBLANK(OFFSET(A$1,,,SUMPRODUCT(MAX(ROW(E$2:E1748)*(E1748=E$2:E1748)))))-COUNTBLANK(OFFSET(A$1,,,SUMPRODUCT(MAX(ROW(E$1:E1747)*(E1748=E$1:E1747))))))</f>
        <v/>
      </c>
      <c r="K1748" s="14" t="str">
        <f aca="false">IF(OR(E1748="",E1748="!!!",F1748="NEW"),"",INDEX(J$1:J1747,SUMPRODUCT(MAX(ROW(E$1:E1747)*(E1748=E$1:E1747)))))</f>
        <v/>
      </c>
      <c r="L1748" s="15"/>
    </row>
    <row r="1749" customFormat="false" ht="12.75" hidden="false" customHeight="false" outlineLevel="0" collapsed="false">
      <c r="A1749" s="0" t="s">
        <v>262</v>
      </c>
      <c r="E1749" s="9" t="str">
        <f aca="false">IF(D1749="?OLD","!!!","")</f>
        <v/>
      </c>
      <c r="F1749" s="10" t="str">
        <f aca="false">IF(OR(E1749="",E1749="!!!"),"",IF(NOT(ISNA(VLOOKUP(E1749,E$1:E1748,1,FALSE()))),"OLD",IF(AND(E1749&lt;&gt;"",E1749&lt;&gt;"!!!"),"NEW","")))</f>
        <v/>
      </c>
      <c r="G1749" s="11" t="str">
        <f aca="false">IF(OR(E1749="",E1749="!!!"),"",IF(OR(J1749=0,AND(J1749=1,K1749=1),AND(J1749=1,I1749="SBJ"),AND(J1749=1,I1749=0)),"?IN_FOCUS",IF(J1749&lt;=2,"?ACTIVATED",IF(J1749&lt;&gt;"","?FAMILIAR",IF(F1749="NEW",IF(ISNA(VLOOKUP(E1749,#REF!,1,FALSE())),"?TYPE_IDENTIFIABLE","?REFERENTIAL"),"_")))))</f>
        <v/>
      </c>
      <c r="H1749" s="12" t="str">
        <f aca="false">IF(J1749&lt;&gt;1,"",IF(I1749="SBJ","CB","?"))</f>
        <v/>
      </c>
      <c r="I1749" s="13" t="str">
        <f aca="false">IF(OR(E1749="",E1749="!!!",F1749="NEW"),"",INDEX(B$2:B1748,-1+SUMPRODUCT(MAX(ROW(E$2:E1748)*(E1749=E$2:E1748)))))</f>
        <v/>
      </c>
      <c r="J1749" s="14" t="str">
        <f aca="true">IF(OR(E1749="",E1749="!!!",F1749="NEW"),"",COUNTBLANK(OFFSET(A$1,,,SUMPRODUCT(MAX(ROW(E$2:E1749)*(E1749=E$2:E1749)))))-COUNTBLANK(OFFSET(A$1,,,SUMPRODUCT(MAX(ROW(E$1:E1748)*(E1749=E$1:E1748))))))</f>
        <v/>
      </c>
      <c r="K1749" s="14" t="str">
        <f aca="false">IF(OR(E1749="",E1749="!!!",F1749="NEW"),"",INDEX(J$1:J1748,SUMPRODUCT(MAX(ROW(E$1:E1748)*(E1749=E$1:E1748)))))</f>
        <v/>
      </c>
      <c r="L1749" s="15"/>
    </row>
    <row r="1750" customFormat="false" ht="12.75" hidden="false" customHeight="false" outlineLevel="0" collapsed="false">
      <c r="A1750" s="0" t="s">
        <v>238</v>
      </c>
      <c r="B1750" s="0" t="s">
        <v>14</v>
      </c>
      <c r="C1750" s="0" t="s">
        <v>38</v>
      </c>
      <c r="D1750" s="0" t="s">
        <v>29</v>
      </c>
      <c r="E1750" s="9" t="str">
        <f aca="false">IF(D1750="?OLD","!!!","")</f>
        <v>!!!</v>
      </c>
      <c r="F1750" s="10" t="str">
        <f aca="false">IF(OR(E1750="",E1750="!!!"),"",IF(NOT(ISNA(VLOOKUP(E1750,E$1:E1749,1,FALSE()))),"OLD",IF(AND(E1750&lt;&gt;"",E1750&lt;&gt;"!!!"),"NEW","")))</f>
        <v/>
      </c>
      <c r="G1750" s="11" t="str">
        <f aca="false">IF(OR(E1750="",E1750="!!!"),"",IF(OR(J1750=0,AND(J1750=1,K1750=1),AND(J1750=1,I1750="SBJ"),AND(J1750=1,I1750=0)),"?IN_FOCUS",IF(J1750&lt;=2,"?ACTIVATED",IF(J1750&lt;&gt;"","?FAMILIAR",IF(F1750="NEW",IF(ISNA(VLOOKUP(E1750,#REF!,1,FALSE())),"?TYPE_IDENTIFIABLE","?REFERENTIAL"),"_")))))</f>
        <v/>
      </c>
      <c r="H1750" s="12" t="str">
        <f aca="false">IF(J1750&lt;&gt;1,"",IF(I1750="SBJ","CB","?"))</f>
        <v/>
      </c>
      <c r="I1750" s="13" t="str">
        <f aca="false">IF(OR(E1750="",E1750="!!!",F1750="NEW"),"",INDEX(B$2:B1749,-1+SUMPRODUCT(MAX(ROW(E$2:E1749)*(E1750=E$2:E1749)))))</f>
        <v/>
      </c>
      <c r="J1750" s="14" t="str">
        <f aca="true">IF(OR(E1750="",E1750="!!!",F1750="NEW"),"",COUNTBLANK(OFFSET(A$1,,,SUMPRODUCT(MAX(ROW(E$2:E1750)*(E1750=E$2:E1750)))))-COUNTBLANK(OFFSET(A$1,,,SUMPRODUCT(MAX(ROW(E$1:E1749)*(E1750=E$1:E1749))))))</f>
        <v/>
      </c>
      <c r="K1750" s="14" t="str">
        <f aca="false">IF(OR(E1750="",E1750="!!!",F1750="NEW"),"",INDEX(J$1:J1749,SUMPRODUCT(MAX(ROW(E$1:E1749)*(E1750=E$1:E1749)))))</f>
        <v/>
      </c>
      <c r="L1750" s="15"/>
    </row>
    <row r="1751" customFormat="false" ht="12.75" hidden="false" customHeight="false" outlineLevel="0" collapsed="false">
      <c r="A1751" s="0" t="s">
        <v>728</v>
      </c>
      <c r="E1751" s="9" t="str">
        <f aca="false">IF(D1751="?OLD","!!!","")</f>
        <v/>
      </c>
      <c r="F1751" s="10" t="str">
        <f aca="false">IF(OR(E1751="",E1751="!!!"),"",IF(NOT(ISNA(VLOOKUP(E1751,E$1:E1750,1,FALSE()))),"OLD",IF(AND(E1751&lt;&gt;"",E1751&lt;&gt;"!!!"),"NEW","")))</f>
        <v/>
      </c>
      <c r="G1751" s="11" t="str">
        <f aca="false">IF(OR(E1751="",E1751="!!!"),"",IF(OR(J1751=0,AND(J1751=1,K1751=1),AND(J1751=1,I1751="SBJ"),AND(J1751=1,I1751=0)),"?IN_FOCUS",IF(J1751&lt;=2,"?ACTIVATED",IF(J1751&lt;&gt;"","?FAMILIAR",IF(F1751="NEW",IF(ISNA(VLOOKUP(E1751,#REF!,1,FALSE())),"?TYPE_IDENTIFIABLE","?REFERENTIAL"),"_")))))</f>
        <v/>
      </c>
      <c r="H1751" s="12" t="str">
        <f aca="false">IF(J1751&lt;&gt;1,"",IF(I1751="SBJ","CB","?"))</f>
        <v/>
      </c>
      <c r="I1751" s="13" t="str">
        <f aca="false">IF(OR(E1751="",E1751="!!!",F1751="NEW"),"",INDEX(B$2:B1750,-1+SUMPRODUCT(MAX(ROW(E$2:E1750)*(E1751=E$2:E1750)))))</f>
        <v/>
      </c>
      <c r="J1751" s="14" t="str">
        <f aca="true">IF(OR(E1751="",E1751="!!!",F1751="NEW"),"",COUNTBLANK(OFFSET(A$1,,,SUMPRODUCT(MAX(ROW(E$2:E1751)*(E1751=E$2:E1751)))))-COUNTBLANK(OFFSET(A$1,,,SUMPRODUCT(MAX(ROW(E$1:E1750)*(E1751=E$1:E1750))))))</f>
        <v/>
      </c>
      <c r="K1751" s="14" t="str">
        <f aca="false">IF(OR(E1751="",E1751="!!!",F1751="NEW"),"",INDEX(J$1:J1750,SUMPRODUCT(MAX(ROW(E$1:E1750)*(E1751=E$1:E1750)))))</f>
        <v/>
      </c>
      <c r="L1751" s="15"/>
    </row>
    <row r="1752" customFormat="false" ht="12.75" hidden="false" customHeight="false" outlineLevel="0" collapsed="false">
      <c r="A1752" s="0" t="s">
        <v>240</v>
      </c>
      <c r="E1752" s="9" t="str">
        <f aca="false">IF(D1752="?OLD","!!!","")</f>
        <v/>
      </c>
      <c r="F1752" s="10" t="str">
        <f aca="false">IF(OR(E1752="",E1752="!!!"),"",IF(NOT(ISNA(VLOOKUP(E1752,E$1:E1751,1,FALSE()))),"OLD",IF(AND(E1752&lt;&gt;"",E1752&lt;&gt;"!!!"),"NEW","")))</f>
        <v/>
      </c>
      <c r="G1752" s="11" t="str">
        <f aca="false">IF(OR(E1752="",E1752="!!!"),"",IF(OR(J1752=0,AND(J1752=1,K1752=1),AND(J1752=1,I1752="SBJ"),AND(J1752=1,I1752=0)),"?IN_FOCUS",IF(J1752&lt;=2,"?ACTIVATED",IF(J1752&lt;&gt;"","?FAMILIAR",IF(F1752="NEW",IF(ISNA(VLOOKUP(E1752,#REF!,1,FALSE())),"?TYPE_IDENTIFIABLE","?REFERENTIAL"),"_")))))</f>
        <v/>
      </c>
      <c r="H1752" s="12" t="str">
        <f aca="false">IF(J1752&lt;&gt;1,"",IF(I1752="SBJ","CB","?"))</f>
        <v/>
      </c>
      <c r="I1752" s="13" t="str">
        <f aca="false">IF(OR(E1752="",E1752="!!!",F1752="NEW"),"",INDEX(B$2:B1751,-1+SUMPRODUCT(MAX(ROW(E$2:E1751)*(E1752=E$2:E1751)))))</f>
        <v/>
      </c>
      <c r="J1752" s="14" t="str">
        <f aca="true">IF(OR(E1752="",E1752="!!!",F1752="NEW"),"",COUNTBLANK(OFFSET(A$1,,,SUMPRODUCT(MAX(ROW(E$2:E1752)*(E1752=E$2:E1752)))))-COUNTBLANK(OFFSET(A$1,,,SUMPRODUCT(MAX(ROW(E$1:E1751)*(E1752=E$1:E1751))))))</f>
        <v/>
      </c>
      <c r="K1752" s="14" t="str">
        <f aca="false">IF(OR(E1752="",E1752="!!!",F1752="NEW"),"",INDEX(J$1:J1751,SUMPRODUCT(MAX(ROW(E$1:E1751)*(E1752=E$1:E1751)))))</f>
        <v/>
      </c>
      <c r="L1752" s="15"/>
    </row>
    <row r="1753" customFormat="false" ht="12.75" hidden="false" customHeight="false" outlineLevel="0" collapsed="false">
      <c r="A1753" s="0" t="s">
        <v>105</v>
      </c>
      <c r="E1753" s="9" t="str">
        <f aca="false">IF(D1753="?OLD","!!!","")</f>
        <v/>
      </c>
      <c r="F1753" s="10" t="str">
        <f aca="false">IF(OR(E1753="",E1753="!!!"),"",IF(NOT(ISNA(VLOOKUP(E1753,E$1:E1752,1,FALSE()))),"OLD",IF(AND(E1753&lt;&gt;"",E1753&lt;&gt;"!!!"),"NEW","")))</f>
        <v/>
      </c>
      <c r="G1753" s="11" t="str">
        <f aca="false">IF(OR(E1753="",E1753="!!!"),"",IF(OR(J1753=0,AND(J1753=1,K1753=1),AND(J1753=1,I1753="SBJ"),AND(J1753=1,I1753=0)),"?IN_FOCUS",IF(J1753&lt;=2,"?ACTIVATED",IF(J1753&lt;&gt;"","?FAMILIAR",IF(F1753="NEW",IF(ISNA(VLOOKUP(E1753,#REF!,1,FALSE())),"?TYPE_IDENTIFIABLE","?REFERENTIAL"),"_")))))</f>
        <v/>
      </c>
      <c r="H1753" s="12" t="str">
        <f aca="false">IF(J1753&lt;&gt;1,"",IF(I1753="SBJ","CB","?"))</f>
        <v/>
      </c>
      <c r="I1753" s="13" t="str">
        <f aca="false">IF(OR(E1753="",E1753="!!!",F1753="NEW"),"",INDEX(B$2:B1752,-1+SUMPRODUCT(MAX(ROW(E$2:E1752)*(E1753=E$2:E1752)))))</f>
        <v/>
      </c>
      <c r="J1753" s="14" t="str">
        <f aca="true">IF(OR(E1753="",E1753="!!!",F1753="NEW"),"",COUNTBLANK(OFFSET(A$1,,,SUMPRODUCT(MAX(ROW(E$2:E1753)*(E1753=E$2:E1753)))))-COUNTBLANK(OFFSET(A$1,,,SUMPRODUCT(MAX(ROW(E$1:E1752)*(E1753=E$1:E1752))))))</f>
        <v/>
      </c>
      <c r="K1753" s="14" t="str">
        <f aca="false">IF(OR(E1753="",E1753="!!!",F1753="NEW"),"",INDEX(J$1:J1752,SUMPRODUCT(MAX(ROW(E$1:E1752)*(E1753=E$1:E1752)))))</f>
        <v/>
      </c>
      <c r="L1753" s="15"/>
    </row>
    <row r="1754" customFormat="false" ht="12.75" hidden="false" customHeight="false" outlineLevel="0" collapsed="false">
      <c r="A1754" s="0" t="s">
        <v>66</v>
      </c>
      <c r="E1754" s="9" t="str">
        <f aca="false">IF(D1754="?OLD","!!!","")</f>
        <v/>
      </c>
      <c r="F1754" s="10" t="str">
        <f aca="false">IF(OR(E1754="",E1754="!!!"),"",IF(NOT(ISNA(VLOOKUP(E1754,E$1:E1753,1,FALSE()))),"OLD",IF(AND(E1754&lt;&gt;"",E1754&lt;&gt;"!!!"),"NEW","")))</f>
        <v/>
      </c>
      <c r="G1754" s="11" t="str">
        <f aca="false">IF(OR(E1754="",E1754="!!!"),"",IF(OR(J1754=0,AND(J1754=1,K1754=1),AND(J1754=1,I1754="SBJ"),AND(J1754=1,I1754=0)),"?IN_FOCUS",IF(J1754&lt;=2,"?ACTIVATED",IF(J1754&lt;&gt;"","?FAMILIAR",IF(F1754="NEW",IF(ISNA(VLOOKUP(E1754,#REF!,1,FALSE())),"?TYPE_IDENTIFIABLE","?REFERENTIAL"),"_")))))</f>
        <v/>
      </c>
      <c r="H1754" s="12" t="str">
        <f aca="false">IF(J1754&lt;&gt;1,"",IF(I1754="SBJ","CB","?"))</f>
        <v/>
      </c>
      <c r="I1754" s="13" t="str">
        <f aca="false">IF(OR(E1754="",E1754="!!!",F1754="NEW"),"",INDEX(B$2:B1753,-1+SUMPRODUCT(MAX(ROW(E$2:E1753)*(E1754=E$2:E1753)))))</f>
        <v/>
      </c>
      <c r="J1754" s="14" t="str">
        <f aca="true">IF(OR(E1754="",E1754="!!!",F1754="NEW"),"",COUNTBLANK(OFFSET(A$1,,,SUMPRODUCT(MAX(ROW(E$2:E1754)*(E1754=E$2:E1754)))))-COUNTBLANK(OFFSET(A$1,,,SUMPRODUCT(MAX(ROW(E$1:E1753)*(E1754=E$1:E1753))))))</f>
        <v/>
      </c>
      <c r="K1754" s="14" t="str">
        <f aca="false">IF(OR(E1754="",E1754="!!!",F1754="NEW"),"",INDEX(J$1:J1753,SUMPRODUCT(MAX(ROW(E$1:E1753)*(E1754=E$1:E1753)))))</f>
        <v/>
      </c>
      <c r="L1754" s="15"/>
    </row>
    <row r="1755" customFormat="false" ht="12.75" hidden="false" customHeight="false" outlineLevel="0" collapsed="false">
      <c r="A1755" s="0" t="s">
        <v>729</v>
      </c>
      <c r="B1755" s="0" t="s">
        <v>103</v>
      </c>
      <c r="C1755" s="0" t="s">
        <v>111</v>
      </c>
      <c r="D1755" s="0" t="s">
        <v>29</v>
      </c>
      <c r="E1755" s="9" t="str">
        <f aca="false">IF(D1755="?OLD","!!!","")</f>
        <v>!!!</v>
      </c>
      <c r="F1755" s="10" t="str">
        <f aca="false">IF(OR(E1755="",E1755="!!!"),"",IF(NOT(ISNA(VLOOKUP(E1755,E$1:E1754,1,FALSE()))),"OLD",IF(AND(E1755&lt;&gt;"",E1755&lt;&gt;"!!!"),"NEW","")))</f>
        <v/>
      </c>
      <c r="G1755" s="11" t="str">
        <f aca="false">IF(OR(E1755="",E1755="!!!"),"",IF(OR(J1755=0,AND(J1755=1,K1755=1),AND(J1755=1,I1755="SBJ"),AND(J1755=1,I1755=0)),"?IN_FOCUS",IF(J1755&lt;=2,"?ACTIVATED",IF(J1755&lt;&gt;"","?FAMILIAR",IF(F1755="NEW",IF(ISNA(VLOOKUP(E1755,#REF!,1,FALSE())),"?TYPE_IDENTIFIABLE","?REFERENTIAL"),"_")))))</f>
        <v/>
      </c>
      <c r="H1755" s="12" t="str">
        <f aca="false">IF(J1755&lt;&gt;1,"",IF(I1755="SBJ","CB","?"))</f>
        <v/>
      </c>
      <c r="I1755" s="13" t="str">
        <f aca="false">IF(OR(E1755="",E1755="!!!",F1755="NEW"),"",INDEX(B$2:B1754,-1+SUMPRODUCT(MAX(ROW(E$2:E1754)*(E1755=E$2:E1754)))))</f>
        <v/>
      </c>
      <c r="J1755" s="14" t="str">
        <f aca="true">IF(OR(E1755="",E1755="!!!",F1755="NEW"),"",COUNTBLANK(OFFSET(A$1,,,SUMPRODUCT(MAX(ROW(E$2:E1755)*(E1755=E$2:E1755)))))-COUNTBLANK(OFFSET(A$1,,,SUMPRODUCT(MAX(ROW(E$1:E1754)*(E1755=E$1:E1754))))))</f>
        <v/>
      </c>
      <c r="K1755" s="14" t="str">
        <f aca="false">IF(OR(E1755="",E1755="!!!",F1755="NEW"),"",INDEX(J$1:J1754,SUMPRODUCT(MAX(ROW(E$1:E1754)*(E1755=E$1:E1754)))))</f>
        <v/>
      </c>
      <c r="L1755" s="15"/>
    </row>
    <row r="1756" customFormat="false" ht="12.75" hidden="false" customHeight="false" outlineLevel="0" collapsed="false">
      <c r="A1756" s="0" t="s">
        <v>19</v>
      </c>
      <c r="E1756" s="9" t="str">
        <f aca="false">IF(D1756="?OLD","!!!","")</f>
        <v/>
      </c>
      <c r="F1756" s="10" t="str">
        <f aca="false">IF(OR(E1756="",E1756="!!!"),"",IF(NOT(ISNA(VLOOKUP(E1756,E$1:E1755,1,FALSE()))),"OLD",IF(AND(E1756&lt;&gt;"",E1756&lt;&gt;"!!!"),"NEW","")))</f>
        <v/>
      </c>
      <c r="G1756" s="11" t="str">
        <f aca="false">IF(OR(E1756="",E1756="!!!"),"",IF(OR(J1756=0,AND(J1756=1,K1756=1),AND(J1756=1,I1756="SBJ"),AND(J1756=1,I1756=0)),"?IN_FOCUS",IF(J1756&lt;=2,"?ACTIVATED",IF(J1756&lt;&gt;"","?FAMILIAR",IF(F1756="NEW",IF(ISNA(VLOOKUP(E1756,#REF!,1,FALSE())),"?TYPE_IDENTIFIABLE","?REFERENTIAL"),"_")))))</f>
        <v/>
      </c>
      <c r="H1756" s="12" t="str">
        <f aca="false">IF(J1756&lt;&gt;1,"",IF(I1756="SBJ","CB","?"))</f>
        <v/>
      </c>
      <c r="I1756" s="13" t="str">
        <f aca="false">IF(OR(E1756="",E1756="!!!",F1756="NEW"),"",INDEX(B$2:B1755,-1+SUMPRODUCT(MAX(ROW(E$2:E1755)*(E1756=E$2:E1755)))))</f>
        <v/>
      </c>
      <c r="J1756" s="14" t="str">
        <f aca="true">IF(OR(E1756="",E1756="!!!",F1756="NEW"),"",COUNTBLANK(OFFSET(A$1,,,SUMPRODUCT(MAX(ROW(E$2:E1756)*(E1756=E$2:E1756)))))-COUNTBLANK(OFFSET(A$1,,,SUMPRODUCT(MAX(ROW(E$1:E1755)*(E1756=E$1:E1755))))))</f>
        <v/>
      </c>
      <c r="K1756" s="14" t="str">
        <f aca="false">IF(OR(E1756="",E1756="!!!",F1756="NEW"),"",INDEX(J$1:J1755,SUMPRODUCT(MAX(ROW(E$1:E1755)*(E1756=E$1:E1755)))))</f>
        <v/>
      </c>
      <c r="L1756" s="15"/>
    </row>
    <row r="1757" customFormat="false" ht="12.75" hidden="false" customHeight="false" outlineLevel="0" collapsed="false">
      <c r="A1757" s="0" t="s">
        <v>53</v>
      </c>
      <c r="B1757" s="0" t="s">
        <v>157</v>
      </c>
      <c r="C1757" s="0" t="s">
        <v>38</v>
      </c>
      <c r="D1757" s="0" t="s">
        <v>29</v>
      </c>
      <c r="E1757" s="9" t="str">
        <f aca="false">IF(D1757="?OLD","!!!","")</f>
        <v>!!!</v>
      </c>
      <c r="F1757" s="10" t="str">
        <f aca="false">IF(OR(E1757="",E1757="!!!"),"",IF(NOT(ISNA(VLOOKUP(E1757,E$1:E1756,1,FALSE()))),"OLD",IF(AND(E1757&lt;&gt;"",E1757&lt;&gt;"!!!"),"NEW","")))</f>
        <v/>
      </c>
      <c r="G1757" s="11" t="str">
        <f aca="false">IF(OR(E1757="",E1757="!!!"),"",IF(OR(J1757=0,AND(J1757=1,K1757=1),AND(J1757=1,I1757="SBJ"),AND(J1757=1,I1757=0)),"?IN_FOCUS",IF(J1757&lt;=2,"?ACTIVATED",IF(J1757&lt;&gt;"","?FAMILIAR",IF(F1757="NEW",IF(ISNA(VLOOKUP(E1757,#REF!,1,FALSE())),"?TYPE_IDENTIFIABLE","?REFERENTIAL"),"_")))))</f>
        <v/>
      </c>
      <c r="H1757" s="12" t="str">
        <f aca="false">IF(J1757&lt;&gt;1,"",IF(I1757="SBJ","CB","?"))</f>
        <v/>
      </c>
      <c r="I1757" s="13" t="str">
        <f aca="false">IF(OR(E1757="",E1757="!!!",F1757="NEW"),"",INDEX(B$2:B1756,-1+SUMPRODUCT(MAX(ROW(E$2:E1756)*(E1757=E$2:E1756)))))</f>
        <v/>
      </c>
      <c r="J1757" s="14" t="str">
        <f aca="true">IF(OR(E1757="",E1757="!!!",F1757="NEW"),"",COUNTBLANK(OFFSET(A$1,,,SUMPRODUCT(MAX(ROW(E$2:E1757)*(E1757=E$2:E1757)))))-COUNTBLANK(OFFSET(A$1,,,SUMPRODUCT(MAX(ROW(E$1:E1756)*(E1757=E$1:E1756))))))</f>
        <v/>
      </c>
      <c r="K1757" s="14" t="str">
        <f aca="false">IF(OR(E1757="",E1757="!!!",F1757="NEW"),"",INDEX(J$1:J1756,SUMPRODUCT(MAX(ROW(E$1:E1756)*(E1757=E$1:E1756)))))</f>
        <v/>
      </c>
      <c r="L1757" s="15"/>
    </row>
    <row r="1758" customFormat="false" ht="12.75" hidden="false" customHeight="false" outlineLevel="0" collapsed="false">
      <c r="A1758" s="0" t="s">
        <v>730</v>
      </c>
      <c r="E1758" s="9" t="str">
        <f aca="false">IF(D1758="?OLD","!!!","")</f>
        <v/>
      </c>
      <c r="F1758" s="10" t="str">
        <f aca="false">IF(OR(E1758="",E1758="!!!"),"",IF(NOT(ISNA(VLOOKUP(E1758,E$1:E1757,1,FALSE()))),"OLD",IF(AND(E1758&lt;&gt;"",E1758&lt;&gt;"!!!"),"NEW","")))</f>
        <v/>
      </c>
      <c r="G1758" s="11" t="str">
        <f aca="false">IF(OR(E1758="",E1758="!!!"),"",IF(OR(J1758=0,AND(J1758=1,K1758=1),AND(J1758=1,I1758="SBJ"),AND(J1758=1,I1758=0)),"?IN_FOCUS",IF(J1758&lt;=2,"?ACTIVATED",IF(J1758&lt;&gt;"","?FAMILIAR",IF(F1758="NEW",IF(ISNA(VLOOKUP(E1758,#REF!,1,FALSE())),"?TYPE_IDENTIFIABLE","?REFERENTIAL"),"_")))))</f>
        <v/>
      </c>
      <c r="H1758" s="12" t="str">
        <f aca="false">IF(J1758&lt;&gt;1,"",IF(I1758="SBJ","CB","?"))</f>
        <v/>
      </c>
      <c r="I1758" s="13" t="str">
        <f aca="false">IF(OR(E1758="",E1758="!!!",F1758="NEW"),"",INDEX(B$2:B1757,-1+SUMPRODUCT(MAX(ROW(E$2:E1757)*(E1758=E$2:E1757)))))</f>
        <v/>
      </c>
      <c r="J1758" s="14" t="str">
        <f aca="true">IF(OR(E1758="",E1758="!!!",F1758="NEW"),"",COUNTBLANK(OFFSET(A$1,,,SUMPRODUCT(MAX(ROW(E$2:E1758)*(E1758=E$2:E1758)))))-COUNTBLANK(OFFSET(A$1,,,SUMPRODUCT(MAX(ROW(E$1:E1757)*(E1758=E$1:E1757))))))</f>
        <v/>
      </c>
      <c r="K1758" s="14" t="str">
        <f aca="false">IF(OR(E1758="",E1758="!!!",F1758="NEW"),"",INDEX(J$1:J1757,SUMPRODUCT(MAX(ROW(E$1:E1757)*(E1758=E$1:E1757)))))</f>
        <v/>
      </c>
      <c r="L1758" s="15"/>
    </row>
    <row r="1759" customFormat="false" ht="12.75" hidden="false" customHeight="false" outlineLevel="0" collapsed="false">
      <c r="A1759" s="0" t="s">
        <v>731</v>
      </c>
      <c r="E1759" s="9" t="str">
        <f aca="false">IF(D1759="?OLD","!!!","")</f>
        <v/>
      </c>
      <c r="F1759" s="10" t="str">
        <f aca="false">IF(OR(E1759="",E1759="!!!"),"",IF(NOT(ISNA(VLOOKUP(E1759,E$1:E1758,1,FALSE()))),"OLD",IF(AND(E1759&lt;&gt;"",E1759&lt;&gt;"!!!"),"NEW","")))</f>
        <v/>
      </c>
      <c r="G1759" s="11" t="str">
        <f aca="false">IF(OR(E1759="",E1759="!!!"),"",IF(OR(J1759=0,AND(J1759=1,K1759=1),AND(J1759=1,I1759="SBJ"),AND(J1759=1,I1759=0)),"?IN_FOCUS",IF(J1759&lt;=2,"?ACTIVATED",IF(J1759&lt;&gt;"","?FAMILIAR",IF(F1759="NEW",IF(ISNA(VLOOKUP(E1759,#REF!,1,FALSE())),"?TYPE_IDENTIFIABLE","?REFERENTIAL"),"_")))))</f>
        <v/>
      </c>
      <c r="H1759" s="12" t="str">
        <f aca="false">IF(J1759&lt;&gt;1,"",IF(I1759="SBJ","CB","?"))</f>
        <v/>
      </c>
      <c r="I1759" s="13" t="str">
        <f aca="false">IF(OR(E1759="",E1759="!!!",F1759="NEW"),"",INDEX(B$2:B1758,-1+SUMPRODUCT(MAX(ROW(E$2:E1758)*(E1759=E$2:E1758)))))</f>
        <v/>
      </c>
      <c r="J1759" s="14" t="str">
        <f aca="true">IF(OR(E1759="",E1759="!!!",F1759="NEW"),"",COUNTBLANK(OFFSET(A$1,,,SUMPRODUCT(MAX(ROW(E$2:E1759)*(E1759=E$2:E1759)))))-COUNTBLANK(OFFSET(A$1,,,SUMPRODUCT(MAX(ROW(E$1:E1758)*(E1759=E$1:E1758))))))</f>
        <v/>
      </c>
      <c r="K1759" s="14" t="str">
        <f aca="false">IF(OR(E1759="",E1759="!!!",F1759="NEW"),"",INDEX(J$1:J1758,SUMPRODUCT(MAX(ROW(E$1:E1758)*(E1759=E$1:E1758)))))</f>
        <v/>
      </c>
      <c r="L1759" s="15"/>
    </row>
    <row r="1760" customFormat="false" ht="12.75" hidden="false" customHeight="false" outlineLevel="0" collapsed="false">
      <c r="A1760" s="0" t="s">
        <v>611</v>
      </c>
      <c r="E1760" s="9" t="str">
        <f aca="false">IF(D1760="?OLD","!!!","")</f>
        <v/>
      </c>
      <c r="F1760" s="10" t="str">
        <f aca="false">IF(OR(E1760="",E1760="!!!"),"",IF(NOT(ISNA(VLOOKUP(E1760,E$1:E1759,1,FALSE()))),"OLD",IF(AND(E1760&lt;&gt;"",E1760&lt;&gt;"!!!"),"NEW","")))</f>
        <v/>
      </c>
      <c r="G1760" s="11" t="str">
        <f aca="false">IF(OR(E1760="",E1760="!!!"),"",IF(OR(J1760=0,AND(J1760=1,K1760=1),AND(J1760=1,I1760="SBJ"),AND(J1760=1,I1760=0)),"?IN_FOCUS",IF(J1760&lt;=2,"?ACTIVATED",IF(J1760&lt;&gt;"","?FAMILIAR",IF(F1760="NEW",IF(ISNA(VLOOKUP(E1760,#REF!,1,FALSE())),"?TYPE_IDENTIFIABLE","?REFERENTIAL"),"_")))))</f>
        <v/>
      </c>
      <c r="H1760" s="12" t="str">
        <f aca="false">IF(J1760&lt;&gt;1,"",IF(I1760="SBJ","CB","?"))</f>
        <v/>
      </c>
      <c r="I1760" s="13" t="str">
        <f aca="false">IF(OR(E1760="",E1760="!!!",F1760="NEW"),"",INDEX(B$2:B1759,-1+SUMPRODUCT(MAX(ROW(E$2:E1759)*(E1760=E$2:E1759)))))</f>
        <v/>
      </c>
      <c r="J1760" s="14" t="str">
        <f aca="true">IF(OR(E1760="",E1760="!!!",F1760="NEW"),"",COUNTBLANK(OFFSET(A$1,,,SUMPRODUCT(MAX(ROW(E$2:E1760)*(E1760=E$2:E1760)))))-COUNTBLANK(OFFSET(A$1,,,SUMPRODUCT(MAX(ROW(E$1:E1759)*(E1760=E$1:E1759))))))</f>
        <v/>
      </c>
      <c r="K1760" s="14" t="str">
        <f aca="false">IF(OR(E1760="",E1760="!!!",F1760="NEW"),"",INDEX(J$1:J1759,SUMPRODUCT(MAX(ROW(E$1:E1759)*(E1760=E$1:E1759)))))</f>
        <v/>
      </c>
      <c r="L1760" s="15"/>
    </row>
    <row r="1761" customFormat="false" ht="12.75" hidden="false" customHeight="false" outlineLevel="0" collapsed="false">
      <c r="A1761" s="0" t="s">
        <v>46</v>
      </c>
      <c r="B1761" s="0" t="s">
        <v>330</v>
      </c>
      <c r="C1761" s="0" t="s">
        <v>38</v>
      </c>
      <c r="D1761" s="0" t="s">
        <v>29</v>
      </c>
      <c r="E1761" s="9" t="str">
        <f aca="false">IF(D1761="?OLD","!!!","")</f>
        <v>!!!</v>
      </c>
      <c r="F1761" s="10" t="str">
        <f aca="false">IF(OR(E1761="",E1761="!!!"),"",IF(NOT(ISNA(VLOOKUP(E1761,E$1:E1760,1,FALSE()))),"OLD",IF(AND(E1761&lt;&gt;"",E1761&lt;&gt;"!!!"),"NEW","")))</f>
        <v/>
      </c>
      <c r="G1761" s="11" t="str">
        <f aca="false">IF(OR(E1761="",E1761="!!!"),"",IF(OR(J1761=0,AND(J1761=1,K1761=1),AND(J1761=1,I1761="SBJ"),AND(J1761=1,I1761=0)),"?IN_FOCUS",IF(J1761&lt;=2,"?ACTIVATED",IF(J1761&lt;&gt;"","?FAMILIAR",IF(F1761="NEW",IF(ISNA(VLOOKUP(E1761,#REF!,1,FALSE())),"?TYPE_IDENTIFIABLE","?REFERENTIAL"),"_")))))</f>
        <v/>
      </c>
      <c r="H1761" s="12" t="str">
        <f aca="false">IF(J1761&lt;&gt;1,"",IF(I1761="SBJ","CB","?"))</f>
        <v/>
      </c>
      <c r="I1761" s="13" t="str">
        <f aca="false">IF(OR(E1761="",E1761="!!!",F1761="NEW"),"",INDEX(B$2:B1760,-1+SUMPRODUCT(MAX(ROW(E$2:E1760)*(E1761=E$2:E1760)))))</f>
        <v/>
      </c>
      <c r="J1761" s="14" t="str">
        <f aca="true">IF(OR(E1761="",E1761="!!!",F1761="NEW"),"",COUNTBLANK(OFFSET(A$1,,,SUMPRODUCT(MAX(ROW(E$2:E1761)*(E1761=E$2:E1761)))))-COUNTBLANK(OFFSET(A$1,,,SUMPRODUCT(MAX(ROW(E$1:E1760)*(E1761=E$1:E1760))))))</f>
        <v/>
      </c>
      <c r="K1761" s="14" t="str">
        <f aca="false">IF(OR(E1761="",E1761="!!!",F1761="NEW"),"",INDEX(J$1:J1760,SUMPRODUCT(MAX(ROW(E$1:E1760)*(E1761=E$1:E1760)))))</f>
        <v/>
      </c>
      <c r="L1761" s="15"/>
    </row>
    <row r="1762" customFormat="false" ht="12.75" hidden="false" customHeight="false" outlineLevel="0" collapsed="false">
      <c r="A1762" s="0" t="s">
        <v>549</v>
      </c>
      <c r="E1762" s="9" t="str">
        <f aca="false">IF(D1762="?OLD","!!!","")</f>
        <v/>
      </c>
      <c r="F1762" s="10" t="str">
        <f aca="false">IF(OR(E1762="",E1762="!!!"),"",IF(NOT(ISNA(VLOOKUP(E1762,E$1:E1761,1,FALSE()))),"OLD",IF(AND(E1762&lt;&gt;"",E1762&lt;&gt;"!!!"),"NEW","")))</f>
        <v/>
      </c>
      <c r="G1762" s="11" t="str">
        <f aca="false">IF(OR(E1762="",E1762="!!!"),"",IF(OR(J1762=0,AND(J1762=1,K1762=1),AND(J1762=1,I1762="SBJ"),AND(J1762=1,I1762=0)),"?IN_FOCUS",IF(J1762&lt;=2,"?ACTIVATED",IF(J1762&lt;&gt;"","?FAMILIAR",IF(F1762="NEW",IF(ISNA(VLOOKUP(E1762,#REF!,1,FALSE())),"?TYPE_IDENTIFIABLE","?REFERENTIAL"),"_")))))</f>
        <v/>
      </c>
      <c r="H1762" s="12" t="str">
        <f aca="false">IF(J1762&lt;&gt;1,"",IF(I1762="SBJ","CB","?"))</f>
        <v/>
      </c>
      <c r="I1762" s="13" t="str">
        <f aca="false">IF(OR(E1762="",E1762="!!!",F1762="NEW"),"",INDEX(B$2:B1761,-1+SUMPRODUCT(MAX(ROW(E$2:E1761)*(E1762=E$2:E1761)))))</f>
        <v/>
      </c>
      <c r="J1762" s="14" t="str">
        <f aca="true">IF(OR(E1762="",E1762="!!!",F1762="NEW"),"",COUNTBLANK(OFFSET(A$1,,,SUMPRODUCT(MAX(ROW(E$2:E1762)*(E1762=E$2:E1762)))))-COUNTBLANK(OFFSET(A$1,,,SUMPRODUCT(MAX(ROW(E$1:E1761)*(E1762=E$1:E1761))))))</f>
        <v/>
      </c>
      <c r="K1762" s="14" t="str">
        <f aca="false">IF(OR(E1762="",E1762="!!!",F1762="NEW"),"",INDEX(J$1:J1761,SUMPRODUCT(MAX(ROW(E$1:E1761)*(E1762=E$1:E1761)))))</f>
        <v/>
      </c>
      <c r="L1762" s="15"/>
    </row>
    <row r="1763" customFormat="false" ht="12.75" hidden="false" customHeight="false" outlineLevel="0" collapsed="false">
      <c r="A1763" s="0" t="s">
        <v>732</v>
      </c>
      <c r="E1763" s="9" t="str">
        <f aca="false">IF(D1763="?OLD","!!!","")</f>
        <v/>
      </c>
      <c r="F1763" s="10" t="str">
        <f aca="false">IF(OR(E1763="",E1763="!!!"),"",IF(NOT(ISNA(VLOOKUP(E1763,E$1:E1762,1,FALSE()))),"OLD",IF(AND(E1763&lt;&gt;"",E1763&lt;&gt;"!!!"),"NEW","")))</f>
        <v/>
      </c>
      <c r="G1763" s="11" t="str">
        <f aca="false">IF(OR(E1763="",E1763="!!!"),"",IF(OR(J1763=0,AND(J1763=1,K1763=1),AND(J1763=1,I1763="SBJ"),AND(J1763=1,I1763=0)),"?IN_FOCUS",IF(J1763&lt;=2,"?ACTIVATED",IF(J1763&lt;&gt;"","?FAMILIAR",IF(F1763="NEW",IF(ISNA(VLOOKUP(E1763,#REF!,1,FALSE())),"?TYPE_IDENTIFIABLE","?REFERENTIAL"),"_")))))</f>
        <v/>
      </c>
      <c r="H1763" s="12" t="str">
        <f aca="false">IF(J1763&lt;&gt;1,"",IF(I1763="SBJ","CB","?"))</f>
        <v/>
      </c>
      <c r="I1763" s="13" t="str">
        <f aca="false">IF(OR(E1763="",E1763="!!!",F1763="NEW"),"",INDEX(B$2:B1762,-1+SUMPRODUCT(MAX(ROW(E$2:E1762)*(E1763=E$2:E1762)))))</f>
        <v/>
      </c>
      <c r="J1763" s="14" t="str">
        <f aca="true">IF(OR(E1763="",E1763="!!!",F1763="NEW"),"",COUNTBLANK(OFFSET(A$1,,,SUMPRODUCT(MAX(ROW(E$2:E1763)*(E1763=E$2:E1763)))))-COUNTBLANK(OFFSET(A$1,,,SUMPRODUCT(MAX(ROW(E$1:E1762)*(E1763=E$1:E1762))))))</f>
        <v/>
      </c>
      <c r="K1763" s="14" t="str">
        <f aca="false">IF(OR(E1763="",E1763="!!!",F1763="NEW"),"",INDEX(J$1:J1762,SUMPRODUCT(MAX(ROW(E$1:E1762)*(E1763=E$1:E1762)))))</f>
        <v/>
      </c>
      <c r="L1763" s="15"/>
    </row>
    <row r="1764" customFormat="false" ht="12.75" hidden="false" customHeight="false" outlineLevel="0" collapsed="false">
      <c r="A1764" s="0" t="s">
        <v>142</v>
      </c>
      <c r="B1764" s="0" t="s">
        <v>91</v>
      </c>
      <c r="C1764" s="0" t="s">
        <v>38</v>
      </c>
      <c r="D1764" s="0" t="s">
        <v>29</v>
      </c>
      <c r="E1764" s="9" t="str">
        <f aca="false">IF(D1764="?OLD","!!!","")</f>
        <v>!!!</v>
      </c>
      <c r="F1764" s="10" t="str">
        <f aca="false">IF(OR(E1764="",E1764="!!!"),"",IF(NOT(ISNA(VLOOKUP(E1764,E$1:E1763,1,FALSE()))),"OLD",IF(AND(E1764&lt;&gt;"",E1764&lt;&gt;"!!!"),"NEW","")))</f>
        <v/>
      </c>
      <c r="G1764" s="11" t="str">
        <f aca="false">IF(OR(E1764="",E1764="!!!"),"",IF(OR(J1764=0,AND(J1764=1,K1764=1),AND(J1764=1,I1764="SBJ"),AND(J1764=1,I1764=0)),"?IN_FOCUS",IF(J1764&lt;=2,"?ACTIVATED",IF(J1764&lt;&gt;"","?FAMILIAR",IF(F1764="NEW",IF(ISNA(VLOOKUP(E1764,#REF!,1,FALSE())),"?TYPE_IDENTIFIABLE","?REFERENTIAL"),"_")))))</f>
        <v/>
      </c>
      <c r="H1764" s="12" t="str">
        <f aca="false">IF(J1764&lt;&gt;1,"",IF(I1764="SBJ","CB","?"))</f>
        <v/>
      </c>
      <c r="I1764" s="13" t="str">
        <f aca="false">IF(OR(E1764="",E1764="!!!",F1764="NEW"),"",INDEX(B$2:B1763,-1+SUMPRODUCT(MAX(ROW(E$2:E1763)*(E1764=E$2:E1763)))))</f>
        <v/>
      </c>
      <c r="J1764" s="14" t="str">
        <f aca="true">IF(OR(E1764="",E1764="!!!",F1764="NEW"),"",COUNTBLANK(OFFSET(A$1,,,SUMPRODUCT(MAX(ROW(E$2:E1764)*(E1764=E$2:E1764)))))-COUNTBLANK(OFFSET(A$1,,,SUMPRODUCT(MAX(ROW(E$1:E1763)*(E1764=E$1:E1763))))))</f>
        <v/>
      </c>
      <c r="K1764" s="14" t="str">
        <f aca="false">IF(OR(E1764="",E1764="!!!",F1764="NEW"),"",INDEX(J$1:J1763,SUMPRODUCT(MAX(ROW(E$1:E1763)*(E1764=E$1:E1763)))))</f>
        <v/>
      </c>
      <c r="L1764" s="15"/>
    </row>
    <row r="1765" customFormat="false" ht="12.75" hidden="false" customHeight="false" outlineLevel="0" collapsed="false">
      <c r="A1765" s="0" t="s">
        <v>73</v>
      </c>
      <c r="E1765" s="9" t="str">
        <f aca="false">IF(D1765="?OLD","!!!","")</f>
        <v/>
      </c>
      <c r="F1765" s="10" t="str">
        <f aca="false">IF(OR(E1765="",E1765="!!!"),"",IF(NOT(ISNA(VLOOKUP(E1765,E$1:E1764,1,FALSE()))),"OLD",IF(AND(E1765&lt;&gt;"",E1765&lt;&gt;"!!!"),"NEW","")))</f>
        <v/>
      </c>
      <c r="G1765" s="11" t="str">
        <f aca="false">IF(OR(E1765="",E1765="!!!"),"",IF(OR(J1765=0,AND(J1765=1,K1765=1),AND(J1765=1,I1765="SBJ"),AND(J1765=1,I1765=0)),"?IN_FOCUS",IF(J1765&lt;=2,"?ACTIVATED",IF(J1765&lt;&gt;"","?FAMILIAR",IF(F1765="NEW",IF(ISNA(VLOOKUP(E1765,#REF!,1,FALSE())),"?TYPE_IDENTIFIABLE","?REFERENTIAL"),"_")))))</f>
        <v/>
      </c>
      <c r="H1765" s="12" t="str">
        <f aca="false">IF(J1765&lt;&gt;1,"",IF(I1765="SBJ","CB","?"))</f>
        <v/>
      </c>
      <c r="I1765" s="13" t="str">
        <f aca="false">IF(OR(E1765="",E1765="!!!",F1765="NEW"),"",INDEX(B$2:B1764,-1+SUMPRODUCT(MAX(ROW(E$2:E1764)*(E1765=E$2:E1764)))))</f>
        <v/>
      </c>
      <c r="J1765" s="14" t="str">
        <f aca="true">IF(OR(E1765="",E1765="!!!",F1765="NEW"),"",COUNTBLANK(OFFSET(A$1,,,SUMPRODUCT(MAX(ROW(E$2:E1765)*(E1765=E$2:E1765)))))-COUNTBLANK(OFFSET(A$1,,,SUMPRODUCT(MAX(ROW(E$1:E1764)*(E1765=E$1:E1764))))))</f>
        <v/>
      </c>
      <c r="K1765" s="14" t="str">
        <f aca="false">IF(OR(E1765="",E1765="!!!",F1765="NEW"),"",INDEX(J$1:J1764,SUMPRODUCT(MAX(ROW(E$1:E1764)*(E1765=E$1:E1764)))))</f>
        <v/>
      </c>
      <c r="L1765" s="15"/>
    </row>
    <row r="1766" customFormat="false" ht="12.75" hidden="false" customHeight="false" outlineLevel="0" collapsed="false">
      <c r="E1766" s="9" t="str">
        <f aca="false">IF(D1766="?OLD","!!!","")</f>
        <v/>
      </c>
      <c r="F1766" s="10" t="str">
        <f aca="false">IF(OR(E1766="",E1766="!!!"),"",IF(NOT(ISNA(VLOOKUP(E1766,E$1:E1765,1,FALSE()))),"OLD",IF(AND(E1766&lt;&gt;"",E1766&lt;&gt;"!!!"),"NEW","")))</f>
        <v/>
      </c>
      <c r="G1766" s="11" t="str">
        <f aca="false">IF(OR(E1766="",E1766="!!!"),"",IF(OR(J1766=0,AND(J1766=1,K1766=1),AND(J1766=1,I1766="SBJ"),AND(J1766=1,I1766=0)),"?IN_FOCUS",IF(J1766&lt;=2,"?ACTIVATED",IF(J1766&lt;&gt;"","?FAMILIAR",IF(F1766="NEW",IF(ISNA(VLOOKUP(E1766,#REF!,1,FALSE())),"?TYPE_IDENTIFIABLE","?REFERENTIAL"),"_")))))</f>
        <v/>
      </c>
      <c r="H1766" s="12" t="str">
        <f aca="false">IF(J1766&lt;&gt;1,"",IF(I1766="SBJ","CB","?"))</f>
        <v/>
      </c>
      <c r="I1766" s="13" t="str">
        <f aca="false">IF(OR(E1766="",E1766="!!!",F1766="NEW"),"",INDEX(B$2:B1765,-1+SUMPRODUCT(MAX(ROW(E$2:E1765)*(E1766=E$2:E1765)))))</f>
        <v/>
      </c>
      <c r="J1766" s="14" t="str">
        <f aca="true">IF(OR(E1766="",E1766="!!!",F1766="NEW"),"",COUNTBLANK(OFFSET(A$1,,,SUMPRODUCT(MAX(ROW(E$2:E1766)*(E1766=E$2:E1766)))))-COUNTBLANK(OFFSET(A$1,,,SUMPRODUCT(MAX(ROW(E$1:E1765)*(E1766=E$1:E1765))))))</f>
        <v/>
      </c>
      <c r="K1766" s="14" t="str">
        <f aca="false">IF(OR(E1766="",E1766="!!!",F1766="NEW"),"",INDEX(J$1:J1765,SUMPRODUCT(MAX(ROW(E$1:E1765)*(E1766=E$1:E1765)))))</f>
        <v/>
      </c>
      <c r="L1766" s="15"/>
    </row>
    <row r="1767" customFormat="false" ht="12.75" hidden="false" customHeight="false" outlineLevel="0" collapsed="false">
      <c r="A1767" s="0" t="s">
        <v>260</v>
      </c>
      <c r="E1767" s="9" t="str">
        <f aca="false">IF(D1767="?OLD","!!!","")</f>
        <v/>
      </c>
      <c r="F1767" s="10" t="str">
        <f aca="false">IF(OR(E1767="",E1767="!!!"),"",IF(NOT(ISNA(VLOOKUP(E1767,E$1:E1766,1,FALSE()))),"OLD",IF(AND(E1767&lt;&gt;"",E1767&lt;&gt;"!!!"),"NEW","")))</f>
        <v/>
      </c>
      <c r="G1767" s="11" t="str">
        <f aca="false">IF(OR(E1767="",E1767="!!!"),"",IF(OR(J1767=0,AND(J1767=1,K1767=1),AND(J1767=1,I1767="SBJ"),AND(J1767=1,I1767=0)),"?IN_FOCUS",IF(J1767&lt;=2,"?ACTIVATED",IF(J1767&lt;&gt;"","?FAMILIAR",IF(F1767="NEW",IF(ISNA(VLOOKUP(E1767,#REF!,1,FALSE())),"?TYPE_IDENTIFIABLE","?REFERENTIAL"),"_")))))</f>
        <v/>
      </c>
      <c r="H1767" s="12" t="str">
        <f aca="false">IF(J1767&lt;&gt;1,"",IF(I1767="SBJ","CB","?"))</f>
        <v/>
      </c>
      <c r="I1767" s="13" t="str">
        <f aca="false">IF(OR(E1767="",E1767="!!!",F1767="NEW"),"",INDEX(B$2:B1766,-1+SUMPRODUCT(MAX(ROW(E$2:E1766)*(E1767=E$2:E1766)))))</f>
        <v/>
      </c>
      <c r="J1767" s="14" t="str">
        <f aca="true">IF(OR(E1767="",E1767="!!!",F1767="NEW"),"",COUNTBLANK(OFFSET(A$1,,,SUMPRODUCT(MAX(ROW(E$2:E1767)*(E1767=E$2:E1767)))))-COUNTBLANK(OFFSET(A$1,,,SUMPRODUCT(MAX(ROW(E$1:E1766)*(E1767=E$1:E1766))))))</f>
        <v/>
      </c>
      <c r="K1767" s="14" t="str">
        <f aca="false">IF(OR(E1767="",E1767="!!!",F1767="NEW"),"",INDEX(J$1:J1766,SUMPRODUCT(MAX(ROW(E$1:E1766)*(E1767=E$1:E1766)))))</f>
        <v/>
      </c>
      <c r="L1767" s="15"/>
    </row>
    <row r="1768" customFormat="false" ht="12.75" hidden="false" customHeight="false" outlineLevel="0" collapsed="false">
      <c r="A1768" s="0" t="s">
        <v>733</v>
      </c>
      <c r="E1768" s="9" t="str">
        <f aca="false">IF(D1768="?OLD","!!!","")</f>
        <v/>
      </c>
      <c r="F1768" s="10" t="str">
        <f aca="false">IF(OR(E1768="",E1768="!!!"),"",IF(NOT(ISNA(VLOOKUP(E1768,E$1:E1767,1,FALSE()))),"OLD",IF(AND(E1768&lt;&gt;"",E1768&lt;&gt;"!!!"),"NEW","")))</f>
        <v/>
      </c>
      <c r="G1768" s="11" t="str">
        <f aca="false">IF(OR(E1768="",E1768="!!!"),"",IF(OR(J1768=0,AND(J1768=1,K1768=1),AND(J1768=1,I1768="SBJ"),AND(J1768=1,I1768=0)),"?IN_FOCUS",IF(J1768&lt;=2,"?ACTIVATED",IF(J1768&lt;&gt;"","?FAMILIAR",IF(F1768="NEW",IF(ISNA(VLOOKUP(E1768,#REF!,1,FALSE())),"?TYPE_IDENTIFIABLE","?REFERENTIAL"),"_")))))</f>
        <v/>
      </c>
      <c r="H1768" s="12" t="str">
        <f aca="false">IF(J1768&lt;&gt;1,"",IF(I1768="SBJ","CB","?"))</f>
        <v/>
      </c>
      <c r="I1768" s="13" t="str">
        <f aca="false">IF(OR(E1768="",E1768="!!!",F1768="NEW"),"",INDEX(B$2:B1767,-1+SUMPRODUCT(MAX(ROW(E$2:E1767)*(E1768=E$2:E1767)))))</f>
        <v/>
      </c>
      <c r="J1768" s="14" t="str">
        <f aca="true">IF(OR(E1768="",E1768="!!!",F1768="NEW"),"",COUNTBLANK(OFFSET(A$1,,,SUMPRODUCT(MAX(ROW(E$2:E1768)*(E1768=E$2:E1768)))))-COUNTBLANK(OFFSET(A$1,,,SUMPRODUCT(MAX(ROW(E$1:E1767)*(E1768=E$1:E1767))))))</f>
        <v/>
      </c>
      <c r="K1768" s="14" t="str">
        <f aca="false">IF(OR(E1768="",E1768="!!!",F1768="NEW"),"",INDEX(J$1:J1767,SUMPRODUCT(MAX(ROW(E$1:E1767)*(E1768=E$1:E1767)))))</f>
        <v/>
      </c>
      <c r="L1768" s="15"/>
    </row>
    <row r="1769" customFormat="false" ht="12.75" hidden="false" customHeight="false" outlineLevel="0" collapsed="false">
      <c r="A1769" s="0" t="s">
        <v>734</v>
      </c>
      <c r="E1769" s="9" t="str">
        <f aca="false">IF(D1769="?OLD","!!!","")</f>
        <v/>
      </c>
      <c r="F1769" s="10" t="str">
        <f aca="false">IF(OR(E1769="",E1769="!!!"),"",IF(NOT(ISNA(VLOOKUP(E1769,E$1:E1768,1,FALSE()))),"OLD",IF(AND(E1769&lt;&gt;"",E1769&lt;&gt;"!!!"),"NEW","")))</f>
        <v/>
      </c>
      <c r="G1769" s="11" t="str">
        <f aca="false">IF(OR(E1769="",E1769="!!!"),"",IF(OR(J1769=0,AND(J1769=1,K1769=1),AND(J1769=1,I1769="SBJ"),AND(J1769=1,I1769=0)),"?IN_FOCUS",IF(J1769&lt;=2,"?ACTIVATED",IF(J1769&lt;&gt;"","?FAMILIAR",IF(F1769="NEW",IF(ISNA(VLOOKUP(E1769,#REF!,1,FALSE())),"?TYPE_IDENTIFIABLE","?REFERENTIAL"),"_")))))</f>
        <v/>
      </c>
      <c r="H1769" s="12" t="str">
        <f aca="false">IF(J1769&lt;&gt;1,"",IF(I1769="SBJ","CB","?"))</f>
        <v/>
      </c>
      <c r="I1769" s="13" t="str">
        <f aca="false">IF(OR(E1769="",E1769="!!!",F1769="NEW"),"",INDEX(B$2:B1768,-1+SUMPRODUCT(MAX(ROW(E$2:E1768)*(E1769=E$2:E1768)))))</f>
        <v/>
      </c>
      <c r="J1769" s="14" t="str">
        <f aca="true">IF(OR(E1769="",E1769="!!!",F1769="NEW"),"",COUNTBLANK(OFFSET(A$1,,,SUMPRODUCT(MAX(ROW(E$2:E1769)*(E1769=E$2:E1769)))))-COUNTBLANK(OFFSET(A$1,,,SUMPRODUCT(MAX(ROW(E$1:E1768)*(E1769=E$1:E1768))))))</f>
        <v/>
      </c>
      <c r="K1769" s="14" t="str">
        <f aca="false">IF(OR(E1769="",E1769="!!!",F1769="NEW"),"",INDEX(J$1:J1768,SUMPRODUCT(MAX(ROW(E$1:E1768)*(E1769=E$1:E1768)))))</f>
        <v/>
      </c>
      <c r="L1769" s="15"/>
    </row>
    <row r="1770" customFormat="false" ht="12.75" hidden="false" customHeight="false" outlineLevel="0" collapsed="false">
      <c r="A1770" s="0" t="s">
        <v>735</v>
      </c>
      <c r="E1770" s="9" t="str">
        <f aca="false">IF(D1770="?OLD","!!!","")</f>
        <v/>
      </c>
      <c r="F1770" s="10" t="str">
        <f aca="false">IF(OR(E1770="",E1770="!!!"),"",IF(NOT(ISNA(VLOOKUP(E1770,E$1:E1769,1,FALSE()))),"OLD",IF(AND(E1770&lt;&gt;"",E1770&lt;&gt;"!!!"),"NEW","")))</f>
        <v/>
      </c>
      <c r="G1770" s="11" t="str">
        <f aca="false">IF(OR(E1770="",E1770="!!!"),"",IF(OR(J1770=0,AND(J1770=1,K1770=1),AND(J1770=1,I1770="SBJ"),AND(J1770=1,I1770=0)),"?IN_FOCUS",IF(J1770&lt;=2,"?ACTIVATED",IF(J1770&lt;&gt;"","?FAMILIAR",IF(F1770="NEW",IF(ISNA(VLOOKUP(E1770,#REF!,1,FALSE())),"?TYPE_IDENTIFIABLE","?REFERENTIAL"),"_")))))</f>
        <v/>
      </c>
      <c r="H1770" s="12" t="str">
        <f aca="false">IF(J1770&lt;&gt;1,"",IF(I1770="SBJ","CB","?"))</f>
        <v/>
      </c>
      <c r="I1770" s="13" t="str">
        <f aca="false">IF(OR(E1770="",E1770="!!!",F1770="NEW"),"",INDEX(B$2:B1769,-1+SUMPRODUCT(MAX(ROW(E$2:E1769)*(E1770=E$2:E1769)))))</f>
        <v/>
      </c>
      <c r="J1770" s="14" t="str">
        <f aca="true">IF(OR(E1770="",E1770="!!!",F1770="NEW"),"",COUNTBLANK(OFFSET(A$1,,,SUMPRODUCT(MAX(ROW(E$2:E1770)*(E1770=E$2:E1770)))))-COUNTBLANK(OFFSET(A$1,,,SUMPRODUCT(MAX(ROW(E$1:E1769)*(E1770=E$1:E1769))))))</f>
        <v/>
      </c>
      <c r="K1770" s="14" t="str">
        <f aca="false">IF(OR(E1770="",E1770="!!!",F1770="NEW"),"",INDEX(J$1:J1769,SUMPRODUCT(MAX(ROW(E$1:E1769)*(E1770=E$1:E1769)))))</f>
        <v/>
      </c>
      <c r="L1770" s="15"/>
    </row>
    <row r="1771" customFormat="false" ht="12.75" hidden="false" customHeight="false" outlineLevel="0" collapsed="false">
      <c r="A1771" s="0" t="s">
        <v>736</v>
      </c>
      <c r="B1771" s="0" t="s">
        <v>62</v>
      </c>
      <c r="C1771" s="0" t="s">
        <v>43</v>
      </c>
      <c r="E1771" s="9" t="str">
        <f aca="false">IF(D1771="?OLD","!!!","")</f>
        <v/>
      </c>
      <c r="F1771" s="10" t="str">
        <f aca="false">IF(OR(E1771="",E1771="!!!"),"",IF(NOT(ISNA(VLOOKUP(E1771,E$1:E1770,1,FALSE()))),"OLD",IF(AND(E1771&lt;&gt;"",E1771&lt;&gt;"!!!"),"NEW","")))</f>
        <v/>
      </c>
      <c r="G1771" s="11" t="str">
        <f aca="false">IF(OR(E1771="",E1771="!!!"),"",IF(OR(J1771=0,AND(J1771=1,K1771=1),AND(J1771=1,I1771="SBJ"),AND(J1771=1,I1771=0)),"?IN_FOCUS",IF(J1771&lt;=2,"?ACTIVATED",IF(J1771&lt;&gt;"","?FAMILIAR",IF(F1771="NEW",IF(ISNA(VLOOKUP(E1771,#REF!,1,FALSE())),"?TYPE_IDENTIFIABLE","?REFERENTIAL"),"_")))))</f>
        <v/>
      </c>
      <c r="H1771" s="12" t="str">
        <f aca="false">IF(J1771&lt;&gt;1,"",IF(I1771="SBJ","CB","?"))</f>
        <v/>
      </c>
      <c r="I1771" s="13" t="str">
        <f aca="false">IF(OR(E1771="",E1771="!!!",F1771="NEW"),"",INDEX(B$2:B1770,-1+SUMPRODUCT(MAX(ROW(E$2:E1770)*(E1771=E$2:E1770)))))</f>
        <v/>
      </c>
      <c r="J1771" s="14" t="str">
        <f aca="true">IF(OR(E1771="",E1771="!!!",F1771="NEW"),"",COUNTBLANK(OFFSET(A$1,,,SUMPRODUCT(MAX(ROW(E$2:E1771)*(E1771=E$2:E1771)))))-COUNTBLANK(OFFSET(A$1,,,SUMPRODUCT(MAX(ROW(E$1:E1770)*(E1771=E$1:E1770))))))</f>
        <v/>
      </c>
      <c r="K1771" s="14" t="str">
        <f aca="false">IF(OR(E1771="",E1771="!!!",F1771="NEW"),"",INDEX(J$1:J1770,SUMPRODUCT(MAX(ROW(E$1:E1770)*(E1771=E$1:E1770)))))</f>
        <v/>
      </c>
      <c r="L1771" s="15"/>
    </row>
    <row r="1772" customFormat="false" ht="12.75" hidden="false" customHeight="false" outlineLevel="0" collapsed="false">
      <c r="A1772" s="0" t="s">
        <v>147</v>
      </c>
      <c r="B1772" s="0" t="s">
        <v>14</v>
      </c>
      <c r="C1772" s="0" t="s">
        <v>38</v>
      </c>
      <c r="D1772" s="0" t="s">
        <v>29</v>
      </c>
      <c r="E1772" s="9" t="str">
        <f aca="false">IF(D1772="?OLD","!!!","")</f>
        <v>!!!</v>
      </c>
      <c r="F1772" s="10" t="str">
        <f aca="false">IF(OR(E1772="",E1772="!!!"),"",IF(NOT(ISNA(VLOOKUP(E1772,E$1:E1771,1,FALSE()))),"OLD",IF(AND(E1772&lt;&gt;"",E1772&lt;&gt;"!!!"),"NEW","")))</f>
        <v/>
      </c>
      <c r="G1772" s="11" t="str">
        <f aca="false">IF(OR(E1772="",E1772="!!!"),"",IF(OR(J1772=0,AND(J1772=1,K1772=1),AND(J1772=1,I1772="SBJ"),AND(J1772=1,I1772=0)),"?IN_FOCUS",IF(J1772&lt;=2,"?ACTIVATED",IF(J1772&lt;&gt;"","?FAMILIAR",IF(F1772="NEW",IF(ISNA(VLOOKUP(E1772,#REF!,1,FALSE())),"?TYPE_IDENTIFIABLE","?REFERENTIAL"),"_")))))</f>
        <v/>
      </c>
      <c r="H1772" s="12" t="str">
        <f aca="false">IF(J1772&lt;&gt;1,"",IF(I1772="SBJ","CB","?"))</f>
        <v/>
      </c>
      <c r="I1772" s="13" t="str">
        <f aca="false">IF(OR(E1772="",E1772="!!!",F1772="NEW"),"",INDEX(B$2:B1771,-1+SUMPRODUCT(MAX(ROW(E$2:E1771)*(E1772=E$2:E1771)))))</f>
        <v/>
      </c>
      <c r="J1772" s="14" t="str">
        <f aca="true">IF(OR(E1772="",E1772="!!!",F1772="NEW"),"",COUNTBLANK(OFFSET(A$1,,,SUMPRODUCT(MAX(ROW(E$2:E1772)*(E1772=E$2:E1772)))))-COUNTBLANK(OFFSET(A$1,,,SUMPRODUCT(MAX(ROW(E$1:E1771)*(E1772=E$1:E1771))))))</f>
        <v/>
      </c>
      <c r="K1772" s="14" t="str">
        <f aca="false">IF(OR(E1772="",E1772="!!!",F1772="NEW"),"",INDEX(J$1:J1771,SUMPRODUCT(MAX(ROW(E$1:E1771)*(E1772=E$1:E1771)))))</f>
        <v/>
      </c>
      <c r="L1772" s="15"/>
    </row>
    <row r="1773" customFormat="false" ht="12.75" hidden="false" customHeight="false" outlineLevel="0" collapsed="false">
      <c r="A1773" s="0" t="s">
        <v>347</v>
      </c>
      <c r="E1773" s="9" t="str">
        <f aca="false">IF(D1773="?OLD","!!!","")</f>
        <v/>
      </c>
      <c r="F1773" s="10" t="str">
        <f aca="false">IF(OR(E1773="",E1773="!!!"),"",IF(NOT(ISNA(VLOOKUP(E1773,E$1:E1772,1,FALSE()))),"OLD",IF(AND(E1773&lt;&gt;"",E1773&lt;&gt;"!!!"),"NEW","")))</f>
        <v/>
      </c>
      <c r="G1773" s="11" t="str">
        <f aca="false">IF(OR(E1773="",E1773="!!!"),"",IF(OR(J1773=0,AND(J1773=1,K1773=1),AND(J1773=1,I1773="SBJ"),AND(J1773=1,I1773=0)),"?IN_FOCUS",IF(J1773&lt;=2,"?ACTIVATED",IF(J1773&lt;&gt;"","?FAMILIAR",IF(F1773="NEW",IF(ISNA(VLOOKUP(E1773,#REF!,1,FALSE())),"?TYPE_IDENTIFIABLE","?REFERENTIAL"),"_")))))</f>
        <v/>
      </c>
      <c r="H1773" s="12" t="str">
        <f aca="false">IF(J1773&lt;&gt;1,"",IF(I1773="SBJ","CB","?"))</f>
        <v/>
      </c>
      <c r="I1773" s="13" t="str">
        <f aca="false">IF(OR(E1773="",E1773="!!!",F1773="NEW"),"",INDEX(B$2:B1772,-1+SUMPRODUCT(MAX(ROW(E$2:E1772)*(E1773=E$2:E1772)))))</f>
        <v/>
      </c>
      <c r="J1773" s="14" t="str">
        <f aca="true">IF(OR(E1773="",E1773="!!!",F1773="NEW"),"",COUNTBLANK(OFFSET(A$1,,,SUMPRODUCT(MAX(ROW(E$2:E1773)*(E1773=E$2:E1773)))))-COUNTBLANK(OFFSET(A$1,,,SUMPRODUCT(MAX(ROW(E$1:E1772)*(E1773=E$1:E1772))))))</f>
        <v/>
      </c>
      <c r="K1773" s="14" t="str">
        <f aca="false">IF(OR(E1773="",E1773="!!!",F1773="NEW"),"",INDEX(J$1:J1772,SUMPRODUCT(MAX(ROW(E$1:E1772)*(E1773=E$1:E1772)))))</f>
        <v/>
      </c>
      <c r="L1773" s="15"/>
    </row>
    <row r="1774" customFormat="false" ht="12.75" hidden="false" customHeight="false" outlineLevel="0" collapsed="false">
      <c r="A1774" s="0" t="s">
        <v>737</v>
      </c>
      <c r="E1774" s="9" t="str">
        <f aca="false">IF(D1774="?OLD","!!!","")</f>
        <v/>
      </c>
      <c r="F1774" s="10" t="str">
        <f aca="false">IF(OR(E1774="",E1774="!!!"),"",IF(NOT(ISNA(VLOOKUP(E1774,E$1:E1773,1,FALSE()))),"OLD",IF(AND(E1774&lt;&gt;"",E1774&lt;&gt;"!!!"),"NEW","")))</f>
        <v/>
      </c>
      <c r="G1774" s="11" t="str">
        <f aca="false">IF(OR(E1774="",E1774="!!!"),"",IF(OR(J1774=0,AND(J1774=1,K1774=1),AND(J1774=1,I1774="SBJ"),AND(J1774=1,I1774=0)),"?IN_FOCUS",IF(J1774&lt;=2,"?ACTIVATED",IF(J1774&lt;&gt;"","?FAMILIAR",IF(F1774="NEW",IF(ISNA(VLOOKUP(E1774,#REF!,1,FALSE())),"?TYPE_IDENTIFIABLE","?REFERENTIAL"),"_")))))</f>
        <v/>
      </c>
      <c r="H1774" s="12" t="str">
        <f aca="false">IF(J1774&lt;&gt;1,"",IF(I1774="SBJ","CB","?"))</f>
        <v/>
      </c>
      <c r="I1774" s="13" t="str">
        <f aca="false">IF(OR(E1774="",E1774="!!!",F1774="NEW"),"",INDEX(B$2:B1773,-1+SUMPRODUCT(MAX(ROW(E$2:E1773)*(E1774=E$2:E1773)))))</f>
        <v/>
      </c>
      <c r="J1774" s="14" t="str">
        <f aca="true">IF(OR(E1774="",E1774="!!!",F1774="NEW"),"",COUNTBLANK(OFFSET(A$1,,,SUMPRODUCT(MAX(ROW(E$2:E1774)*(E1774=E$2:E1774)))))-COUNTBLANK(OFFSET(A$1,,,SUMPRODUCT(MAX(ROW(E$1:E1773)*(E1774=E$1:E1773))))))</f>
        <v/>
      </c>
      <c r="K1774" s="14" t="str">
        <f aca="false">IF(OR(E1774="",E1774="!!!",F1774="NEW"),"",INDEX(J$1:J1773,SUMPRODUCT(MAX(ROW(E$1:E1773)*(E1774=E$1:E1773)))))</f>
        <v/>
      </c>
      <c r="L1774" s="15"/>
    </row>
    <row r="1775" customFormat="false" ht="12.75" hidden="false" customHeight="false" outlineLevel="0" collapsed="false">
      <c r="A1775" s="0" t="s">
        <v>150</v>
      </c>
      <c r="B1775" s="0" t="s">
        <v>28</v>
      </c>
      <c r="C1775" s="0" t="s">
        <v>55</v>
      </c>
      <c r="D1775" s="0" t="s">
        <v>29</v>
      </c>
      <c r="E1775" s="9" t="str">
        <f aca="false">IF(D1775="?OLD","!!!","")</f>
        <v>!!!</v>
      </c>
      <c r="F1775" s="10" t="str">
        <f aca="false">IF(OR(E1775="",E1775="!!!"),"",IF(NOT(ISNA(VLOOKUP(E1775,E$1:E1774,1,FALSE()))),"OLD",IF(AND(E1775&lt;&gt;"",E1775&lt;&gt;"!!!"),"NEW","")))</f>
        <v/>
      </c>
      <c r="G1775" s="11" t="str">
        <f aca="false">IF(OR(E1775="",E1775="!!!"),"",IF(OR(J1775=0,AND(J1775=1,K1775=1),AND(J1775=1,I1775="SBJ"),AND(J1775=1,I1775=0)),"?IN_FOCUS",IF(J1775&lt;=2,"?ACTIVATED",IF(J1775&lt;&gt;"","?FAMILIAR",IF(F1775="NEW",IF(ISNA(VLOOKUP(E1775,#REF!,1,FALSE())),"?TYPE_IDENTIFIABLE","?REFERENTIAL"),"_")))))</f>
        <v/>
      </c>
      <c r="H1775" s="12" t="str">
        <f aca="false">IF(J1775&lt;&gt;1,"",IF(I1775="SBJ","CB","?"))</f>
        <v/>
      </c>
      <c r="I1775" s="13" t="str">
        <f aca="false">IF(OR(E1775="",E1775="!!!",F1775="NEW"),"",INDEX(B$2:B1774,-1+SUMPRODUCT(MAX(ROW(E$2:E1774)*(E1775=E$2:E1774)))))</f>
        <v/>
      </c>
      <c r="J1775" s="14" t="str">
        <f aca="true">IF(OR(E1775="",E1775="!!!",F1775="NEW"),"",COUNTBLANK(OFFSET(A$1,,,SUMPRODUCT(MAX(ROW(E$2:E1775)*(E1775=E$2:E1775)))))-COUNTBLANK(OFFSET(A$1,,,SUMPRODUCT(MAX(ROW(E$1:E1774)*(E1775=E$1:E1774))))))</f>
        <v/>
      </c>
      <c r="K1775" s="14" t="str">
        <f aca="false">IF(OR(E1775="",E1775="!!!",F1775="NEW"),"",INDEX(J$1:J1774,SUMPRODUCT(MAX(ROW(E$1:E1774)*(E1775=E$1:E1774)))))</f>
        <v/>
      </c>
      <c r="L1775" s="15"/>
    </row>
    <row r="1776" customFormat="false" ht="12.75" hidden="false" customHeight="false" outlineLevel="0" collapsed="false">
      <c r="A1776" s="0" t="s">
        <v>711</v>
      </c>
      <c r="B1776" s="0" t="s">
        <v>37</v>
      </c>
      <c r="C1776" s="0" t="s">
        <v>15</v>
      </c>
      <c r="D1776" s="0" t="s">
        <v>29</v>
      </c>
      <c r="E1776" s="9" t="str">
        <f aca="false">IF(D1776="?OLD","!!!","")</f>
        <v>!!!</v>
      </c>
      <c r="F1776" s="10" t="str">
        <f aca="false">IF(OR(E1776="",E1776="!!!"),"",IF(NOT(ISNA(VLOOKUP(E1776,E$1:E1775,1,FALSE()))),"OLD",IF(AND(E1776&lt;&gt;"",E1776&lt;&gt;"!!!"),"NEW","")))</f>
        <v/>
      </c>
      <c r="G1776" s="11" t="str">
        <f aca="false">IF(OR(E1776="",E1776="!!!"),"",IF(OR(J1776=0,AND(J1776=1,K1776=1),AND(J1776=1,I1776="SBJ"),AND(J1776=1,I1776=0)),"?IN_FOCUS",IF(J1776&lt;=2,"?ACTIVATED",IF(J1776&lt;&gt;"","?FAMILIAR",IF(F1776="NEW",IF(ISNA(VLOOKUP(E1776,#REF!,1,FALSE())),"?TYPE_IDENTIFIABLE","?REFERENTIAL"),"_")))))</f>
        <v/>
      </c>
      <c r="H1776" s="12" t="str">
        <f aca="false">IF(J1776&lt;&gt;1,"",IF(I1776="SBJ","CB","?"))</f>
        <v/>
      </c>
      <c r="I1776" s="13" t="str">
        <f aca="false">IF(OR(E1776="",E1776="!!!",F1776="NEW"),"",INDEX(B$2:B1775,-1+SUMPRODUCT(MAX(ROW(E$2:E1775)*(E1776=E$2:E1775)))))</f>
        <v/>
      </c>
      <c r="J1776" s="14" t="str">
        <f aca="true">IF(OR(E1776="",E1776="!!!",F1776="NEW"),"",COUNTBLANK(OFFSET(A$1,,,SUMPRODUCT(MAX(ROW(E$2:E1776)*(E1776=E$2:E1776)))))-COUNTBLANK(OFFSET(A$1,,,SUMPRODUCT(MAX(ROW(E$1:E1775)*(E1776=E$1:E1775))))))</f>
        <v/>
      </c>
      <c r="K1776" s="14" t="str">
        <f aca="false">IF(OR(E1776="",E1776="!!!",F1776="NEW"),"",INDEX(J$1:J1775,SUMPRODUCT(MAX(ROW(E$1:E1775)*(E1776=E$1:E1775)))))</f>
        <v/>
      </c>
      <c r="L1776" s="15"/>
    </row>
    <row r="1777" customFormat="false" ht="12.75" hidden="false" customHeight="false" outlineLevel="0" collapsed="false">
      <c r="A1777" s="0" t="s">
        <v>534</v>
      </c>
      <c r="E1777" s="9" t="str">
        <f aca="false">IF(D1777="?OLD","!!!","")</f>
        <v/>
      </c>
      <c r="F1777" s="10" t="str">
        <f aca="false">IF(OR(E1777="",E1777="!!!"),"",IF(NOT(ISNA(VLOOKUP(E1777,E$1:E1776,1,FALSE()))),"OLD",IF(AND(E1777&lt;&gt;"",E1777&lt;&gt;"!!!"),"NEW","")))</f>
        <v/>
      </c>
      <c r="G1777" s="11" t="str">
        <f aca="false">IF(OR(E1777="",E1777="!!!"),"",IF(OR(J1777=0,AND(J1777=1,K1777=1),AND(J1777=1,I1777="SBJ"),AND(J1777=1,I1777=0)),"?IN_FOCUS",IF(J1777&lt;=2,"?ACTIVATED",IF(J1777&lt;&gt;"","?FAMILIAR",IF(F1777="NEW",IF(ISNA(VLOOKUP(E1777,#REF!,1,FALSE())),"?TYPE_IDENTIFIABLE","?REFERENTIAL"),"_")))))</f>
        <v/>
      </c>
      <c r="H1777" s="12" t="str">
        <f aca="false">IF(J1777&lt;&gt;1,"",IF(I1777="SBJ","CB","?"))</f>
        <v/>
      </c>
      <c r="I1777" s="13" t="str">
        <f aca="false">IF(OR(E1777="",E1777="!!!",F1777="NEW"),"",INDEX(B$2:B1776,-1+SUMPRODUCT(MAX(ROW(E$2:E1776)*(E1777=E$2:E1776)))))</f>
        <v/>
      </c>
      <c r="J1777" s="14" t="str">
        <f aca="true">IF(OR(E1777="",E1777="!!!",F1777="NEW"),"",COUNTBLANK(OFFSET(A$1,,,SUMPRODUCT(MAX(ROW(E$2:E1777)*(E1777=E$2:E1777)))))-COUNTBLANK(OFFSET(A$1,,,SUMPRODUCT(MAX(ROW(E$1:E1776)*(E1777=E$1:E1776))))))</f>
        <v/>
      </c>
      <c r="K1777" s="14" t="str">
        <f aca="false">IF(OR(E1777="",E1777="!!!",F1777="NEW"),"",INDEX(J$1:J1776,SUMPRODUCT(MAX(ROW(E$1:E1776)*(E1777=E$1:E1776)))))</f>
        <v/>
      </c>
      <c r="L1777" s="15"/>
    </row>
    <row r="1778" customFormat="false" ht="12.75" hidden="false" customHeight="false" outlineLevel="0" collapsed="false">
      <c r="A1778" s="0" t="s">
        <v>147</v>
      </c>
      <c r="B1778" s="0" t="s">
        <v>42</v>
      </c>
      <c r="C1778" s="0" t="s">
        <v>38</v>
      </c>
      <c r="D1778" s="0" t="s">
        <v>29</v>
      </c>
      <c r="E1778" s="9" t="str">
        <f aca="false">IF(D1778="?OLD","!!!","")</f>
        <v>!!!</v>
      </c>
      <c r="F1778" s="10" t="str">
        <f aca="false">IF(OR(E1778="",E1778="!!!"),"",IF(NOT(ISNA(VLOOKUP(E1778,E$1:E1777,1,FALSE()))),"OLD",IF(AND(E1778&lt;&gt;"",E1778&lt;&gt;"!!!"),"NEW","")))</f>
        <v/>
      </c>
      <c r="G1778" s="11" t="str">
        <f aca="false">IF(OR(E1778="",E1778="!!!"),"",IF(OR(J1778=0,AND(J1778=1,K1778=1),AND(J1778=1,I1778="SBJ"),AND(J1778=1,I1778=0)),"?IN_FOCUS",IF(J1778&lt;=2,"?ACTIVATED",IF(J1778&lt;&gt;"","?FAMILIAR",IF(F1778="NEW",IF(ISNA(VLOOKUP(E1778,#REF!,1,FALSE())),"?TYPE_IDENTIFIABLE","?REFERENTIAL"),"_")))))</f>
        <v/>
      </c>
      <c r="H1778" s="12" t="str">
        <f aca="false">IF(J1778&lt;&gt;1,"",IF(I1778="SBJ","CB","?"))</f>
        <v/>
      </c>
      <c r="I1778" s="13" t="str">
        <f aca="false">IF(OR(E1778="",E1778="!!!",F1778="NEW"),"",INDEX(B$2:B1777,-1+SUMPRODUCT(MAX(ROW(E$2:E1777)*(E1778=E$2:E1777)))))</f>
        <v/>
      </c>
      <c r="J1778" s="14" t="str">
        <f aca="true">IF(OR(E1778="",E1778="!!!",F1778="NEW"),"",COUNTBLANK(OFFSET(A$1,,,SUMPRODUCT(MAX(ROW(E$2:E1778)*(E1778=E$2:E1778)))))-COUNTBLANK(OFFSET(A$1,,,SUMPRODUCT(MAX(ROW(E$1:E1777)*(E1778=E$1:E1777))))))</f>
        <v/>
      </c>
      <c r="K1778" s="14" t="str">
        <f aca="false">IF(OR(E1778="",E1778="!!!",F1778="NEW"),"",INDEX(J$1:J1777,SUMPRODUCT(MAX(ROW(E$1:E1777)*(E1778=E$1:E1777)))))</f>
        <v/>
      </c>
      <c r="L1778" s="15"/>
    </row>
    <row r="1779" customFormat="false" ht="12.75" hidden="false" customHeight="false" outlineLevel="0" collapsed="false">
      <c r="A1779" s="0" t="s">
        <v>294</v>
      </c>
      <c r="E1779" s="9" t="str">
        <f aca="false">IF(D1779="?OLD","!!!","")</f>
        <v/>
      </c>
      <c r="F1779" s="10" t="str">
        <f aca="false">IF(OR(E1779="",E1779="!!!"),"",IF(NOT(ISNA(VLOOKUP(E1779,E$1:E1778,1,FALSE()))),"OLD",IF(AND(E1779&lt;&gt;"",E1779&lt;&gt;"!!!"),"NEW","")))</f>
        <v/>
      </c>
      <c r="G1779" s="11" t="str">
        <f aca="false">IF(OR(E1779="",E1779="!!!"),"",IF(OR(J1779=0,AND(J1779=1,K1779=1),AND(J1779=1,I1779="SBJ"),AND(J1779=1,I1779=0)),"?IN_FOCUS",IF(J1779&lt;=2,"?ACTIVATED",IF(J1779&lt;&gt;"","?FAMILIAR",IF(F1779="NEW",IF(ISNA(VLOOKUP(E1779,#REF!,1,FALSE())),"?TYPE_IDENTIFIABLE","?REFERENTIAL"),"_")))))</f>
        <v/>
      </c>
      <c r="H1779" s="12" t="str">
        <f aca="false">IF(J1779&lt;&gt;1,"",IF(I1779="SBJ","CB","?"))</f>
        <v/>
      </c>
      <c r="I1779" s="13" t="str">
        <f aca="false">IF(OR(E1779="",E1779="!!!",F1779="NEW"),"",INDEX(B$2:B1778,-1+SUMPRODUCT(MAX(ROW(E$2:E1778)*(E1779=E$2:E1778)))))</f>
        <v/>
      </c>
      <c r="J1779" s="14" t="str">
        <f aca="true">IF(OR(E1779="",E1779="!!!",F1779="NEW"),"",COUNTBLANK(OFFSET(A$1,,,SUMPRODUCT(MAX(ROW(E$2:E1779)*(E1779=E$2:E1779)))))-COUNTBLANK(OFFSET(A$1,,,SUMPRODUCT(MAX(ROW(E$1:E1778)*(E1779=E$1:E1778))))))</f>
        <v/>
      </c>
      <c r="K1779" s="14" t="str">
        <f aca="false">IF(OR(E1779="",E1779="!!!",F1779="NEW"),"",INDEX(J$1:J1778,SUMPRODUCT(MAX(ROW(E$1:E1778)*(E1779=E$1:E1778)))))</f>
        <v/>
      </c>
      <c r="L1779" s="15"/>
    </row>
    <row r="1780" customFormat="false" ht="12.75" hidden="false" customHeight="false" outlineLevel="0" collapsed="false">
      <c r="A1780" s="0" t="s">
        <v>73</v>
      </c>
      <c r="E1780" s="9" t="str">
        <f aca="false">IF(D1780="?OLD","!!!","")</f>
        <v/>
      </c>
      <c r="F1780" s="10" t="str">
        <f aca="false">IF(OR(E1780="",E1780="!!!"),"",IF(NOT(ISNA(VLOOKUP(E1780,E$1:E1779,1,FALSE()))),"OLD",IF(AND(E1780&lt;&gt;"",E1780&lt;&gt;"!!!"),"NEW","")))</f>
        <v/>
      </c>
      <c r="G1780" s="11" t="str">
        <f aca="false">IF(OR(E1780="",E1780="!!!"),"",IF(OR(J1780=0,AND(J1780=1,K1780=1),AND(J1780=1,I1780="SBJ"),AND(J1780=1,I1780=0)),"?IN_FOCUS",IF(J1780&lt;=2,"?ACTIVATED",IF(J1780&lt;&gt;"","?FAMILIAR",IF(F1780="NEW",IF(ISNA(VLOOKUP(E1780,#REF!,1,FALSE())),"?TYPE_IDENTIFIABLE","?REFERENTIAL"),"_")))))</f>
        <v/>
      </c>
      <c r="H1780" s="12" t="str">
        <f aca="false">IF(J1780&lt;&gt;1,"",IF(I1780="SBJ","CB","?"))</f>
        <v/>
      </c>
      <c r="I1780" s="13" t="str">
        <f aca="false">IF(OR(E1780="",E1780="!!!",F1780="NEW"),"",INDEX(B$2:B1779,-1+SUMPRODUCT(MAX(ROW(E$2:E1779)*(E1780=E$2:E1779)))))</f>
        <v/>
      </c>
      <c r="J1780" s="14" t="str">
        <f aca="true">IF(OR(E1780="",E1780="!!!",F1780="NEW"),"",COUNTBLANK(OFFSET(A$1,,,SUMPRODUCT(MAX(ROW(E$2:E1780)*(E1780=E$2:E1780)))))-COUNTBLANK(OFFSET(A$1,,,SUMPRODUCT(MAX(ROW(E$1:E1779)*(E1780=E$1:E1779))))))</f>
        <v/>
      </c>
      <c r="K1780" s="14" t="str">
        <f aca="false">IF(OR(E1780="",E1780="!!!",F1780="NEW"),"",INDEX(J$1:J1779,SUMPRODUCT(MAX(ROW(E$1:E1779)*(E1780=E$1:E1779)))))</f>
        <v/>
      </c>
      <c r="L1780" s="15"/>
    </row>
    <row r="1781" customFormat="false" ht="12.75" hidden="false" customHeight="false" outlineLevel="0" collapsed="false">
      <c r="A1781" s="0" t="s">
        <v>262</v>
      </c>
      <c r="E1781" s="9" t="str">
        <f aca="false">IF(D1781="?OLD","!!!","")</f>
        <v/>
      </c>
      <c r="F1781" s="10" t="str">
        <f aca="false">IF(OR(E1781="",E1781="!!!"),"",IF(NOT(ISNA(VLOOKUP(E1781,E$1:E1780,1,FALSE()))),"OLD",IF(AND(E1781&lt;&gt;"",E1781&lt;&gt;"!!!"),"NEW","")))</f>
        <v/>
      </c>
      <c r="G1781" s="11" t="str">
        <f aca="false">IF(OR(E1781="",E1781="!!!"),"",IF(OR(J1781=0,AND(J1781=1,K1781=1),AND(J1781=1,I1781="SBJ"),AND(J1781=1,I1781=0)),"?IN_FOCUS",IF(J1781&lt;=2,"?ACTIVATED",IF(J1781&lt;&gt;"","?FAMILIAR",IF(F1781="NEW",IF(ISNA(VLOOKUP(E1781,#REF!,1,FALSE())),"?TYPE_IDENTIFIABLE","?REFERENTIAL"),"_")))))</f>
        <v/>
      </c>
      <c r="H1781" s="12" t="str">
        <f aca="false">IF(J1781&lt;&gt;1,"",IF(I1781="SBJ","CB","?"))</f>
        <v/>
      </c>
      <c r="I1781" s="13" t="str">
        <f aca="false">IF(OR(E1781="",E1781="!!!",F1781="NEW"),"",INDEX(B$2:B1780,-1+SUMPRODUCT(MAX(ROW(E$2:E1780)*(E1781=E$2:E1780)))))</f>
        <v/>
      </c>
      <c r="J1781" s="14" t="str">
        <f aca="true">IF(OR(E1781="",E1781="!!!",F1781="NEW"),"",COUNTBLANK(OFFSET(A$1,,,SUMPRODUCT(MAX(ROW(E$2:E1781)*(E1781=E$2:E1781)))))-COUNTBLANK(OFFSET(A$1,,,SUMPRODUCT(MAX(ROW(E$1:E1780)*(E1781=E$1:E1780))))))</f>
        <v/>
      </c>
      <c r="K1781" s="14" t="str">
        <f aca="false">IF(OR(E1781="",E1781="!!!",F1781="NEW"),"",INDEX(J$1:J1780,SUMPRODUCT(MAX(ROW(E$1:E1780)*(E1781=E$1:E1780)))))</f>
        <v/>
      </c>
      <c r="L1781" s="15"/>
    </row>
    <row r="1782" customFormat="false" ht="12.75" hidden="false" customHeight="false" outlineLevel="0" collapsed="false">
      <c r="E1782" s="9" t="str">
        <f aca="false">IF(D1782="?OLD","!!!","")</f>
        <v/>
      </c>
      <c r="F1782" s="10" t="str">
        <f aca="false">IF(OR(E1782="",E1782="!!!"),"",IF(NOT(ISNA(VLOOKUP(E1782,E$1:E1781,1,FALSE()))),"OLD",IF(AND(E1782&lt;&gt;"",E1782&lt;&gt;"!!!"),"NEW","")))</f>
        <v/>
      </c>
      <c r="G1782" s="11" t="str">
        <f aca="false">IF(OR(E1782="",E1782="!!!"),"",IF(OR(J1782=0,AND(J1782=1,K1782=1),AND(J1782=1,I1782="SBJ"),AND(J1782=1,I1782=0)),"?IN_FOCUS",IF(J1782&lt;=2,"?ACTIVATED",IF(J1782&lt;&gt;"","?FAMILIAR",IF(F1782="NEW",IF(ISNA(VLOOKUP(E1782,#REF!,1,FALSE())),"?TYPE_IDENTIFIABLE","?REFERENTIAL"),"_")))))</f>
        <v/>
      </c>
      <c r="H1782" s="12" t="str">
        <f aca="false">IF(J1782&lt;&gt;1,"",IF(I1782="SBJ","CB","?"))</f>
        <v/>
      </c>
      <c r="I1782" s="13" t="str">
        <f aca="false">IF(OR(E1782="",E1782="!!!",F1782="NEW"),"",INDEX(B$2:B1781,-1+SUMPRODUCT(MAX(ROW(E$2:E1781)*(E1782=E$2:E1781)))))</f>
        <v/>
      </c>
      <c r="J1782" s="14" t="str">
        <f aca="true">IF(OR(E1782="",E1782="!!!",F1782="NEW"),"",COUNTBLANK(OFFSET(A$1,,,SUMPRODUCT(MAX(ROW(E$2:E1782)*(E1782=E$2:E1782)))))-COUNTBLANK(OFFSET(A$1,,,SUMPRODUCT(MAX(ROW(E$1:E1781)*(E1782=E$1:E1781))))))</f>
        <v/>
      </c>
      <c r="K1782" s="14" t="str">
        <f aca="false">IF(OR(E1782="",E1782="!!!",F1782="NEW"),"",INDEX(J$1:J1781,SUMPRODUCT(MAX(ROW(E$1:E1781)*(E1782=E$1:E1781)))))</f>
        <v/>
      </c>
      <c r="L1782" s="15"/>
    </row>
    <row r="1783" customFormat="false" ht="12.75" hidden="false" customHeight="false" outlineLevel="0" collapsed="false">
      <c r="A1783" s="0" t="s">
        <v>738</v>
      </c>
      <c r="E1783" s="9" t="str">
        <f aca="false">IF(D1783="?OLD","!!!","")</f>
        <v/>
      </c>
      <c r="F1783" s="10" t="str">
        <f aca="false">IF(OR(E1783="",E1783="!!!"),"",IF(NOT(ISNA(VLOOKUP(E1783,E$1:E1782,1,FALSE()))),"OLD",IF(AND(E1783&lt;&gt;"",E1783&lt;&gt;"!!!"),"NEW","")))</f>
        <v/>
      </c>
      <c r="G1783" s="11" t="str">
        <f aca="false">IF(OR(E1783="",E1783="!!!"),"",IF(OR(J1783=0,AND(J1783=1,K1783=1),AND(J1783=1,I1783="SBJ"),AND(J1783=1,I1783=0)),"?IN_FOCUS",IF(J1783&lt;=2,"?ACTIVATED",IF(J1783&lt;&gt;"","?FAMILIAR",IF(F1783="NEW",IF(ISNA(VLOOKUP(E1783,#REF!,1,FALSE())),"?TYPE_IDENTIFIABLE","?REFERENTIAL"),"_")))))</f>
        <v/>
      </c>
      <c r="H1783" s="12" t="str">
        <f aca="false">IF(J1783&lt;&gt;1,"",IF(I1783="SBJ","CB","?"))</f>
        <v/>
      </c>
      <c r="I1783" s="13" t="str">
        <f aca="false">IF(OR(E1783="",E1783="!!!",F1783="NEW"),"",INDEX(B$2:B1782,-1+SUMPRODUCT(MAX(ROW(E$2:E1782)*(E1783=E$2:E1782)))))</f>
        <v/>
      </c>
      <c r="J1783" s="14" t="str">
        <f aca="true">IF(OR(E1783="",E1783="!!!",F1783="NEW"),"",COUNTBLANK(OFFSET(A$1,,,SUMPRODUCT(MAX(ROW(E$2:E1783)*(E1783=E$2:E1783)))))-COUNTBLANK(OFFSET(A$1,,,SUMPRODUCT(MAX(ROW(E$1:E1782)*(E1783=E$1:E1782))))))</f>
        <v/>
      </c>
      <c r="K1783" s="14" t="str">
        <f aca="false">IF(OR(E1783="",E1783="!!!",F1783="NEW"),"",INDEX(J$1:J1782,SUMPRODUCT(MAX(ROW(E$1:E1782)*(E1783=E$1:E1782)))))</f>
        <v/>
      </c>
      <c r="L1783" s="15"/>
    </row>
    <row r="1784" customFormat="false" ht="12.75" hidden="false" customHeight="false" outlineLevel="0" collapsed="false">
      <c r="A1784" s="0" t="s">
        <v>525</v>
      </c>
      <c r="B1784" s="0" t="s">
        <v>14</v>
      </c>
      <c r="C1784" s="0" t="s">
        <v>38</v>
      </c>
      <c r="D1784" s="0" t="s">
        <v>29</v>
      </c>
      <c r="E1784" s="9" t="str">
        <f aca="false">IF(D1784="?OLD","!!!","")</f>
        <v>!!!</v>
      </c>
      <c r="F1784" s="10" t="str">
        <f aca="false">IF(OR(E1784="",E1784="!!!"),"",IF(NOT(ISNA(VLOOKUP(E1784,E$1:E1783,1,FALSE()))),"OLD",IF(AND(E1784&lt;&gt;"",E1784&lt;&gt;"!!!"),"NEW","")))</f>
        <v/>
      </c>
      <c r="G1784" s="11" t="str">
        <f aca="false">IF(OR(E1784="",E1784="!!!"),"",IF(OR(J1784=0,AND(J1784=1,K1784=1),AND(J1784=1,I1784="SBJ"),AND(J1784=1,I1784=0)),"?IN_FOCUS",IF(J1784&lt;=2,"?ACTIVATED",IF(J1784&lt;&gt;"","?FAMILIAR",IF(F1784="NEW",IF(ISNA(VLOOKUP(E1784,#REF!,1,FALSE())),"?TYPE_IDENTIFIABLE","?REFERENTIAL"),"_")))))</f>
        <v/>
      </c>
      <c r="H1784" s="12" t="str">
        <f aca="false">IF(J1784&lt;&gt;1,"",IF(I1784="SBJ","CB","?"))</f>
        <v/>
      </c>
      <c r="I1784" s="13" t="str">
        <f aca="false">IF(OR(E1784="",E1784="!!!",F1784="NEW"),"",INDEX(B$2:B1783,-1+SUMPRODUCT(MAX(ROW(E$2:E1783)*(E1784=E$2:E1783)))))</f>
        <v/>
      </c>
      <c r="J1784" s="14" t="str">
        <f aca="true">IF(OR(E1784="",E1784="!!!",F1784="NEW"),"",COUNTBLANK(OFFSET(A$1,,,SUMPRODUCT(MAX(ROW(E$2:E1784)*(E1784=E$2:E1784)))))-COUNTBLANK(OFFSET(A$1,,,SUMPRODUCT(MAX(ROW(E$1:E1783)*(E1784=E$1:E1783))))))</f>
        <v/>
      </c>
      <c r="K1784" s="14" t="str">
        <f aca="false">IF(OR(E1784="",E1784="!!!",F1784="NEW"),"",INDEX(J$1:J1783,SUMPRODUCT(MAX(ROW(E$1:E1783)*(E1784=E$1:E1783)))))</f>
        <v/>
      </c>
      <c r="L1784" s="15"/>
    </row>
    <row r="1785" customFormat="false" ht="12.75" hidden="false" customHeight="false" outlineLevel="0" collapsed="false">
      <c r="A1785" s="0" t="s">
        <v>739</v>
      </c>
      <c r="E1785" s="9" t="str">
        <f aca="false">IF(D1785="?OLD","!!!","")</f>
        <v/>
      </c>
      <c r="F1785" s="10" t="str">
        <f aca="false">IF(OR(E1785="",E1785="!!!"),"",IF(NOT(ISNA(VLOOKUP(E1785,E$1:E1784,1,FALSE()))),"OLD",IF(AND(E1785&lt;&gt;"",E1785&lt;&gt;"!!!"),"NEW","")))</f>
        <v/>
      </c>
      <c r="G1785" s="11" t="str">
        <f aca="false">IF(OR(E1785="",E1785="!!!"),"",IF(OR(J1785=0,AND(J1785=1,K1785=1),AND(J1785=1,I1785="SBJ"),AND(J1785=1,I1785=0)),"?IN_FOCUS",IF(J1785&lt;=2,"?ACTIVATED",IF(J1785&lt;&gt;"","?FAMILIAR",IF(F1785="NEW",IF(ISNA(VLOOKUP(E1785,#REF!,1,FALSE())),"?TYPE_IDENTIFIABLE","?REFERENTIAL"),"_")))))</f>
        <v/>
      </c>
      <c r="H1785" s="12" t="str">
        <f aca="false">IF(J1785&lt;&gt;1,"",IF(I1785="SBJ","CB","?"))</f>
        <v/>
      </c>
      <c r="I1785" s="13" t="str">
        <f aca="false">IF(OR(E1785="",E1785="!!!",F1785="NEW"),"",INDEX(B$2:B1784,-1+SUMPRODUCT(MAX(ROW(E$2:E1784)*(E1785=E$2:E1784)))))</f>
        <v/>
      </c>
      <c r="J1785" s="14" t="str">
        <f aca="true">IF(OR(E1785="",E1785="!!!",F1785="NEW"),"",COUNTBLANK(OFFSET(A$1,,,SUMPRODUCT(MAX(ROW(E$2:E1785)*(E1785=E$2:E1785)))))-COUNTBLANK(OFFSET(A$1,,,SUMPRODUCT(MAX(ROW(E$1:E1784)*(E1785=E$1:E1784))))))</f>
        <v/>
      </c>
      <c r="K1785" s="14" t="str">
        <f aca="false">IF(OR(E1785="",E1785="!!!",F1785="NEW"),"",INDEX(J$1:J1784,SUMPRODUCT(MAX(ROW(E$1:E1784)*(E1785=E$1:E1784)))))</f>
        <v/>
      </c>
      <c r="L1785" s="15"/>
    </row>
    <row r="1786" customFormat="false" ht="12.75" hidden="false" customHeight="false" outlineLevel="0" collapsed="false">
      <c r="A1786" s="0" t="s">
        <v>183</v>
      </c>
      <c r="E1786" s="9" t="str">
        <f aca="false">IF(D1786="?OLD","!!!","")</f>
        <v/>
      </c>
      <c r="F1786" s="10" t="str">
        <f aca="false">IF(OR(E1786="",E1786="!!!"),"",IF(NOT(ISNA(VLOOKUP(E1786,E$1:E1785,1,FALSE()))),"OLD",IF(AND(E1786&lt;&gt;"",E1786&lt;&gt;"!!!"),"NEW","")))</f>
        <v/>
      </c>
      <c r="G1786" s="11" t="str">
        <f aca="false">IF(OR(E1786="",E1786="!!!"),"",IF(OR(J1786=0,AND(J1786=1,K1786=1),AND(J1786=1,I1786="SBJ"),AND(J1786=1,I1786=0)),"?IN_FOCUS",IF(J1786&lt;=2,"?ACTIVATED",IF(J1786&lt;&gt;"","?FAMILIAR",IF(F1786="NEW",IF(ISNA(VLOOKUP(E1786,#REF!,1,FALSE())),"?TYPE_IDENTIFIABLE","?REFERENTIAL"),"_")))))</f>
        <v/>
      </c>
      <c r="H1786" s="12" t="str">
        <f aca="false">IF(J1786&lt;&gt;1,"",IF(I1786="SBJ","CB","?"))</f>
        <v/>
      </c>
      <c r="I1786" s="13" t="str">
        <f aca="false">IF(OR(E1786="",E1786="!!!",F1786="NEW"),"",INDEX(B$2:B1785,-1+SUMPRODUCT(MAX(ROW(E$2:E1785)*(E1786=E$2:E1785)))))</f>
        <v/>
      </c>
      <c r="J1786" s="14" t="str">
        <f aca="true">IF(OR(E1786="",E1786="!!!",F1786="NEW"),"",COUNTBLANK(OFFSET(A$1,,,SUMPRODUCT(MAX(ROW(E$2:E1786)*(E1786=E$2:E1786)))))-COUNTBLANK(OFFSET(A$1,,,SUMPRODUCT(MAX(ROW(E$1:E1785)*(E1786=E$1:E1785))))))</f>
        <v/>
      </c>
      <c r="K1786" s="14" t="str">
        <f aca="false">IF(OR(E1786="",E1786="!!!",F1786="NEW"),"",INDEX(J$1:J1785,SUMPRODUCT(MAX(ROW(E$1:E1785)*(E1786=E$1:E1785)))))</f>
        <v/>
      </c>
      <c r="L1786" s="15"/>
    </row>
    <row r="1787" customFormat="false" ht="12.75" hidden="false" customHeight="false" outlineLevel="0" collapsed="false">
      <c r="A1787" s="0" t="s">
        <v>53</v>
      </c>
      <c r="B1787" s="0" t="s">
        <v>28</v>
      </c>
      <c r="C1787" s="0" t="s">
        <v>55</v>
      </c>
      <c r="D1787" s="0" t="s">
        <v>29</v>
      </c>
      <c r="E1787" s="9" t="str">
        <f aca="false">IF(D1787="?OLD","!!!","")</f>
        <v>!!!</v>
      </c>
      <c r="F1787" s="10" t="str">
        <f aca="false">IF(OR(E1787="",E1787="!!!"),"",IF(NOT(ISNA(VLOOKUP(E1787,E$1:E1786,1,FALSE()))),"OLD",IF(AND(E1787&lt;&gt;"",E1787&lt;&gt;"!!!"),"NEW","")))</f>
        <v/>
      </c>
      <c r="G1787" s="11" t="str">
        <f aca="false">IF(OR(E1787="",E1787="!!!"),"",IF(OR(J1787=0,AND(J1787=1,K1787=1),AND(J1787=1,I1787="SBJ"),AND(J1787=1,I1787=0)),"?IN_FOCUS",IF(J1787&lt;=2,"?ACTIVATED",IF(J1787&lt;&gt;"","?FAMILIAR",IF(F1787="NEW",IF(ISNA(VLOOKUP(E1787,#REF!,1,FALSE())),"?TYPE_IDENTIFIABLE","?REFERENTIAL"),"_")))))</f>
        <v/>
      </c>
      <c r="H1787" s="12" t="str">
        <f aca="false">IF(J1787&lt;&gt;1,"",IF(I1787="SBJ","CB","?"))</f>
        <v/>
      </c>
      <c r="I1787" s="13" t="str">
        <f aca="false">IF(OR(E1787="",E1787="!!!",F1787="NEW"),"",INDEX(B$2:B1786,-1+SUMPRODUCT(MAX(ROW(E$2:E1786)*(E1787=E$2:E1786)))))</f>
        <v/>
      </c>
      <c r="J1787" s="14" t="str">
        <f aca="true">IF(OR(E1787="",E1787="!!!",F1787="NEW"),"",COUNTBLANK(OFFSET(A$1,,,SUMPRODUCT(MAX(ROW(E$2:E1787)*(E1787=E$2:E1787)))))-COUNTBLANK(OFFSET(A$1,,,SUMPRODUCT(MAX(ROW(E$1:E1786)*(E1787=E$1:E1786))))))</f>
        <v/>
      </c>
      <c r="K1787" s="14" t="str">
        <f aca="false">IF(OR(E1787="",E1787="!!!",F1787="NEW"),"",INDEX(J$1:J1786,SUMPRODUCT(MAX(ROW(E$1:E1786)*(E1787=E$1:E1786)))))</f>
        <v/>
      </c>
      <c r="L1787" s="15"/>
    </row>
    <row r="1788" customFormat="false" ht="12.75" hidden="false" customHeight="false" outlineLevel="0" collapsed="false">
      <c r="A1788" s="0" t="s">
        <v>740</v>
      </c>
      <c r="B1788" s="0" t="s">
        <v>62</v>
      </c>
      <c r="C1788" s="0" t="s">
        <v>15</v>
      </c>
      <c r="D1788" s="0" t="s">
        <v>29</v>
      </c>
      <c r="E1788" s="9" t="str">
        <f aca="false">IF(D1788="?OLD","!!!","")</f>
        <v>!!!</v>
      </c>
      <c r="F1788" s="10" t="str">
        <f aca="false">IF(OR(E1788="",E1788="!!!"),"",IF(NOT(ISNA(VLOOKUP(E1788,E$1:E1787,1,FALSE()))),"OLD",IF(AND(E1788&lt;&gt;"",E1788&lt;&gt;"!!!"),"NEW","")))</f>
        <v/>
      </c>
      <c r="G1788" s="11" t="str">
        <f aca="false">IF(OR(E1788="",E1788="!!!"),"",IF(OR(J1788=0,AND(J1788=1,K1788=1),AND(J1788=1,I1788="SBJ"),AND(J1788=1,I1788=0)),"?IN_FOCUS",IF(J1788&lt;=2,"?ACTIVATED",IF(J1788&lt;&gt;"","?FAMILIAR",IF(F1788="NEW",IF(ISNA(VLOOKUP(E1788,#REF!,1,FALSE())),"?TYPE_IDENTIFIABLE","?REFERENTIAL"),"_")))))</f>
        <v/>
      </c>
      <c r="H1788" s="12" t="str">
        <f aca="false">IF(J1788&lt;&gt;1,"",IF(I1788="SBJ","CB","?"))</f>
        <v/>
      </c>
      <c r="I1788" s="13" t="str">
        <f aca="false">IF(OR(E1788="",E1788="!!!",F1788="NEW"),"",INDEX(B$2:B1787,-1+SUMPRODUCT(MAX(ROW(E$2:E1787)*(E1788=E$2:E1787)))))</f>
        <v/>
      </c>
      <c r="J1788" s="14" t="str">
        <f aca="true">IF(OR(E1788="",E1788="!!!",F1788="NEW"),"",COUNTBLANK(OFFSET(A$1,,,SUMPRODUCT(MAX(ROW(E$2:E1788)*(E1788=E$2:E1788)))))-COUNTBLANK(OFFSET(A$1,,,SUMPRODUCT(MAX(ROW(E$1:E1787)*(E1788=E$1:E1787))))))</f>
        <v/>
      </c>
      <c r="K1788" s="14" t="str">
        <f aca="false">IF(OR(E1788="",E1788="!!!",F1788="NEW"),"",INDEX(J$1:J1787,SUMPRODUCT(MAX(ROW(E$1:E1787)*(E1788=E$1:E1787)))))</f>
        <v/>
      </c>
      <c r="L1788" s="15"/>
    </row>
    <row r="1789" customFormat="false" ht="12.75" hidden="false" customHeight="false" outlineLevel="0" collapsed="false">
      <c r="A1789" s="0" t="s">
        <v>88</v>
      </c>
      <c r="E1789" s="9" t="str">
        <f aca="false">IF(D1789="?OLD","!!!","")</f>
        <v/>
      </c>
      <c r="F1789" s="10" t="str">
        <f aca="false">IF(OR(E1789="",E1789="!!!"),"",IF(NOT(ISNA(VLOOKUP(E1789,E$1:E1788,1,FALSE()))),"OLD",IF(AND(E1789&lt;&gt;"",E1789&lt;&gt;"!!!"),"NEW","")))</f>
        <v/>
      </c>
      <c r="G1789" s="11" t="str">
        <f aca="false">IF(OR(E1789="",E1789="!!!"),"",IF(OR(J1789=0,AND(J1789=1,K1789=1),AND(J1789=1,I1789="SBJ"),AND(J1789=1,I1789=0)),"?IN_FOCUS",IF(J1789&lt;=2,"?ACTIVATED",IF(J1789&lt;&gt;"","?FAMILIAR",IF(F1789="NEW",IF(ISNA(VLOOKUP(E1789,#REF!,1,FALSE())),"?TYPE_IDENTIFIABLE","?REFERENTIAL"),"_")))))</f>
        <v/>
      </c>
      <c r="H1789" s="12" t="str">
        <f aca="false">IF(J1789&lt;&gt;1,"",IF(I1789="SBJ","CB","?"))</f>
        <v/>
      </c>
      <c r="I1789" s="13" t="str">
        <f aca="false">IF(OR(E1789="",E1789="!!!",F1789="NEW"),"",INDEX(B$2:B1788,-1+SUMPRODUCT(MAX(ROW(E$2:E1788)*(E1789=E$2:E1788)))))</f>
        <v/>
      </c>
      <c r="J1789" s="14" t="str">
        <f aca="true">IF(OR(E1789="",E1789="!!!",F1789="NEW"),"",COUNTBLANK(OFFSET(A$1,,,SUMPRODUCT(MAX(ROW(E$2:E1789)*(E1789=E$2:E1789)))))-COUNTBLANK(OFFSET(A$1,,,SUMPRODUCT(MAX(ROW(E$1:E1788)*(E1789=E$1:E1788))))))</f>
        <v/>
      </c>
      <c r="K1789" s="14" t="str">
        <f aca="false">IF(OR(E1789="",E1789="!!!",F1789="NEW"),"",INDEX(J$1:J1788,SUMPRODUCT(MAX(ROW(E$1:E1788)*(E1789=E$1:E1788)))))</f>
        <v/>
      </c>
      <c r="L1789" s="15"/>
    </row>
    <row r="1790" customFormat="false" ht="12.75" hidden="false" customHeight="false" outlineLevel="0" collapsed="false">
      <c r="A1790" s="0" t="s">
        <v>741</v>
      </c>
      <c r="E1790" s="9" t="str">
        <f aca="false">IF(D1790="?OLD","!!!","")</f>
        <v/>
      </c>
      <c r="F1790" s="10" t="str">
        <f aca="false">IF(OR(E1790="",E1790="!!!"),"",IF(NOT(ISNA(VLOOKUP(E1790,E$1:E1789,1,FALSE()))),"OLD",IF(AND(E1790&lt;&gt;"",E1790&lt;&gt;"!!!"),"NEW","")))</f>
        <v/>
      </c>
      <c r="G1790" s="11" t="str">
        <f aca="false">IF(OR(E1790="",E1790="!!!"),"",IF(OR(J1790=0,AND(J1790=1,K1790=1),AND(J1790=1,I1790="SBJ"),AND(J1790=1,I1790=0)),"?IN_FOCUS",IF(J1790&lt;=2,"?ACTIVATED",IF(J1790&lt;&gt;"","?FAMILIAR",IF(F1790="NEW",IF(ISNA(VLOOKUP(E1790,#REF!,1,FALSE())),"?TYPE_IDENTIFIABLE","?REFERENTIAL"),"_")))))</f>
        <v/>
      </c>
      <c r="H1790" s="12" t="str">
        <f aca="false">IF(J1790&lt;&gt;1,"",IF(I1790="SBJ","CB","?"))</f>
        <v/>
      </c>
      <c r="I1790" s="13" t="str">
        <f aca="false">IF(OR(E1790="",E1790="!!!",F1790="NEW"),"",INDEX(B$2:B1789,-1+SUMPRODUCT(MAX(ROW(E$2:E1789)*(E1790=E$2:E1789)))))</f>
        <v/>
      </c>
      <c r="J1790" s="14" t="str">
        <f aca="true">IF(OR(E1790="",E1790="!!!",F1790="NEW"),"",COUNTBLANK(OFFSET(A$1,,,SUMPRODUCT(MAX(ROW(E$2:E1790)*(E1790=E$2:E1790)))))-COUNTBLANK(OFFSET(A$1,,,SUMPRODUCT(MAX(ROW(E$1:E1789)*(E1790=E$1:E1789))))))</f>
        <v/>
      </c>
      <c r="K1790" s="14" t="str">
        <f aca="false">IF(OR(E1790="",E1790="!!!",F1790="NEW"),"",INDEX(J$1:J1789,SUMPRODUCT(MAX(ROW(E$1:E1789)*(E1790=E$1:E1789)))))</f>
        <v/>
      </c>
      <c r="L1790" s="15"/>
    </row>
    <row r="1791" customFormat="false" ht="12.75" hidden="false" customHeight="false" outlineLevel="0" collapsed="false">
      <c r="A1791" s="0" t="s">
        <v>53</v>
      </c>
      <c r="B1791" s="0" t="s">
        <v>22</v>
      </c>
      <c r="C1791" s="0" t="s">
        <v>55</v>
      </c>
      <c r="D1791" s="0" t="s">
        <v>29</v>
      </c>
      <c r="E1791" s="9" t="str">
        <f aca="false">IF(D1791="?OLD","!!!","")</f>
        <v>!!!</v>
      </c>
      <c r="F1791" s="10" t="str">
        <f aca="false">IF(OR(E1791="",E1791="!!!"),"",IF(NOT(ISNA(VLOOKUP(E1791,E$1:E1790,1,FALSE()))),"OLD",IF(AND(E1791&lt;&gt;"",E1791&lt;&gt;"!!!"),"NEW","")))</f>
        <v/>
      </c>
      <c r="G1791" s="11" t="str">
        <f aca="false">IF(OR(E1791="",E1791="!!!"),"",IF(OR(J1791=0,AND(J1791=1,K1791=1),AND(J1791=1,I1791="SBJ"),AND(J1791=1,I1791=0)),"?IN_FOCUS",IF(J1791&lt;=2,"?ACTIVATED",IF(J1791&lt;&gt;"","?FAMILIAR",IF(F1791="NEW",IF(ISNA(VLOOKUP(E1791,#REF!,1,FALSE())),"?TYPE_IDENTIFIABLE","?REFERENTIAL"),"_")))))</f>
        <v/>
      </c>
      <c r="H1791" s="12" t="str">
        <f aca="false">IF(J1791&lt;&gt;1,"",IF(I1791="SBJ","CB","?"))</f>
        <v/>
      </c>
      <c r="I1791" s="13" t="str">
        <f aca="false">IF(OR(E1791="",E1791="!!!",F1791="NEW"),"",INDEX(B$2:B1790,-1+SUMPRODUCT(MAX(ROW(E$2:E1790)*(E1791=E$2:E1790)))))</f>
        <v/>
      </c>
      <c r="J1791" s="14" t="str">
        <f aca="true">IF(OR(E1791="",E1791="!!!",F1791="NEW"),"",COUNTBLANK(OFFSET(A$1,,,SUMPRODUCT(MAX(ROW(E$2:E1791)*(E1791=E$2:E1791)))))-COUNTBLANK(OFFSET(A$1,,,SUMPRODUCT(MAX(ROW(E$1:E1790)*(E1791=E$1:E1790))))))</f>
        <v/>
      </c>
      <c r="K1791" s="14" t="str">
        <f aca="false">IF(OR(E1791="",E1791="!!!",F1791="NEW"),"",INDEX(J$1:J1790,SUMPRODUCT(MAX(ROW(E$1:E1790)*(E1791=E$1:E1790)))))</f>
        <v/>
      </c>
      <c r="L1791" s="15"/>
    </row>
    <row r="1792" customFormat="false" ht="12.75" hidden="false" customHeight="false" outlineLevel="0" collapsed="false">
      <c r="A1792" s="0" t="s">
        <v>742</v>
      </c>
      <c r="B1792" s="0" t="s">
        <v>103</v>
      </c>
      <c r="C1792" s="0" t="s">
        <v>15</v>
      </c>
      <c r="D1792" s="0" t="s">
        <v>29</v>
      </c>
      <c r="E1792" s="9" t="str">
        <f aca="false">IF(D1792="?OLD","!!!","")</f>
        <v>!!!</v>
      </c>
      <c r="F1792" s="10" t="str">
        <f aca="false">IF(OR(E1792="",E1792="!!!"),"",IF(NOT(ISNA(VLOOKUP(E1792,E$1:E1791,1,FALSE()))),"OLD",IF(AND(E1792&lt;&gt;"",E1792&lt;&gt;"!!!"),"NEW","")))</f>
        <v/>
      </c>
      <c r="G1792" s="11" t="str">
        <f aca="false">IF(OR(E1792="",E1792="!!!"),"",IF(OR(J1792=0,AND(J1792=1,K1792=1),AND(J1792=1,I1792="SBJ"),AND(J1792=1,I1792=0)),"?IN_FOCUS",IF(J1792&lt;=2,"?ACTIVATED",IF(J1792&lt;&gt;"","?FAMILIAR",IF(F1792="NEW",IF(ISNA(VLOOKUP(E1792,#REF!,1,FALSE())),"?TYPE_IDENTIFIABLE","?REFERENTIAL"),"_")))))</f>
        <v/>
      </c>
      <c r="H1792" s="12" t="str">
        <f aca="false">IF(J1792&lt;&gt;1,"",IF(I1792="SBJ","CB","?"))</f>
        <v/>
      </c>
      <c r="I1792" s="13" t="str">
        <f aca="false">IF(OR(E1792="",E1792="!!!",F1792="NEW"),"",INDEX(B$2:B1791,-1+SUMPRODUCT(MAX(ROW(E$2:E1791)*(E1792=E$2:E1791)))))</f>
        <v/>
      </c>
      <c r="J1792" s="14" t="str">
        <f aca="true">IF(OR(E1792="",E1792="!!!",F1792="NEW"),"",COUNTBLANK(OFFSET(A$1,,,SUMPRODUCT(MAX(ROW(E$2:E1792)*(E1792=E$2:E1792)))))-COUNTBLANK(OFFSET(A$1,,,SUMPRODUCT(MAX(ROW(E$1:E1791)*(E1792=E$1:E1791))))))</f>
        <v/>
      </c>
      <c r="K1792" s="14" t="str">
        <f aca="false">IF(OR(E1792="",E1792="!!!",F1792="NEW"),"",INDEX(J$1:J1791,SUMPRODUCT(MAX(ROW(E$1:E1791)*(E1792=E$1:E1791)))))</f>
        <v/>
      </c>
      <c r="L1792" s="15"/>
    </row>
    <row r="1793" customFormat="false" ht="12.75" hidden="false" customHeight="false" outlineLevel="0" collapsed="false">
      <c r="A1793" s="0" t="s">
        <v>51</v>
      </c>
      <c r="E1793" s="9" t="str">
        <f aca="false">IF(D1793="?OLD","!!!","")</f>
        <v/>
      </c>
      <c r="F1793" s="10" t="str">
        <f aca="false">IF(OR(E1793="",E1793="!!!"),"",IF(NOT(ISNA(VLOOKUP(E1793,E$1:E1792,1,FALSE()))),"OLD",IF(AND(E1793&lt;&gt;"",E1793&lt;&gt;"!!!"),"NEW","")))</f>
        <v/>
      </c>
      <c r="G1793" s="11" t="str">
        <f aca="false">IF(OR(E1793="",E1793="!!!"),"",IF(OR(J1793=0,AND(J1793=1,K1793=1),AND(J1793=1,I1793="SBJ"),AND(J1793=1,I1793=0)),"?IN_FOCUS",IF(J1793&lt;=2,"?ACTIVATED",IF(J1793&lt;&gt;"","?FAMILIAR",IF(F1793="NEW",IF(ISNA(VLOOKUP(E1793,#REF!,1,FALSE())),"?TYPE_IDENTIFIABLE","?REFERENTIAL"),"_")))))</f>
        <v/>
      </c>
      <c r="H1793" s="12" t="str">
        <f aca="false">IF(J1793&lt;&gt;1,"",IF(I1793="SBJ","CB","?"))</f>
        <v/>
      </c>
      <c r="I1793" s="13" t="str">
        <f aca="false">IF(OR(E1793="",E1793="!!!",F1793="NEW"),"",INDEX(B$2:B1792,-1+SUMPRODUCT(MAX(ROW(E$2:E1792)*(E1793=E$2:E1792)))))</f>
        <v/>
      </c>
      <c r="J1793" s="14" t="str">
        <f aca="true">IF(OR(E1793="",E1793="!!!",F1793="NEW"),"",COUNTBLANK(OFFSET(A$1,,,SUMPRODUCT(MAX(ROW(E$2:E1793)*(E1793=E$2:E1793)))))-COUNTBLANK(OFFSET(A$1,,,SUMPRODUCT(MAX(ROW(E$1:E1792)*(E1793=E$1:E1792))))))</f>
        <v/>
      </c>
      <c r="K1793" s="14" t="str">
        <f aca="false">IF(OR(E1793="",E1793="!!!",F1793="NEW"),"",INDEX(J$1:J1792,SUMPRODUCT(MAX(ROW(E$1:E1792)*(E1793=E$1:E1792)))))</f>
        <v/>
      </c>
      <c r="L1793" s="15"/>
    </row>
    <row r="1794" customFormat="false" ht="12.75" hidden="false" customHeight="false" outlineLevel="0" collapsed="false">
      <c r="A1794" s="0" t="s">
        <v>66</v>
      </c>
      <c r="E1794" s="9" t="str">
        <f aca="false">IF(D1794="?OLD","!!!","")</f>
        <v/>
      </c>
      <c r="F1794" s="10" t="str">
        <f aca="false">IF(OR(E1794="",E1794="!!!"),"",IF(NOT(ISNA(VLOOKUP(E1794,E$1:E1793,1,FALSE()))),"OLD",IF(AND(E1794&lt;&gt;"",E1794&lt;&gt;"!!!"),"NEW","")))</f>
        <v/>
      </c>
      <c r="G1794" s="11" t="str">
        <f aca="false">IF(OR(E1794="",E1794="!!!"),"",IF(OR(J1794=0,AND(J1794=1,K1794=1),AND(J1794=1,I1794="SBJ"),AND(J1794=1,I1794=0)),"?IN_FOCUS",IF(J1794&lt;=2,"?ACTIVATED",IF(J1794&lt;&gt;"","?FAMILIAR",IF(F1794="NEW",IF(ISNA(VLOOKUP(E1794,#REF!,1,FALSE())),"?TYPE_IDENTIFIABLE","?REFERENTIAL"),"_")))))</f>
        <v/>
      </c>
      <c r="H1794" s="12" t="str">
        <f aca="false">IF(J1794&lt;&gt;1,"",IF(I1794="SBJ","CB","?"))</f>
        <v/>
      </c>
      <c r="I1794" s="13" t="str">
        <f aca="false">IF(OR(E1794="",E1794="!!!",F1794="NEW"),"",INDEX(B$2:B1793,-1+SUMPRODUCT(MAX(ROW(E$2:E1793)*(E1794=E$2:E1793)))))</f>
        <v/>
      </c>
      <c r="J1794" s="14" t="str">
        <f aca="true">IF(OR(E1794="",E1794="!!!",F1794="NEW"),"",COUNTBLANK(OFFSET(A$1,,,SUMPRODUCT(MAX(ROW(E$2:E1794)*(E1794=E$2:E1794)))))-COUNTBLANK(OFFSET(A$1,,,SUMPRODUCT(MAX(ROW(E$1:E1793)*(E1794=E$1:E1793))))))</f>
        <v/>
      </c>
      <c r="K1794" s="14" t="str">
        <f aca="false">IF(OR(E1794="",E1794="!!!",F1794="NEW"),"",INDEX(J$1:J1793,SUMPRODUCT(MAX(ROW(E$1:E1793)*(E1794=E$1:E1793)))))</f>
        <v/>
      </c>
      <c r="L1794" s="15"/>
    </row>
    <row r="1795" customFormat="false" ht="12.75" hidden="false" customHeight="false" outlineLevel="0" collapsed="false">
      <c r="A1795" s="0" t="s">
        <v>711</v>
      </c>
      <c r="B1795" s="0" t="s">
        <v>22</v>
      </c>
      <c r="C1795" s="0" t="s">
        <v>111</v>
      </c>
      <c r="D1795" s="0" t="s">
        <v>29</v>
      </c>
      <c r="E1795" s="9" t="str">
        <f aca="false">IF(D1795="?OLD","!!!","")</f>
        <v>!!!</v>
      </c>
      <c r="F1795" s="10" t="str">
        <f aca="false">IF(OR(E1795="",E1795="!!!"),"",IF(NOT(ISNA(VLOOKUP(E1795,E$1:E1794,1,FALSE()))),"OLD",IF(AND(E1795&lt;&gt;"",E1795&lt;&gt;"!!!"),"NEW","")))</f>
        <v/>
      </c>
      <c r="G1795" s="11" t="str">
        <f aca="false">IF(OR(E1795="",E1795="!!!"),"",IF(OR(J1795=0,AND(J1795=1,K1795=1),AND(J1795=1,I1795="SBJ"),AND(J1795=1,I1795=0)),"?IN_FOCUS",IF(J1795&lt;=2,"?ACTIVATED",IF(J1795&lt;&gt;"","?FAMILIAR",IF(F1795="NEW",IF(ISNA(VLOOKUP(E1795,#REF!,1,FALSE())),"?TYPE_IDENTIFIABLE","?REFERENTIAL"),"_")))))</f>
        <v/>
      </c>
      <c r="H1795" s="12" t="str">
        <f aca="false">IF(J1795&lt;&gt;1,"",IF(I1795="SBJ","CB","?"))</f>
        <v/>
      </c>
      <c r="I1795" s="13" t="str">
        <f aca="false">IF(OR(E1795="",E1795="!!!",F1795="NEW"),"",INDEX(B$2:B1794,-1+SUMPRODUCT(MAX(ROW(E$2:E1794)*(E1795=E$2:E1794)))))</f>
        <v/>
      </c>
      <c r="J1795" s="14" t="str">
        <f aca="true">IF(OR(E1795="",E1795="!!!",F1795="NEW"),"",COUNTBLANK(OFFSET(A$1,,,SUMPRODUCT(MAX(ROW(E$2:E1795)*(E1795=E$2:E1795)))))-COUNTBLANK(OFFSET(A$1,,,SUMPRODUCT(MAX(ROW(E$1:E1794)*(E1795=E$1:E1794))))))</f>
        <v/>
      </c>
      <c r="K1795" s="14" t="str">
        <f aca="false">IF(OR(E1795="",E1795="!!!",F1795="NEW"),"",INDEX(J$1:J1794,SUMPRODUCT(MAX(ROW(E$1:E1794)*(E1795=E$1:E1794)))))</f>
        <v/>
      </c>
      <c r="L1795" s="15"/>
    </row>
    <row r="1796" customFormat="false" ht="12.75" hidden="false" customHeight="false" outlineLevel="0" collapsed="false">
      <c r="A1796" s="0" t="s">
        <v>73</v>
      </c>
      <c r="E1796" s="9" t="str">
        <f aca="false">IF(D1796="?OLD","!!!","")</f>
        <v/>
      </c>
      <c r="F1796" s="10" t="str">
        <f aca="false">IF(OR(E1796="",E1796="!!!"),"",IF(NOT(ISNA(VLOOKUP(E1796,E$1:E1795,1,FALSE()))),"OLD",IF(AND(E1796&lt;&gt;"",E1796&lt;&gt;"!!!"),"NEW","")))</f>
        <v/>
      </c>
      <c r="G1796" s="11" t="str">
        <f aca="false">IF(OR(E1796="",E1796="!!!"),"",IF(OR(J1796=0,AND(J1796=1,K1796=1),AND(J1796=1,I1796="SBJ"),AND(J1796=1,I1796=0)),"?IN_FOCUS",IF(J1796&lt;=2,"?ACTIVATED",IF(J1796&lt;&gt;"","?FAMILIAR",IF(F1796="NEW",IF(ISNA(VLOOKUP(E1796,#REF!,1,FALSE())),"?TYPE_IDENTIFIABLE","?REFERENTIAL"),"_")))))</f>
        <v/>
      </c>
      <c r="H1796" s="12" t="str">
        <f aca="false">IF(J1796&lt;&gt;1,"",IF(I1796="SBJ","CB","?"))</f>
        <v/>
      </c>
      <c r="I1796" s="13" t="str">
        <f aca="false">IF(OR(E1796="",E1796="!!!",F1796="NEW"),"",INDEX(B$2:B1795,-1+SUMPRODUCT(MAX(ROW(E$2:E1795)*(E1796=E$2:E1795)))))</f>
        <v/>
      </c>
      <c r="J1796" s="14" t="str">
        <f aca="true">IF(OR(E1796="",E1796="!!!",F1796="NEW"),"",COUNTBLANK(OFFSET(A$1,,,SUMPRODUCT(MAX(ROW(E$2:E1796)*(E1796=E$2:E1796)))))-COUNTBLANK(OFFSET(A$1,,,SUMPRODUCT(MAX(ROW(E$1:E1795)*(E1796=E$1:E1795))))))</f>
        <v/>
      </c>
      <c r="K1796" s="14" t="str">
        <f aca="false">IF(OR(E1796="",E1796="!!!",F1796="NEW"),"",INDEX(J$1:J1795,SUMPRODUCT(MAX(ROW(E$1:E1795)*(E1796=E$1:E1795)))))</f>
        <v/>
      </c>
      <c r="L1796" s="15"/>
    </row>
    <row r="1797" customFormat="false" ht="12.75" hidden="false" customHeight="false" outlineLevel="0" collapsed="false">
      <c r="E1797" s="9" t="str">
        <f aca="false">IF(D1797="?OLD","!!!","")</f>
        <v/>
      </c>
      <c r="F1797" s="10" t="str">
        <f aca="false">IF(OR(E1797="",E1797="!!!"),"",IF(NOT(ISNA(VLOOKUP(E1797,E$1:E1796,1,FALSE()))),"OLD",IF(AND(E1797&lt;&gt;"",E1797&lt;&gt;"!!!"),"NEW","")))</f>
        <v/>
      </c>
      <c r="G1797" s="11" t="str">
        <f aca="false">IF(OR(E1797="",E1797="!!!"),"",IF(OR(J1797=0,AND(J1797=1,K1797=1),AND(J1797=1,I1797="SBJ"),AND(J1797=1,I1797=0)),"?IN_FOCUS",IF(J1797&lt;=2,"?ACTIVATED",IF(J1797&lt;&gt;"","?FAMILIAR",IF(F1797="NEW",IF(ISNA(VLOOKUP(E1797,#REF!,1,FALSE())),"?TYPE_IDENTIFIABLE","?REFERENTIAL"),"_")))))</f>
        <v/>
      </c>
      <c r="H1797" s="12" t="str">
        <f aca="false">IF(J1797&lt;&gt;1,"",IF(I1797="SBJ","CB","?"))</f>
        <v/>
      </c>
      <c r="I1797" s="13" t="str">
        <f aca="false">IF(OR(E1797="",E1797="!!!",F1797="NEW"),"",INDEX(B$2:B1796,-1+SUMPRODUCT(MAX(ROW(E$2:E1796)*(E1797=E$2:E1796)))))</f>
        <v/>
      </c>
      <c r="J1797" s="14" t="str">
        <f aca="true">IF(OR(E1797="",E1797="!!!",F1797="NEW"),"",COUNTBLANK(OFFSET(A$1,,,SUMPRODUCT(MAX(ROW(E$2:E1797)*(E1797=E$2:E1797)))))-COUNTBLANK(OFFSET(A$1,,,SUMPRODUCT(MAX(ROW(E$1:E1796)*(E1797=E$1:E1796))))))</f>
        <v/>
      </c>
      <c r="K1797" s="14" t="str">
        <f aca="false">IF(OR(E1797="",E1797="!!!",F1797="NEW"),"",INDEX(J$1:J1796,SUMPRODUCT(MAX(ROW(E$1:E1796)*(E1797=E$1:E1796)))))</f>
        <v/>
      </c>
      <c r="L1797" s="15"/>
    </row>
    <row r="1798" customFormat="false" ht="12.75" hidden="false" customHeight="false" outlineLevel="0" collapsed="false">
      <c r="A1798" s="0" t="s">
        <v>260</v>
      </c>
      <c r="E1798" s="9" t="str">
        <f aca="false">IF(D1798="?OLD","!!!","")</f>
        <v/>
      </c>
      <c r="F1798" s="10" t="str">
        <f aca="false">IF(OR(E1798="",E1798="!!!"),"",IF(NOT(ISNA(VLOOKUP(E1798,E$1:E1797,1,FALSE()))),"OLD",IF(AND(E1798&lt;&gt;"",E1798&lt;&gt;"!!!"),"NEW","")))</f>
        <v/>
      </c>
      <c r="G1798" s="11" t="str">
        <f aca="false">IF(OR(E1798="",E1798="!!!"),"",IF(OR(J1798=0,AND(J1798=1,K1798=1),AND(J1798=1,I1798="SBJ"),AND(J1798=1,I1798=0)),"?IN_FOCUS",IF(J1798&lt;=2,"?ACTIVATED",IF(J1798&lt;&gt;"","?FAMILIAR",IF(F1798="NEW",IF(ISNA(VLOOKUP(E1798,#REF!,1,FALSE())),"?TYPE_IDENTIFIABLE","?REFERENTIAL"),"_")))))</f>
        <v/>
      </c>
      <c r="H1798" s="12" t="str">
        <f aca="false">IF(J1798&lt;&gt;1,"",IF(I1798="SBJ","CB","?"))</f>
        <v/>
      </c>
      <c r="I1798" s="13" t="str">
        <f aca="false">IF(OR(E1798="",E1798="!!!",F1798="NEW"),"",INDEX(B$2:B1797,-1+SUMPRODUCT(MAX(ROW(E$2:E1797)*(E1798=E$2:E1797)))))</f>
        <v/>
      </c>
      <c r="J1798" s="14" t="str">
        <f aca="true">IF(OR(E1798="",E1798="!!!",F1798="NEW"),"",COUNTBLANK(OFFSET(A$1,,,SUMPRODUCT(MAX(ROW(E$2:E1798)*(E1798=E$2:E1798)))))-COUNTBLANK(OFFSET(A$1,,,SUMPRODUCT(MAX(ROW(E$1:E1797)*(E1798=E$1:E1797))))))</f>
        <v/>
      </c>
      <c r="K1798" s="14" t="str">
        <f aca="false">IF(OR(E1798="",E1798="!!!",F1798="NEW"),"",INDEX(J$1:J1797,SUMPRODUCT(MAX(ROW(E$1:E1797)*(E1798=E$1:E1797)))))</f>
        <v/>
      </c>
      <c r="L1798" s="15"/>
    </row>
    <row r="1799" customFormat="false" ht="12.75" hidden="false" customHeight="false" outlineLevel="0" collapsed="false">
      <c r="A1799" s="0" t="s">
        <v>743</v>
      </c>
      <c r="E1799" s="9" t="str">
        <f aca="false">IF(D1799="?OLD","!!!","")</f>
        <v/>
      </c>
      <c r="F1799" s="10" t="str">
        <f aca="false">IF(OR(E1799="",E1799="!!!"),"",IF(NOT(ISNA(VLOOKUP(E1799,E$1:E1798,1,FALSE()))),"OLD",IF(AND(E1799&lt;&gt;"",E1799&lt;&gt;"!!!"),"NEW","")))</f>
        <v/>
      </c>
      <c r="G1799" s="11" t="str">
        <f aca="false">IF(OR(E1799="",E1799="!!!"),"",IF(OR(J1799=0,AND(J1799=1,K1799=1),AND(J1799=1,I1799="SBJ"),AND(J1799=1,I1799=0)),"?IN_FOCUS",IF(J1799&lt;=2,"?ACTIVATED",IF(J1799&lt;&gt;"","?FAMILIAR",IF(F1799="NEW",IF(ISNA(VLOOKUP(E1799,#REF!,1,FALSE())),"?TYPE_IDENTIFIABLE","?REFERENTIAL"),"_")))))</f>
        <v/>
      </c>
      <c r="H1799" s="12" t="str">
        <f aca="false">IF(J1799&lt;&gt;1,"",IF(I1799="SBJ","CB","?"))</f>
        <v/>
      </c>
      <c r="I1799" s="13" t="str">
        <f aca="false">IF(OR(E1799="",E1799="!!!",F1799="NEW"),"",INDEX(B$2:B1798,-1+SUMPRODUCT(MAX(ROW(E$2:E1798)*(E1799=E$2:E1798)))))</f>
        <v/>
      </c>
      <c r="J1799" s="14" t="str">
        <f aca="true">IF(OR(E1799="",E1799="!!!",F1799="NEW"),"",COUNTBLANK(OFFSET(A$1,,,SUMPRODUCT(MAX(ROW(E$2:E1799)*(E1799=E$2:E1799)))))-COUNTBLANK(OFFSET(A$1,,,SUMPRODUCT(MAX(ROW(E$1:E1798)*(E1799=E$1:E1798))))))</f>
        <v/>
      </c>
      <c r="K1799" s="14" t="str">
        <f aca="false">IF(OR(E1799="",E1799="!!!",F1799="NEW"),"",INDEX(J$1:J1798,SUMPRODUCT(MAX(ROW(E$1:E1798)*(E1799=E$1:E1798)))))</f>
        <v/>
      </c>
      <c r="L1799" s="15"/>
    </row>
    <row r="1800" customFormat="false" ht="12.75" hidden="false" customHeight="false" outlineLevel="0" collapsed="false">
      <c r="A1800" s="0" t="s">
        <v>262</v>
      </c>
      <c r="E1800" s="9" t="str">
        <f aca="false">IF(D1800="?OLD","!!!","")</f>
        <v/>
      </c>
      <c r="F1800" s="10" t="str">
        <f aca="false">IF(OR(E1800="",E1800="!!!"),"",IF(NOT(ISNA(VLOOKUP(E1800,E$1:E1799,1,FALSE()))),"OLD",IF(AND(E1800&lt;&gt;"",E1800&lt;&gt;"!!!"),"NEW","")))</f>
        <v/>
      </c>
      <c r="G1800" s="11" t="str">
        <f aca="false">IF(OR(E1800="",E1800="!!!"),"",IF(OR(J1800=0,AND(J1800=1,K1800=1),AND(J1800=1,I1800="SBJ"),AND(J1800=1,I1800=0)),"?IN_FOCUS",IF(J1800&lt;=2,"?ACTIVATED",IF(J1800&lt;&gt;"","?FAMILIAR",IF(F1800="NEW",IF(ISNA(VLOOKUP(E1800,#REF!,1,FALSE())),"?TYPE_IDENTIFIABLE","?REFERENTIAL"),"_")))))</f>
        <v/>
      </c>
      <c r="H1800" s="12" t="str">
        <f aca="false">IF(J1800&lt;&gt;1,"",IF(I1800="SBJ","CB","?"))</f>
        <v/>
      </c>
      <c r="I1800" s="13" t="str">
        <f aca="false">IF(OR(E1800="",E1800="!!!",F1800="NEW"),"",INDEX(B$2:B1799,-1+SUMPRODUCT(MAX(ROW(E$2:E1799)*(E1800=E$2:E1799)))))</f>
        <v/>
      </c>
      <c r="J1800" s="14" t="str">
        <f aca="true">IF(OR(E1800="",E1800="!!!",F1800="NEW"),"",COUNTBLANK(OFFSET(A$1,,,SUMPRODUCT(MAX(ROW(E$2:E1800)*(E1800=E$2:E1800)))))-COUNTBLANK(OFFSET(A$1,,,SUMPRODUCT(MAX(ROW(E$1:E1799)*(E1800=E$1:E1799))))))</f>
        <v/>
      </c>
      <c r="K1800" s="14" t="str">
        <f aca="false">IF(OR(E1800="",E1800="!!!",F1800="NEW"),"",INDEX(J$1:J1799,SUMPRODUCT(MAX(ROW(E$1:E1799)*(E1800=E$1:E1799)))))</f>
        <v/>
      </c>
      <c r="L1800" s="15"/>
    </row>
    <row r="1801" customFormat="false" ht="12.75" hidden="false" customHeight="false" outlineLevel="0" collapsed="false">
      <c r="A1801" s="0" t="s">
        <v>744</v>
      </c>
      <c r="B1801" s="0" t="s">
        <v>62</v>
      </c>
      <c r="C1801" s="0" t="s">
        <v>120</v>
      </c>
      <c r="E1801" s="9" t="str">
        <f aca="false">IF(D1801="?OLD","!!!","")</f>
        <v/>
      </c>
      <c r="F1801" s="10" t="str">
        <f aca="false">IF(OR(E1801="",E1801="!!!"),"",IF(NOT(ISNA(VLOOKUP(E1801,E$1:E1800,1,FALSE()))),"OLD",IF(AND(E1801&lt;&gt;"",E1801&lt;&gt;"!!!"),"NEW","")))</f>
        <v/>
      </c>
      <c r="G1801" s="11" t="str">
        <f aca="false">IF(OR(E1801="",E1801="!!!"),"",IF(OR(J1801=0,AND(J1801=1,K1801=1),AND(J1801=1,I1801="SBJ"),AND(J1801=1,I1801=0)),"?IN_FOCUS",IF(J1801&lt;=2,"?ACTIVATED",IF(J1801&lt;&gt;"","?FAMILIAR",IF(F1801="NEW",IF(ISNA(VLOOKUP(E1801,#REF!,1,FALSE())),"?TYPE_IDENTIFIABLE","?REFERENTIAL"),"_")))))</f>
        <v/>
      </c>
      <c r="H1801" s="12" t="str">
        <f aca="false">IF(J1801&lt;&gt;1,"",IF(I1801="SBJ","CB","?"))</f>
        <v/>
      </c>
      <c r="I1801" s="13" t="str">
        <f aca="false">IF(OR(E1801="",E1801="!!!",F1801="NEW"),"",INDEX(B$2:B1800,-1+SUMPRODUCT(MAX(ROW(E$2:E1800)*(E1801=E$2:E1800)))))</f>
        <v/>
      </c>
      <c r="J1801" s="14" t="str">
        <f aca="true">IF(OR(E1801="",E1801="!!!",F1801="NEW"),"",COUNTBLANK(OFFSET(A$1,,,SUMPRODUCT(MAX(ROW(E$2:E1801)*(E1801=E$2:E1801)))))-COUNTBLANK(OFFSET(A$1,,,SUMPRODUCT(MAX(ROW(E$1:E1800)*(E1801=E$1:E1800))))))</f>
        <v/>
      </c>
      <c r="K1801" s="14" t="str">
        <f aca="false">IF(OR(E1801="",E1801="!!!",F1801="NEW"),"",INDEX(J$1:J1800,SUMPRODUCT(MAX(ROW(E$1:E1800)*(E1801=E$1:E1800)))))</f>
        <v/>
      </c>
      <c r="L1801" s="15"/>
    </row>
    <row r="1802" customFormat="false" ht="12.75" hidden="false" customHeight="false" outlineLevel="0" collapsed="false">
      <c r="A1802" s="0" t="s">
        <v>745</v>
      </c>
      <c r="B1802" s="0" t="s">
        <v>62</v>
      </c>
      <c r="C1802" s="0" t="s">
        <v>23</v>
      </c>
      <c r="D1802" s="0" t="s">
        <v>29</v>
      </c>
      <c r="E1802" s="9" t="str">
        <f aca="false">IF(D1802="?OLD","!!!","")</f>
        <v>!!!</v>
      </c>
      <c r="F1802" s="10" t="str">
        <f aca="false">IF(OR(E1802="",E1802="!!!"),"",IF(NOT(ISNA(VLOOKUP(E1802,E$1:E1801,1,FALSE()))),"OLD",IF(AND(E1802&lt;&gt;"",E1802&lt;&gt;"!!!"),"NEW","")))</f>
        <v/>
      </c>
      <c r="G1802" s="11" t="str">
        <f aca="false">IF(OR(E1802="",E1802="!!!"),"",IF(OR(J1802=0,AND(J1802=1,K1802=1),AND(J1802=1,I1802="SBJ"),AND(J1802=1,I1802=0)),"?IN_FOCUS",IF(J1802&lt;=2,"?ACTIVATED",IF(J1802&lt;&gt;"","?FAMILIAR",IF(F1802="NEW",IF(ISNA(VLOOKUP(E1802,#REF!,1,FALSE())),"?TYPE_IDENTIFIABLE","?REFERENTIAL"),"_")))))</f>
        <v/>
      </c>
      <c r="H1802" s="12" t="str">
        <f aca="false">IF(J1802&lt;&gt;1,"",IF(I1802="SBJ","CB","?"))</f>
        <v/>
      </c>
      <c r="I1802" s="13" t="str">
        <f aca="false">IF(OR(E1802="",E1802="!!!",F1802="NEW"),"",INDEX(B$2:B1801,-1+SUMPRODUCT(MAX(ROW(E$2:E1801)*(E1802=E$2:E1801)))))</f>
        <v/>
      </c>
      <c r="J1802" s="14" t="str">
        <f aca="true">IF(OR(E1802="",E1802="!!!",F1802="NEW"),"",COUNTBLANK(OFFSET(A$1,,,SUMPRODUCT(MAX(ROW(E$2:E1802)*(E1802=E$2:E1802)))))-COUNTBLANK(OFFSET(A$1,,,SUMPRODUCT(MAX(ROW(E$1:E1801)*(E1802=E$1:E1801))))))</f>
        <v/>
      </c>
      <c r="K1802" s="14" t="str">
        <f aca="false">IF(OR(E1802="",E1802="!!!",F1802="NEW"),"",INDEX(J$1:J1801,SUMPRODUCT(MAX(ROW(E$1:E1801)*(E1802=E$1:E1801)))))</f>
        <v/>
      </c>
      <c r="L1802" s="15"/>
    </row>
    <row r="1803" customFormat="false" ht="12.75" hidden="false" customHeight="false" outlineLevel="0" collapsed="false">
      <c r="A1803" s="0" t="s">
        <v>31</v>
      </c>
      <c r="E1803" s="9" t="str">
        <f aca="false">IF(D1803="?OLD","!!!","")</f>
        <v/>
      </c>
      <c r="F1803" s="10" t="str">
        <f aca="false">IF(OR(E1803="",E1803="!!!"),"",IF(NOT(ISNA(VLOOKUP(E1803,E$1:E1802,1,FALSE()))),"OLD",IF(AND(E1803&lt;&gt;"",E1803&lt;&gt;"!!!"),"NEW","")))</f>
        <v/>
      </c>
      <c r="G1803" s="11" t="str">
        <f aca="false">IF(OR(E1803="",E1803="!!!"),"",IF(OR(J1803=0,AND(J1803=1,K1803=1),AND(J1803=1,I1803="SBJ"),AND(J1803=1,I1803=0)),"?IN_FOCUS",IF(J1803&lt;=2,"?ACTIVATED",IF(J1803&lt;&gt;"","?FAMILIAR",IF(F1803="NEW",IF(ISNA(VLOOKUP(E1803,#REF!,1,FALSE())),"?TYPE_IDENTIFIABLE","?REFERENTIAL"),"_")))))</f>
        <v/>
      </c>
      <c r="H1803" s="12" t="str">
        <f aca="false">IF(J1803&lt;&gt;1,"",IF(I1803="SBJ","CB","?"))</f>
        <v/>
      </c>
      <c r="I1803" s="13" t="str">
        <f aca="false">IF(OR(E1803="",E1803="!!!",F1803="NEW"),"",INDEX(B$2:B1802,-1+SUMPRODUCT(MAX(ROW(E$2:E1802)*(E1803=E$2:E1802)))))</f>
        <v/>
      </c>
      <c r="J1803" s="14" t="str">
        <f aca="true">IF(OR(E1803="",E1803="!!!",F1803="NEW"),"",COUNTBLANK(OFFSET(A$1,,,SUMPRODUCT(MAX(ROW(E$2:E1803)*(E1803=E$2:E1803)))))-COUNTBLANK(OFFSET(A$1,,,SUMPRODUCT(MAX(ROW(E$1:E1802)*(E1803=E$1:E1802))))))</f>
        <v/>
      </c>
      <c r="K1803" s="14" t="str">
        <f aca="false">IF(OR(E1803="",E1803="!!!",F1803="NEW"),"",INDEX(J$1:J1802,SUMPRODUCT(MAX(ROW(E$1:E1802)*(E1803=E$1:E1802)))))</f>
        <v/>
      </c>
      <c r="L1803" s="15"/>
    </row>
    <row r="1804" customFormat="false" ht="12.75" hidden="false" customHeight="false" outlineLevel="0" collapsed="false">
      <c r="A1804" s="0" t="s">
        <v>122</v>
      </c>
      <c r="B1804" s="0" t="s">
        <v>42</v>
      </c>
      <c r="C1804" s="0" t="s">
        <v>38</v>
      </c>
      <c r="D1804" s="0" t="s">
        <v>29</v>
      </c>
      <c r="E1804" s="9" t="str">
        <f aca="false">IF(D1804="?OLD","!!!","")</f>
        <v>!!!</v>
      </c>
      <c r="F1804" s="10" t="str">
        <f aca="false">IF(OR(E1804="",E1804="!!!"),"",IF(NOT(ISNA(VLOOKUP(E1804,E$1:E1803,1,FALSE()))),"OLD",IF(AND(E1804&lt;&gt;"",E1804&lt;&gt;"!!!"),"NEW","")))</f>
        <v/>
      </c>
      <c r="G1804" s="11" t="str">
        <f aca="false">IF(OR(E1804="",E1804="!!!"),"",IF(OR(J1804=0,AND(J1804=1,K1804=1),AND(J1804=1,I1804="SBJ"),AND(J1804=1,I1804=0)),"?IN_FOCUS",IF(J1804&lt;=2,"?ACTIVATED",IF(J1804&lt;&gt;"","?FAMILIAR",IF(F1804="NEW",IF(ISNA(VLOOKUP(E1804,#REF!,1,FALSE())),"?TYPE_IDENTIFIABLE","?REFERENTIAL"),"_")))))</f>
        <v/>
      </c>
      <c r="H1804" s="12" t="str">
        <f aca="false">IF(J1804&lt;&gt;1,"",IF(I1804="SBJ","CB","?"))</f>
        <v/>
      </c>
      <c r="I1804" s="13" t="str">
        <f aca="false">IF(OR(E1804="",E1804="!!!",F1804="NEW"),"",INDEX(B$2:B1803,-1+SUMPRODUCT(MAX(ROW(E$2:E1803)*(E1804=E$2:E1803)))))</f>
        <v/>
      </c>
      <c r="J1804" s="14" t="str">
        <f aca="true">IF(OR(E1804="",E1804="!!!",F1804="NEW"),"",COUNTBLANK(OFFSET(A$1,,,SUMPRODUCT(MAX(ROW(E$2:E1804)*(E1804=E$2:E1804)))))-COUNTBLANK(OFFSET(A$1,,,SUMPRODUCT(MAX(ROW(E$1:E1803)*(E1804=E$1:E1803))))))</f>
        <v/>
      </c>
      <c r="K1804" s="14" t="str">
        <f aca="false">IF(OR(E1804="",E1804="!!!",F1804="NEW"),"",INDEX(J$1:J1803,SUMPRODUCT(MAX(ROW(E$1:E1803)*(E1804=E$1:E1803)))))</f>
        <v/>
      </c>
      <c r="L1804" s="15"/>
    </row>
    <row r="1805" customFormat="false" ht="12.75" hidden="false" customHeight="false" outlineLevel="0" collapsed="false">
      <c r="A1805" s="0" t="s">
        <v>399</v>
      </c>
      <c r="E1805" s="9" t="str">
        <f aca="false">IF(D1805="?OLD","!!!","")</f>
        <v/>
      </c>
      <c r="F1805" s="10" t="str">
        <f aca="false">IF(OR(E1805="",E1805="!!!"),"",IF(NOT(ISNA(VLOOKUP(E1805,E$1:E1804,1,FALSE()))),"OLD",IF(AND(E1805&lt;&gt;"",E1805&lt;&gt;"!!!"),"NEW","")))</f>
        <v/>
      </c>
      <c r="G1805" s="11" t="str">
        <f aca="false">IF(OR(E1805="",E1805="!!!"),"",IF(OR(J1805=0,AND(J1805=1,K1805=1),AND(J1805=1,I1805="SBJ"),AND(J1805=1,I1805=0)),"?IN_FOCUS",IF(J1805&lt;=2,"?ACTIVATED",IF(J1805&lt;&gt;"","?FAMILIAR",IF(F1805="NEW",IF(ISNA(VLOOKUP(E1805,#REF!,1,FALSE())),"?TYPE_IDENTIFIABLE","?REFERENTIAL"),"_")))))</f>
        <v/>
      </c>
      <c r="H1805" s="12" t="str">
        <f aca="false">IF(J1805&lt;&gt;1,"",IF(I1805="SBJ","CB","?"))</f>
        <v/>
      </c>
      <c r="I1805" s="13" t="str">
        <f aca="false">IF(OR(E1805="",E1805="!!!",F1805="NEW"),"",INDEX(B$2:B1804,-1+SUMPRODUCT(MAX(ROW(E$2:E1804)*(E1805=E$2:E1804)))))</f>
        <v/>
      </c>
      <c r="J1805" s="14" t="str">
        <f aca="true">IF(OR(E1805="",E1805="!!!",F1805="NEW"),"",COUNTBLANK(OFFSET(A$1,,,SUMPRODUCT(MAX(ROW(E$2:E1805)*(E1805=E$2:E1805)))))-COUNTBLANK(OFFSET(A$1,,,SUMPRODUCT(MAX(ROW(E$1:E1804)*(E1805=E$1:E1804))))))</f>
        <v/>
      </c>
      <c r="K1805" s="14" t="str">
        <f aca="false">IF(OR(E1805="",E1805="!!!",F1805="NEW"),"",INDEX(J$1:J1804,SUMPRODUCT(MAX(ROW(E$1:E1804)*(E1805=E$1:E1804)))))</f>
        <v/>
      </c>
      <c r="L1805" s="15"/>
    </row>
    <row r="1806" customFormat="false" ht="12.75" hidden="false" customHeight="false" outlineLevel="0" collapsed="false">
      <c r="A1806" s="0" t="s">
        <v>45</v>
      </c>
      <c r="E1806" s="9" t="str">
        <f aca="false">IF(D1806="?OLD","!!!","")</f>
        <v/>
      </c>
      <c r="F1806" s="10" t="str">
        <f aca="false">IF(OR(E1806="",E1806="!!!"),"",IF(NOT(ISNA(VLOOKUP(E1806,E$1:E1805,1,FALSE()))),"OLD",IF(AND(E1806&lt;&gt;"",E1806&lt;&gt;"!!!"),"NEW","")))</f>
        <v/>
      </c>
      <c r="G1806" s="11" t="str">
        <f aca="false">IF(OR(E1806="",E1806="!!!"),"",IF(OR(J1806=0,AND(J1806=1,K1806=1),AND(J1806=1,I1806="SBJ"),AND(J1806=1,I1806=0)),"?IN_FOCUS",IF(J1806&lt;=2,"?ACTIVATED",IF(J1806&lt;&gt;"","?FAMILIAR",IF(F1806="NEW",IF(ISNA(VLOOKUP(E1806,#REF!,1,FALSE())),"?TYPE_IDENTIFIABLE","?REFERENTIAL"),"_")))))</f>
        <v/>
      </c>
      <c r="H1806" s="12" t="str">
        <f aca="false">IF(J1806&lt;&gt;1,"",IF(I1806="SBJ","CB","?"))</f>
        <v/>
      </c>
      <c r="I1806" s="13" t="str">
        <f aca="false">IF(OR(E1806="",E1806="!!!",F1806="NEW"),"",INDEX(B$2:B1805,-1+SUMPRODUCT(MAX(ROW(E$2:E1805)*(E1806=E$2:E1805)))))</f>
        <v/>
      </c>
      <c r="J1806" s="14" t="str">
        <f aca="true">IF(OR(E1806="",E1806="!!!",F1806="NEW"),"",COUNTBLANK(OFFSET(A$1,,,SUMPRODUCT(MAX(ROW(E$2:E1806)*(E1806=E$2:E1806)))))-COUNTBLANK(OFFSET(A$1,,,SUMPRODUCT(MAX(ROW(E$1:E1805)*(E1806=E$1:E1805))))))</f>
        <v/>
      </c>
      <c r="K1806" s="14" t="str">
        <f aca="false">IF(OR(E1806="",E1806="!!!",F1806="NEW"),"",INDEX(J$1:J1805,SUMPRODUCT(MAX(ROW(E$1:E1805)*(E1806=E$1:E1805)))))</f>
        <v/>
      </c>
      <c r="L1806" s="15"/>
    </row>
    <row r="1807" customFormat="false" ht="12.75" hidden="false" customHeight="false" outlineLevel="0" collapsed="false">
      <c r="A1807" s="0" t="s">
        <v>122</v>
      </c>
      <c r="B1807" s="0" t="s">
        <v>47</v>
      </c>
      <c r="C1807" s="0" t="s">
        <v>38</v>
      </c>
      <c r="D1807" s="0" t="s">
        <v>29</v>
      </c>
      <c r="E1807" s="9" t="str">
        <f aca="false">IF(D1807="?OLD","!!!","")</f>
        <v>!!!</v>
      </c>
      <c r="F1807" s="10" t="str">
        <f aca="false">IF(OR(E1807="",E1807="!!!"),"",IF(NOT(ISNA(VLOOKUP(E1807,E$1:E1806,1,FALSE()))),"OLD",IF(AND(E1807&lt;&gt;"",E1807&lt;&gt;"!!!"),"NEW","")))</f>
        <v/>
      </c>
      <c r="G1807" s="11" t="str">
        <f aca="false">IF(OR(E1807="",E1807="!!!"),"",IF(OR(J1807=0,AND(J1807=1,K1807=1),AND(J1807=1,I1807="SBJ"),AND(J1807=1,I1807=0)),"?IN_FOCUS",IF(J1807&lt;=2,"?ACTIVATED",IF(J1807&lt;&gt;"","?FAMILIAR",IF(F1807="NEW",IF(ISNA(VLOOKUP(E1807,#REF!,1,FALSE())),"?TYPE_IDENTIFIABLE","?REFERENTIAL"),"_")))))</f>
        <v/>
      </c>
      <c r="H1807" s="12" t="str">
        <f aca="false">IF(J1807&lt;&gt;1,"",IF(I1807="SBJ","CB","?"))</f>
        <v/>
      </c>
      <c r="I1807" s="13" t="str">
        <f aca="false">IF(OR(E1807="",E1807="!!!",F1807="NEW"),"",INDEX(B$2:B1806,-1+SUMPRODUCT(MAX(ROW(E$2:E1806)*(E1807=E$2:E1806)))))</f>
        <v/>
      </c>
      <c r="J1807" s="14" t="str">
        <f aca="true">IF(OR(E1807="",E1807="!!!",F1807="NEW"),"",COUNTBLANK(OFFSET(A$1,,,SUMPRODUCT(MAX(ROW(E$2:E1807)*(E1807=E$2:E1807)))))-COUNTBLANK(OFFSET(A$1,,,SUMPRODUCT(MAX(ROW(E$1:E1806)*(E1807=E$1:E1806))))))</f>
        <v/>
      </c>
      <c r="K1807" s="14" t="str">
        <f aca="false">IF(OR(E1807="",E1807="!!!",F1807="NEW"),"",INDEX(J$1:J1806,SUMPRODUCT(MAX(ROW(E$1:E1806)*(E1807=E$1:E1806)))))</f>
        <v/>
      </c>
      <c r="L1807" s="15"/>
    </row>
    <row r="1808" customFormat="false" ht="12.75" hidden="false" customHeight="false" outlineLevel="0" collapsed="false">
      <c r="A1808" s="0" t="s">
        <v>746</v>
      </c>
      <c r="E1808" s="9" t="str">
        <f aca="false">IF(D1808="?OLD","!!!","")</f>
        <v/>
      </c>
      <c r="F1808" s="10" t="str">
        <f aca="false">IF(OR(E1808="",E1808="!!!"),"",IF(NOT(ISNA(VLOOKUP(E1808,E$1:E1807,1,FALSE()))),"OLD",IF(AND(E1808&lt;&gt;"",E1808&lt;&gt;"!!!"),"NEW","")))</f>
        <v/>
      </c>
      <c r="G1808" s="11" t="str">
        <f aca="false">IF(OR(E1808="",E1808="!!!"),"",IF(OR(J1808=0,AND(J1808=1,K1808=1),AND(J1808=1,I1808="SBJ"),AND(J1808=1,I1808=0)),"?IN_FOCUS",IF(J1808&lt;=2,"?ACTIVATED",IF(J1808&lt;&gt;"","?FAMILIAR",IF(F1808="NEW",IF(ISNA(VLOOKUP(E1808,#REF!,1,FALSE())),"?TYPE_IDENTIFIABLE","?REFERENTIAL"),"_")))))</f>
        <v/>
      </c>
      <c r="H1808" s="12" t="str">
        <f aca="false">IF(J1808&lt;&gt;1,"",IF(I1808="SBJ","CB","?"))</f>
        <v/>
      </c>
      <c r="I1808" s="13" t="str">
        <f aca="false">IF(OR(E1808="",E1808="!!!",F1808="NEW"),"",INDEX(B$2:B1807,-1+SUMPRODUCT(MAX(ROW(E$2:E1807)*(E1808=E$2:E1807)))))</f>
        <v/>
      </c>
      <c r="J1808" s="14" t="str">
        <f aca="true">IF(OR(E1808="",E1808="!!!",F1808="NEW"),"",COUNTBLANK(OFFSET(A$1,,,SUMPRODUCT(MAX(ROW(E$2:E1808)*(E1808=E$2:E1808)))))-COUNTBLANK(OFFSET(A$1,,,SUMPRODUCT(MAX(ROW(E$1:E1807)*(E1808=E$1:E1807))))))</f>
        <v/>
      </c>
      <c r="K1808" s="14" t="str">
        <f aca="false">IF(OR(E1808="",E1808="!!!",F1808="NEW"),"",INDEX(J$1:J1807,SUMPRODUCT(MAX(ROW(E$1:E1807)*(E1808=E$1:E1807)))))</f>
        <v/>
      </c>
      <c r="L1808" s="15"/>
    </row>
    <row r="1809" customFormat="false" ht="12.75" hidden="false" customHeight="false" outlineLevel="0" collapsed="false">
      <c r="A1809" s="0" t="s">
        <v>97</v>
      </c>
      <c r="B1809" s="0" t="s">
        <v>107</v>
      </c>
      <c r="C1809" s="0" t="s">
        <v>38</v>
      </c>
      <c r="D1809" s="0" t="s">
        <v>29</v>
      </c>
      <c r="E1809" s="9" t="str">
        <f aca="false">IF(D1809="?OLD","!!!","")</f>
        <v>!!!</v>
      </c>
      <c r="F1809" s="10" t="str">
        <f aca="false">IF(OR(E1809="",E1809="!!!"),"",IF(NOT(ISNA(VLOOKUP(E1809,E$1:E1808,1,FALSE()))),"OLD",IF(AND(E1809&lt;&gt;"",E1809&lt;&gt;"!!!"),"NEW","")))</f>
        <v/>
      </c>
      <c r="G1809" s="11" t="str">
        <f aca="false">IF(OR(E1809="",E1809="!!!"),"",IF(OR(J1809=0,AND(J1809=1,K1809=1),AND(J1809=1,I1809="SBJ"),AND(J1809=1,I1809=0)),"?IN_FOCUS",IF(J1809&lt;=2,"?ACTIVATED",IF(J1809&lt;&gt;"","?FAMILIAR",IF(F1809="NEW",IF(ISNA(VLOOKUP(E1809,#REF!,1,FALSE())),"?TYPE_IDENTIFIABLE","?REFERENTIAL"),"_")))))</f>
        <v/>
      </c>
      <c r="H1809" s="12" t="str">
        <f aca="false">IF(J1809&lt;&gt;1,"",IF(I1809="SBJ","CB","?"))</f>
        <v/>
      </c>
      <c r="I1809" s="13" t="str">
        <f aca="false">IF(OR(E1809="",E1809="!!!",F1809="NEW"),"",INDEX(B$2:B1808,-1+SUMPRODUCT(MAX(ROW(E$2:E1808)*(E1809=E$2:E1808)))))</f>
        <v/>
      </c>
      <c r="J1809" s="14" t="str">
        <f aca="true">IF(OR(E1809="",E1809="!!!",F1809="NEW"),"",COUNTBLANK(OFFSET(A$1,,,SUMPRODUCT(MAX(ROW(E$2:E1809)*(E1809=E$2:E1809)))))-COUNTBLANK(OFFSET(A$1,,,SUMPRODUCT(MAX(ROW(E$1:E1808)*(E1809=E$1:E1808))))))</f>
        <v/>
      </c>
      <c r="K1809" s="14" t="str">
        <f aca="false">IF(OR(E1809="",E1809="!!!",F1809="NEW"),"",INDEX(J$1:J1808,SUMPRODUCT(MAX(ROW(E$1:E1808)*(E1809=E$1:E1808)))))</f>
        <v/>
      </c>
      <c r="L1809" s="15"/>
    </row>
    <row r="1810" customFormat="false" ht="12.75" hidden="false" customHeight="false" outlineLevel="0" collapsed="false">
      <c r="A1810" s="0" t="s">
        <v>610</v>
      </c>
      <c r="E1810" s="9" t="str">
        <f aca="false">IF(D1810="?OLD","!!!","")</f>
        <v/>
      </c>
      <c r="F1810" s="10" t="str">
        <f aca="false">IF(OR(E1810="",E1810="!!!"),"",IF(NOT(ISNA(VLOOKUP(E1810,E$1:E1809,1,FALSE()))),"OLD",IF(AND(E1810&lt;&gt;"",E1810&lt;&gt;"!!!"),"NEW","")))</f>
        <v/>
      </c>
      <c r="G1810" s="11" t="str">
        <f aca="false">IF(OR(E1810="",E1810="!!!"),"",IF(OR(J1810=0,AND(J1810=1,K1810=1),AND(J1810=1,I1810="SBJ"),AND(J1810=1,I1810=0)),"?IN_FOCUS",IF(J1810&lt;=2,"?ACTIVATED",IF(J1810&lt;&gt;"","?FAMILIAR",IF(F1810="NEW",IF(ISNA(VLOOKUP(E1810,#REF!,1,FALSE())),"?TYPE_IDENTIFIABLE","?REFERENTIAL"),"_")))))</f>
        <v/>
      </c>
      <c r="H1810" s="12" t="str">
        <f aca="false">IF(J1810&lt;&gt;1,"",IF(I1810="SBJ","CB","?"))</f>
        <v/>
      </c>
      <c r="I1810" s="13" t="str">
        <f aca="false">IF(OR(E1810="",E1810="!!!",F1810="NEW"),"",INDEX(B$2:B1809,-1+SUMPRODUCT(MAX(ROW(E$2:E1809)*(E1810=E$2:E1809)))))</f>
        <v/>
      </c>
      <c r="J1810" s="14" t="str">
        <f aca="true">IF(OR(E1810="",E1810="!!!",F1810="NEW"),"",COUNTBLANK(OFFSET(A$1,,,SUMPRODUCT(MAX(ROW(E$2:E1810)*(E1810=E$2:E1810)))))-COUNTBLANK(OFFSET(A$1,,,SUMPRODUCT(MAX(ROW(E$1:E1809)*(E1810=E$1:E1809))))))</f>
        <v/>
      </c>
      <c r="K1810" s="14" t="str">
        <f aca="false">IF(OR(E1810="",E1810="!!!",F1810="NEW"),"",INDEX(J$1:J1809,SUMPRODUCT(MAX(ROW(E$1:E1809)*(E1810=E$1:E1809)))))</f>
        <v/>
      </c>
      <c r="L1810" s="15"/>
    </row>
    <row r="1811" customFormat="false" ht="12.75" hidden="false" customHeight="false" outlineLevel="0" collapsed="false">
      <c r="A1811" s="0" t="s">
        <v>73</v>
      </c>
      <c r="E1811" s="9" t="str">
        <f aca="false">IF(D1811="?OLD","!!!","")</f>
        <v/>
      </c>
      <c r="F1811" s="10" t="str">
        <f aca="false">IF(OR(E1811="",E1811="!!!"),"",IF(NOT(ISNA(VLOOKUP(E1811,E$1:E1810,1,FALSE()))),"OLD",IF(AND(E1811&lt;&gt;"",E1811&lt;&gt;"!!!"),"NEW","")))</f>
        <v/>
      </c>
      <c r="G1811" s="11" t="str">
        <f aca="false">IF(OR(E1811="",E1811="!!!"),"",IF(OR(J1811=0,AND(J1811=1,K1811=1),AND(J1811=1,I1811="SBJ"),AND(J1811=1,I1811=0)),"?IN_FOCUS",IF(J1811&lt;=2,"?ACTIVATED",IF(J1811&lt;&gt;"","?FAMILIAR",IF(F1811="NEW",IF(ISNA(VLOOKUP(E1811,#REF!,1,FALSE())),"?TYPE_IDENTIFIABLE","?REFERENTIAL"),"_")))))</f>
        <v/>
      </c>
      <c r="H1811" s="12" t="str">
        <f aca="false">IF(J1811&lt;&gt;1,"",IF(I1811="SBJ","CB","?"))</f>
        <v/>
      </c>
      <c r="I1811" s="13" t="str">
        <f aca="false">IF(OR(E1811="",E1811="!!!",F1811="NEW"),"",INDEX(B$2:B1810,-1+SUMPRODUCT(MAX(ROW(E$2:E1810)*(E1811=E$2:E1810)))))</f>
        <v/>
      </c>
      <c r="J1811" s="14" t="str">
        <f aca="true">IF(OR(E1811="",E1811="!!!",F1811="NEW"),"",COUNTBLANK(OFFSET(A$1,,,SUMPRODUCT(MAX(ROW(E$2:E1811)*(E1811=E$2:E1811)))))-COUNTBLANK(OFFSET(A$1,,,SUMPRODUCT(MAX(ROW(E$1:E1810)*(E1811=E$1:E1810))))))</f>
        <v/>
      </c>
      <c r="K1811" s="14" t="str">
        <f aca="false">IF(OR(E1811="",E1811="!!!",F1811="NEW"),"",INDEX(J$1:J1810,SUMPRODUCT(MAX(ROW(E$1:E1810)*(E1811=E$1:E1810)))))</f>
        <v/>
      </c>
      <c r="L1811" s="15"/>
    </row>
    <row r="1812" customFormat="false" ht="12.75" hidden="false" customHeight="false" outlineLevel="0" collapsed="false">
      <c r="A1812" s="0" t="s">
        <v>262</v>
      </c>
      <c r="E1812" s="9" t="str">
        <f aca="false">IF(D1812="?OLD","!!!","")</f>
        <v/>
      </c>
      <c r="F1812" s="10" t="str">
        <f aca="false">IF(OR(E1812="",E1812="!!!"),"",IF(NOT(ISNA(VLOOKUP(E1812,E$1:E1811,1,FALSE()))),"OLD",IF(AND(E1812&lt;&gt;"",E1812&lt;&gt;"!!!"),"NEW","")))</f>
        <v/>
      </c>
      <c r="G1812" s="11" t="str">
        <f aca="false">IF(OR(E1812="",E1812="!!!"),"",IF(OR(J1812=0,AND(J1812=1,K1812=1),AND(J1812=1,I1812="SBJ"),AND(J1812=1,I1812=0)),"?IN_FOCUS",IF(J1812&lt;=2,"?ACTIVATED",IF(J1812&lt;&gt;"","?FAMILIAR",IF(F1812="NEW",IF(ISNA(VLOOKUP(E1812,#REF!,1,FALSE())),"?TYPE_IDENTIFIABLE","?REFERENTIAL"),"_")))))</f>
        <v/>
      </c>
      <c r="H1812" s="12" t="str">
        <f aca="false">IF(J1812&lt;&gt;1,"",IF(I1812="SBJ","CB","?"))</f>
        <v/>
      </c>
      <c r="I1812" s="13" t="str">
        <f aca="false">IF(OR(E1812="",E1812="!!!",F1812="NEW"),"",INDEX(B$2:B1811,-1+SUMPRODUCT(MAX(ROW(E$2:E1811)*(E1812=E$2:E1811)))))</f>
        <v/>
      </c>
      <c r="J1812" s="14" t="str">
        <f aca="true">IF(OR(E1812="",E1812="!!!",F1812="NEW"),"",COUNTBLANK(OFFSET(A$1,,,SUMPRODUCT(MAX(ROW(E$2:E1812)*(E1812=E$2:E1812)))))-COUNTBLANK(OFFSET(A$1,,,SUMPRODUCT(MAX(ROW(E$1:E1811)*(E1812=E$1:E1811))))))</f>
        <v/>
      </c>
      <c r="K1812" s="14" t="str">
        <f aca="false">IF(OR(E1812="",E1812="!!!",F1812="NEW"),"",INDEX(J$1:J1811,SUMPRODUCT(MAX(ROW(E$1:E1811)*(E1812=E$1:E1811)))))</f>
        <v/>
      </c>
      <c r="L1812" s="15"/>
    </row>
    <row r="1813" customFormat="false" ht="12.75" hidden="false" customHeight="false" outlineLevel="0" collapsed="false">
      <c r="E1813" s="9" t="str">
        <f aca="false">IF(D1813="?OLD","!!!","")</f>
        <v/>
      </c>
      <c r="F1813" s="10" t="str">
        <f aca="false">IF(OR(E1813="",E1813="!!!"),"",IF(NOT(ISNA(VLOOKUP(E1813,E$1:E1812,1,FALSE()))),"OLD",IF(AND(E1813&lt;&gt;"",E1813&lt;&gt;"!!!"),"NEW","")))</f>
        <v/>
      </c>
      <c r="G1813" s="11" t="str">
        <f aca="false">IF(OR(E1813="",E1813="!!!"),"",IF(OR(J1813=0,AND(J1813=1,K1813=1),AND(J1813=1,I1813="SBJ"),AND(J1813=1,I1813=0)),"?IN_FOCUS",IF(J1813&lt;=2,"?ACTIVATED",IF(J1813&lt;&gt;"","?FAMILIAR",IF(F1813="NEW",IF(ISNA(VLOOKUP(E1813,#REF!,1,FALSE())),"?TYPE_IDENTIFIABLE","?REFERENTIAL"),"_")))))</f>
        <v/>
      </c>
      <c r="H1813" s="12" t="str">
        <f aca="false">IF(J1813&lt;&gt;1,"",IF(I1813="SBJ","CB","?"))</f>
        <v/>
      </c>
      <c r="I1813" s="13" t="str">
        <f aca="false">IF(OR(E1813="",E1813="!!!",F1813="NEW"),"",INDEX(B$2:B1812,-1+SUMPRODUCT(MAX(ROW(E$2:E1812)*(E1813=E$2:E1812)))))</f>
        <v/>
      </c>
      <c r="J1813" s="14" t="str">
        <f aca="true">IF(OR(E1813="",E1813="!!!",F1813="NEW"),"",COUNTBLANK(OFFSET(A$1,,,SUMPRODUCT(MAX(ROW(E$2:E1813)*(E1813=E$2:E1813)))))-COUNTBLANK(OFFSET(A$1,,,SUMPRODUCT(MAX(ROW(E$1:E1812)*(E1813=E$1:E1812))))))</f>
        <v/>
      </c>
      <c r="K1813" s="14" t="str">
        <f aca="false">IF(OR(E1813="",E1813="!!!",F1813="NEW"),"",INDEX(J$1:J1812,SUMPRODUCT(MAX(ROW(E$1:E1812)*(E1813=E$1:E1812)))))</f>
        <v/>
      </c>
      <c r="L1813" s="15"/>
    </row>
    <row r="1814" customFormat="false" ht="12.75" hidden="false" customHeight="false" outlineLevel="0" collapsed="false">
      <c r="A1814" s="0" t="s">
        <v>747</v>
      </c>
      <c r="E1814" s="9" t="str">
        <f aca="false">IF(D1814="?OLD","!!!","")</f>
        <v/>
      </c>
      <c r="F1814" s="10" t="str">
        <f aca="false">IF(OR(E1814="",E1814="!!!"),"",IF(NOT(ISNA(VLOOKUP(E1814,E$1:E1813,1,FALSE()))),"OLD",IF(AND(E1814&lt;&gt;"",E1814&lt;&gt;"!!!"),"NEW","")))</f>
        <v/>
      </c>
      <c r="G1814" s="11" t="str">
        <f aca="false">IF(OR(E1814="",E1814="!!!"),"",IF(OR(J1814=0,AND(J1814=1,K1814=1),AND(J1814=1,I1814="SBJ"),AND(J1814=1,I1814=0)),"?IN_FOCUS",IF(J1814&lt;=2,"?ACTIVATED",IF(J1814&lt;&gt;"","?FAMILIAR",IF(F1814="NEW",IF(ISNA(VLOOKUP(E1814,#REF!,1,FALSE())),"?TYPE_IDENTIFIABLE","?REFERENTIAL"),"_")))))</f>
        <v/>
      </c>
      <c r="H1814" s="12" t="str">
        <f aca="false">IF(J1814&lt;&gt;1,"",IF(I1814="SBJ","CB","?"))</f>
        <v/>
      </c>
      <c r="I1814" s="13" t="str">
        <f aca="false">IF(OR(E1814="",E1814="!!!",F1814="NEW"),"",INDEX(B$2:B1813,-1+SUMPRODUCT(MAX(ROW(E$2:E1813)*(E1814=E$2:E1813)))))</f>
        <v/>
      </c>
      <c r="J1814" s="14" t="str">
        <f aca="true">IF(OR(E1814="",E1814="!!!",F1814="NEW"),"",COUNTBLANK(OFFSET(A$1,,,SUMPRODUCT(MAX(ROW(E$2:E1814)*(E1814=E$2:E1814)))))-COUNTBLANK(OFFSET(A$1,,,SUMPRODUCT(MAX(ROW(E$1:E1813)*(E1814=E$1:E1813))))))</f>
        <v/>
      </c>
      <c r="K1814" s="14" t="str">
        <f aca="false">IF(OR(E1814="",E1814="!!!",F1814="NEW"),"",INDEX(J$1:J1813,SUMPRODUCT(MAX(ROW(E$1:E1813)*(E1814=E$1:E1813)))))</f>
        <v/>
      </c>
      <c r="L1814" s="15"/>
    </row>
    <row r="1815" customFormat="false" ht="12.75" hidden="false" customHeight="false" outlineLevel="0" collapsed="false">
      <c r="A1815" s="0" t="s">
        <v>311</v>
      </c>
      <c r="E1815" s="9" t="str">
        <f aca="false">IF(D1815="?OLD","!!!","")</f>
        <v/>
      </c>
      <c r="F1815" s="10" t="str">
        <f aca="false">IF(OR(E1815="",E1815="!!!"),"",IF(NOT(ISNA(VLOOKUP(E1815,E$1:E1814,1,FALSE()))),"OLD",IF(AND(E1815&lt;&gt;"",E1815&lt;&gt;"!!!"),"NEW","")))</f>
        <v/>
      </c>
      <c r="G1815" s="11" t="str">
        <f aca="false">IF(OR(E1815="",E1815="!!!"),"",IF(OR(J1815=0,AND(J1815=1,K1815=1),AND(J1815=1,I1815="SBJ"),AND(J1815=1,I1815=0)),"?IN_FOCUS",IF(J1815&lt;=2,"?ACTIVATED",IF(J1815&lt;&gt;"","?FAMILIAR",IF(F1815="NEW",IF(ISNA(VLOOKUP(E1815,#REF!,1,FALSE())),"?TYPE_IDENTIFIABLE","?REFERENTIAL"),"_")))))</f>
        <v/>
      </c>
      <c r="H1815" s="12" t="str">
        <f aca="false">IF(J1815&lt;&gt;1,"",IF(I1815="SBJ","CB","?"))</f>
        <v/>
      </c>
      <c r="I1815" s="13" t="str">
        <f aca="false">IF(OR(E1815="",E1815="!!!",F1815="NEW"),"",INDEX(B$2:B1814,-1+SUMPRODUCT(MAX(ROW(E$2:E1814)*(E1815=E$2:E1814)))))</f>
        <v/>
      </c>
      <c r="J1815" s="14" t="str">
        <f aca="true">IF(OR(E1815="",E1815="!!!",F1815="NEW"),"",COUNTBLANK(OFFSET(A$1,,,SUMPRODUCT(MAX(ROW(E$2:E1815)*(E1815=E$2:E1815)))))-COUNTBLANK(OFFSET(A$1,,,SUMPRODUCT(MAX(ROW(E$1:E1814)*(E1815=E$1:E1814))))))</f>
        <v/>
      </c>
      <c r="K1815" s="14" t="str">
        <f aca="false">IF(OR(E1815="",E1815="!!!",F1815="NEW"),"",INDEX(J$1:J1814,SUMPRODUCT(MAX(ROW(E$1:E1814)*(E1815=E$1:E1814)))))</f>
        <v/>
      </c>
      <c r="L1815" s="15"/>
    </row>
    <row r="1816" customFormat="false" ht="12.75" hidden="false" customHeight="false" outlineLevel="0" collapsed="false">
      <c r="A1816" s="0" t="s">
        <v>501</v>
      </c>
      <c r="B1816" s="0" t="s">
        <v>14</v>
      </c>
      <c r="C1816" s="0" t="s">
        <v>43</v>
      </c>
      <c r="E1816" s="9" t="str">
        <f aca="false">IF(D1816="?OLD","!!!","")</f>
        <v/>
      </c>
      <c r="F1816" s="10" t="str">
        <f aca="false">IF(OR(E1816="",E1816="!!!"),"",IF(NOT(ISNA(VLOOKUP(E1816,E$1:E1815,1,FALSE()))),"OLD",IF(AND(E1816&lt;&gt;"",E1816&lt;&gt;"!!!"),"NEW","")))</f>
        <v/>
      </c>
      <c r="G1816" s="11" t="str">
        <f aca="false">IF(OR(E1816="",E1816="!!!"),"",IF(OR(J1816=0,AND(J1816=1,K1816=1),AND(J1816=1,I1816="SBJ"),AND(J1816=1,I1816=0)),"?IN_FOCUS",IF(J1816&lt;=2,"?ACTIVATED",IF(J1816&lt;&gt;"","?FAMILIAR",IF(F1816="NEW",IF(ISNA(VLOOKUP(E1816,#REF!,1,FALSE())),"?TYPE_IDENTIFIABLE","?REFERENTIAL"),"_")))))</f>
        <v/>
      </c>
      <c r="H1816" s="12" t="str">
        <f aca="false">IF(J1816&lt;&gt;1,"",IF(I1816="SBJ","CB","?"))</f>
        <v/>
      </c>
      <c r="I1816" s="13" t="str">
        <f aca="false">IF(OR(E1816="",E1816="!!!",F1816="NEW"),"",INDEX(B$2:B1815,-1+SUMPRODUCT(MAX(ROW(E$2:E1815)*(E1816=E$2:E1815)))))</f>
        <v/>
      </c>
      <c r="J1816" s="14" t="str">
        <f aca="true">IF(OR(E1816="",E1816="!!!",F1816="NEW"),"",COUNTBLANK(OFFSET(A$1,,,SUMPRODUCT(MAX(ROW(E$2:E1816)*(E1816=E$2:E1816)))))-COUNTBLANK(OFFSET(A$1,,,SUMPRODUCT(MAX(ROW(E$1:E1815)*(E1816=E$1:E1815))))))</f>
        <v/>
      </c>
      <c r="K1816" s="14" t="str">
        <f aca="false">IF(OR(E1816="",E1816="!!!",F1816="NEW"),"",INDEX(J$1:J1815,SUMPRODUCT(MAX(ROW(E$1:E1815)*(E1816=E$1:E1815)))))</f>
        <v/>
      </c>
      <c r="L1816" s="15"/>
    </row>
    <row r="1817" customFormat="false" ht="12.75" hidden="false" customHeight="false" outlineLevel="0" collapsed="false">
      <c r="A1817" s="0" t="s">
        <v>19</v>
      </c>
      <c r="E1817" s="9" t="str">
        <f aca="false">IF(D1817="?OLD","!!!","")</f>
        <v/>
      </c>
      <c r="F1817" s="10" t="str">
        <f aca="false">IF(OR(E1817="",E1817="!!!"),"",IF(NOT(ISNA(VLOOKUP(E1817,E$1:E1816,1,FALSE()))),"OLD",IF(AND(E1817&lt;&gt;"",E1817&lt;&gt;"!!!"),"NEW","")))</f>
        <v/>
      </c>
      <c r="G1817" s="11" t="str">
        <f aca="false">IF(OR(E1817="",E1817="!!!"),"",IF(OR(J1817=0,AND(J1817=1,K1817=1),AND(J1817=1,I1817="SBJ"),AND(J1817=1,I1817=0)),"?IN_FOCUS",IF(J1817&lt;=2,"?ACTIVATED",IF(J1817&lt;&gt;"","?FAMILIAR",IF(F1817="NEW",IF(ISNA(VLOOKUP(E1817,#REF!,1,FALSE())),"?TYPE_IDENTIFIABLE","?REFERENTIAL"),"_")))))</f>
        <v/>
      </c>
      <c r="H1817" s="12" t="str">
        <f aca="false">IF(J1817&lt;&gt;1,"",IF(I1817="SBJ","CB","?"))</f>
        <v/>
      </c>
      <c r="I1817" s="13" t="str">
        <f aca="false">IF(OR(E1817="",E1817="!!!",F1817="NEW"),"",INDEX(B$2:B1816,-1+SUMPRODUCT(MAX(ROW(E$2:E1816)*(E1817=E$2:E1816)))))</f>
        <v/>
      </c>
      <c r="J1817" s="14" t="str">
        <f aca="true">IF(OR(E1817="",E1817="!!!",F1817="NEW"),"",COUNTBLANK(OFFSET(A$1,,,SUMPRODUCT(MAX(ROW(E$2:E1817)*(E1817=E$2:E1817)))))-COUNTBLANK(OFFSET(A$1,,,SUMPRODUCT(MAX(ROW(E$1:E1816)*(E1817=E$1:E1816))))))</f>
        <v/>
      </c>
      <c r="K1817" s="14" t="str">
        <f aca="false">IF(OR(E1817="",E1817="!!!",F1817="NEW"),"",INDEX(J$1:J1816,SUMPRODUCT(MAX(ROW(E$1:E1816)*(E1817=E$1:E1816)))))</f>
        <v/>
      </c>
      <c r="L1817" s="15"/>
    </row>
    <row r="1818" customFormat="false" ht="12.75" hidden="false" customHeight="false" outlineLevel="0" collapsed="false">
      <c r="A1818" s="0" t="s">
        <v>748</v>
      </c>
      <c r="E1818" s="9" t="str">
        <f aca="false">IF(D1818="?OLD","!!!","")</f>
        <v/>
      </c>
      <c r="F1818" s="10" t="str">
        <f aca="false">IF(OR(E1818="",E1818="!!!"),"",IF(NOT(ISNA(VLOOKUP(E1818,E$1:E1817,1,FALSE()))),"OLD",IF(AND(E1818&lt;&gt;"",E1818&lt;&gt;"!!!"),"NEW","")))</f>
        <v/>
      </c>
      <c r="G1818" s="11" t="str">
        <f aca="false">IF(OR(E1818="",E1818="!!!"),"",IF(OR(J1818=0,AND(J1818=1,K1818=1),AND(J1818=1,I1818="SBJ"),AND(J1818=1,I1818=0)),"?IN_FOCUS",IF(J1818&lt;=2,"?ACTIVATED",IF(J1818&lt;&gt;"","?FAMILIAR",IF(F1818="NEW",IF(ISNA(VLOOKUP(E1818,#REF!,1,FALSE())),"?TYPE_IDENTIFIABLE","?REFERENTIAL"),"_")))))</f>
        <v/>
      </c>
      <c r="H1818" s="12" t="str">
        <f aca="false">IF(J1818&lt;&gt;1,"",IF(I1818="SBJ","CB","?"))</f>
        <v/>
      </c>
      <c r="I1818" s="13" t="str">
        <f aca="false">IF(OR(E1818="",E1818="!!!",F1818="NEW"),"",INDEX(B$2:B1817,-1+SUMPRODUCT(MAX(ROW(E$2:E1817)*(E1818=E$2:E1817)))))</f>
        <v/>
      </c>
      <c r="J1818" s="14" t="str">
        <f aca="true">IF(OR(E1818="",E1818="!!!",F1818="NEW"),"",COUNTBLANK(OFFSET(A$1,,,SUMPRODUCT(MAX(ROW(E$2:E1818)*(E1818=E$2:E1818)))))-COUNTBLANK(OFFSET(A$1,,,SUMPRODUCT(MAX(ROW(E$1:E1817)*(E1818=E$1:E1817))))))</f>
        <v/>
      </c>
      <c r="K1818" s="14" t="str">
        <f aca="false">IF(OR(E1818="",E1818="!!!",F1818="NEW"),"",INDEX(J$1:J1817,SUMPRODUCT(MAX(ROW(E$1:E1817)*(E1818=E$1:E1817)))))</f>
        <v/>
      </c>
      <c r="L1818" s="15"/>
    </row>
    <row r="1819" customFormat="false" ht="12.75" hidden="false" customHeight="false" outlineLevel="0" collapsed="false">
      <c r="A1819" s="0" t="s">
        <v>505</v>
      </c>
      <c r="B1819" s="0" t="s">
        <v>28</v>
      </c>
      <c r="C1819" s="0" t="s">
        <v>120</v>
      </c>
      <c r="E1819" s="9" t="str">
        <f aca="false">IF(D1819="?OLD","!!!","")</f>
        <v/>
      </c>
      <c r="F1819" s="10" t="str">
        <f aca="false">IF(OR(E1819="",E1819="!!!"),"",IF(NOT(ISNA(VLOOKUP(E1819,E$1:E1818,1,FALSE()))),"OLD",IF(AND(E1819&lt;&gt;"",E1819&lt;&gt;"!!!"),"NEW","")))</f>
        <v/>
      </c>
      <c r="G1819" s="11" t="str">
        <f aca="false">IF(OR(E1819="",E1819="!!!"),"",IF(OR(J1819=0,AND(J1819=1,K1819=1),AND(J1819=1,I1819="SBJ"),AND(J1819=1,I1819=0)),"?IN_FOCUS",IF(J1819&lt;=2,"?ACTIVATED",IF(J1819&lt;&gt;"","?FAMILIAR",IF(F1819="NEW",IF(ISNA(VLOOKUP(E1819,#REF!,1,FALSE())),"?TYPE_IDENTIFIABLE","?REFERENTIAL"),"_")))))</f>
        <v/>
      </c>
      <c r="H1819" s="12" t="str">
        <f aca="false">IF(J1819&lt;&gt;1,"",IF(I1819="SBJ","CB","?"))</f>
        <v/>
      </c>
      <c r="I1819" s="13" t="str">
        <f aca="false">IF(OR(E1819="",E1819="!!!",F1819="NEW"),"",INDEX(B$2:B1818,-1+SUMPRODUCT(MAX(ROW(E$2:E1818)*(E1819=E$2:E1818)))))</f>
        <v/>
      </c>
      <c r="J1819" s="14" t="str">
        <f aca="true">IF(OR(E1819="",E1819="!!!",F1819="NEW"),"",COUNTBLANK(OFFSET(A$1,,,SUMPRODUCT(MAX(ROW(E$2:E1819)*(E1819=E$2:E1819)))))-COUNTBLANK(OFFSET(A$1,,,SUMPRODUCT(MAX(ROW(E$1:E1818)*(E1819=E$1:E1818))))))</f>
        <v/>
      </c>
      <c r="K1819" s="14" t="str">
        <f aca="false">IF(OR(E1819="",E1819="!!!",F1819="NEW"),"",INDEX(J$1:J1818,SUMPRODUCT(MAX(ROW(E$1:E1818)*(E1819=E$1:E1818)))))</f>
        <v/>
      </c>
      <c r="L1819" s="15"/>
    </row>
    <row r="1820" customFormat="false" ht="12.75" hidden="false" customHeight="false" outlineLevel="0" collapsed="false">
      <c r="A1820" s="0" t="s">
        <v>749</v>
      </c>
      <c r="E1820" s="9" t="str">
        <f aca="false">IF(D1820="?OLD","!!!","")</f>
        <v/>
      </c>
      <c r="F1820" s="10" t="str">
        <f aca="false">IF(OR(E1820="",E1820="!!!"),"",IF(NOT(ISNA(VLOOKUP(E1820,E$1:E1819,1,FALSE()))),"OLD",IF(AND(E1820&lt;&gt;"",E1820&lt;&gt;"!!!"),"NEW","")))</f>
        <v/>
      </c>
      <c r="G1820" s="11" t="str">
        <f aca="false">IF(OR(E1820="",E1820="!!!"),"",IF(OR(J1820=0,AND(J1820=1,K1820=1),AND(J1820=1,I1820="SBJ"),AND(J1820=1,I1820=0)),"?IN_FOCUS",IF(J1820&lt;=2,"?ACTIVATED",IF(J1820&lt;&gt;"","?FAMILIAR",IF(F1820="NEW",IF(ISNA(VLOOKUP(E1820,#REF!,1,FALSE())),"?TYPE_IDENTIFIABLE","?REFERENTIAL"),"_")))))</f>
        <v/>
      </c>
      <c r="H1820" s="12" t="str">
        <f aca="false">IF(J1820&lt;&gt;1,"",IF(I1820="SBJ","CB","?"))</f>
        <v/>
      </c>
      <c r="I1820" s="13" t="str">
        <f aca="false">IF(OR(E1820="",E1820="!!!",F1820="NEW"),"",INDEX(B$2:B1819,-1+SUMPRODUCT(MAX(ROW(E$2:E1819)*(E1820=E$2:E1819)))))</f>
        <v/>
      </c>
      <c r="J1820" s="14" t="str">
        <f aca="true">IF(OR(E1820="",E1820="!!!",F1820="NEW"),"",COUNTBLANK(OFFSET(A$1,,,SUMPRODUCT(MAX(ROW(E$2:E1820)*(E1820=E$2:E1820)))))-COUNTBLANK(OFFSET(A$1,,,SUMPRODUCT(MAX(ROW(E$1:E1819)*(E1820=E$1:E1819))))))</f>
        <v/>
      </c>
      <c r="K1820" s="14" t="str">
        <f aca="false">IF(OR(E1820="",E1820="!!!",F1820="NEW"),"",INDEX(J$1:J1819,SUMPRODUCT(MAX(ROW(E$1:E1819)*(E1820=E$1:E1819)))))</f>
        <v/>
      </c>
      <c r="L1820" s="15"/>
    </row>
    <row r="1821" customFormat="false" ht="12.75" hidden="false" customHeight="false" outlineLevel="0" collapsed="false">
      <c r="A1821" s="0" t="s">
        <v>66</v>
      </c>
      <c r="E1821" s="9" t="str">
        <f aca="false">IF(D1821="?OLD","!!!","")</f>
        <v/>
      </c>
      <c r="F1821" s="10" t="str">
        <f aca="false">IF(OR(E1821="",E1821="!!!"),"",IF(NOT(ISNA(VLOOKUP(E1821,E$1:E1820,1,FALSE()))),"OLD",IF(AND(E1821&lt;&gt;"",E1821&lt;&gt;"!!!"),"NEW","")))</f>
        <v/>
      </c>
      <c r="G1821" s="11" t="str">
        <f aca="false">IF(OR(E1821="",E1821="!!!"),"",IF(OR(J1821=0,AND(J1821=1,K1821=1),AND(J1821=1,I1821="SBJ"),AND(J1821=1,I1821=0)),"?IN_FOCUS",IF(J1821&lt;=2,"?ACTIVATED",IF(J1821&lt;&gt;"","?FAMILIAR",IF(F1821="NEW",IF(ISNA(VLOOKUP(E1821,#REF!,1,FALSE())),"?TYPE_IDENTIFIABLE","?REFERENTIAL"),"_")))))</f>
        <v/>
      </c>
      <c r="H1821" s="12" t="str">
        <f aca="false">IF(J1821&lt;&gt;1,"",IF(I1821="SBJ","CB","?"))</f>
        <v/>
      </c>
      <c r="I1821" s="13" t="str">
        <f aca="false">IF(OR(E1821="",E1821="!!!",F1821="NEW"),"",INDEX(B$2:B1820,-1+SUMPRODUCT(MAX(ROW(E$2:E1820)*(E1821=E$2:E1820)))))</f>
        <v/>
      </c>
      <c r="J1821" s="14" t="str">
        <f aca="true">IF(OR(E1821="",E1821="!!!",F1821="NEW"),"",COUNTBLANK(OFFSET(A$1,,,SUMPRODUCT(MAX(ROW(E$2:E1821)*(E1821=E$2:E1821)))))-COUNTBLANK(OFFSET(A$1,,,SUMPRODUCT(MAX(ROW(E$1:E1820)*(E1821=E$1:E1820))))))</f>
        <v/>
      </c>
      <c r="K1821" s="14" t="str">
        <f aca="false">IF(OR(E1821="",E1821="!!!",F1821="NEW"),"",INDEX(J$1:J1820,SUMPRODUCT(MAX(ROW(E$1:E1820)*(E1821=E$1:E1820)))))</f>
        <v/>
      </c>
      <c r="L1821" s="15"/>
    </row>
    <row r="1822" customFormat="false" ht="12.75" hidden="false" customHeight="false" outlineLevel="0" collapsed="false">
      <c r="A1822" s="0" t="s">
        <v>750</v>
      </c>
      <c r="B1822" s="0" t="s">
        <v>37</v>
      </c>
      <c r="C1822" s="0" t="s">
        <v>111</v>
      </c>
      <c r="D1822" s="0" t="s">
        <v>29</v>
      </c>
      <c r="E1822" s="9" t="str">
        <f aca="false">IF(D1822="?OLD","!!!","")</f>
        <v>!!!</v>
      </c>
      <c r="F1822" s="10" t="str">
        <f aca="false">IF(OR(E1822="",E1822="!!!"),"",IF(NOT(ISNA(VLOOKUP(E1822,E$1:E1821,1,FALSE()))),"OLD",IF(AND(E1822&lt;&gt;"",E1822&lt;&gt;"!!!"),"NEW","")))</f>
        <v/>
      </c>
      <c r="G1822" s="11" t="str">
        <f aca="false">IF(OR(E1822="",E1822="!!!"),"",IF(OR(J1822=0,AND(J1822=1,K1822=1),AND(J1822=1,I1822="SBJ"),AND(J1822=1,I1822=0)),"?IN_FOCUS",IF(J1822&lt;=2,"?ACTIVATED",IF(J1822&lt;&gt;"","?FAMILIAR",IF(F1822="NEW",IF(ISNA(VLOOKUP(E1822,#REF!,1,FALSE())),"?TYPE_IDENTIFIABLE","?REFERENTIAL"),"_")))))</f>
        <v/>
      </c>
      <c r="H1822" s="12" t="str">
        <f aca="false">IF(J1822&lt;&gt;1,"",IF(I1822="SBJ","CB","?"))</f>
        <v/>
      </c>
      <c r="I1822" s="13" t="str">
        <f aca="false">IF(OR(E1822="",E1822="!!!",F1822="NEW"),"",INDEX(B$2:B1821,-1+SUMPRODUCT(MAX(ROW(E$2:E1821)*(E1822=E$2:E1821)))))</f>
        <v/>
      </c>
      <c r="J1822" s="14" t="str">
        <f aca="true">IF(OR(E1822="",E1822="!!!",F1822="NEW"),"",COUNTBLANK(OFFSET(A$1,,,SUMPRODUCT(MAX(ROW(E$2:E1822)*(E1822=E$2:E1822)))))-COUNTBLANK(OFFSET(A$1,,,SUMPRODUCT(MAX(ROW(E$1:E1821)*(E1822=E$1:E1821))))))</f>
        <v/>
      </c>
      <c r="K1822" s="14" t="str">
        <f aca="false">IF(OR(E1822="",E1822="!!!",F1822="NEW"),"",INDEX(J$1:J1821,SUMPRODUCT(MAX(ROW(E$1:E1821)*(E1822=E$1:E1821)))))</f>
        <v/>
      </c>
      <c r="L1822" s="15"/>
    </row>
    <row r="1823" customFormat="false" ht="12.75" hidden="false" customHeight="false" outlineLevel="0" collapsed="false">
      <c r="A1823" s="0" t="s">
        <v>19</v>
      </c>
      <c r="E1823" s="9" t="str">
        <f aca="false">IF(D1823="?OLD","!!!","")</f>
        <v/>
      </c>
      <c r="F1823" s="10" t="str">
        <f aca="false">IF(OR(E1823="",E1823="!!!"),"",IF(NOT(ISNA(VLOOKUP(E1823,E$1:E1822,1,FALSE()))),"OLD",IF(AND(E1823&lt;&gt;"",E1823&lt;&gt;"!!!"),"NEW","")))</f>
        <v/>
      </c>
      <c r="G1823" s="11" t="str">
        <f aca="false">IF(OR(E1823="",E1823="!!!"),"",IF(OR(J1823=0,AND(J1823=1,K1823=1),AND(J1823=1,I1823="SBJ"),AND(J1823=1,I1823=0)),"?IN_FOCUS",IF(J1823&lt;=2,"?ACTIVATED",IF(J1823&lt;&gt;"","?FAMILIAR",IF(F1823="NEW",IF(ISNA(VLOOKUP(E1823,#REF!,1,FALSE())),"?TYPE_IDENTIFIABLE","?REFERENTIAL"),"_")))))</f>
        <v/>
      </c>
      <c r="H1823" s="12" t="str">
        <f aca="false">IF(J1823&lt;&gt;1,"",IF(I1823="SBJ","CB","?"))</f>
        <v/>
      </c>
      <c r="I1823" s="13" t="str">
        <f aca="false">IF(OR(E1823="",E1823="!!!",F1823="NEW"),"",INDEX(B$2:B1822,-1+SUMPRODUCT(MAX(ROW(E$2:E1822)*(E1823=E$2:E1822)))))</f>
        <v/>
      </c>
      <c r="J1823" s="14" t="str">
        <f aca="true">IF(OR(E1823="",E1823="!!!",F1823="NEW"),"",COUNTBLANK(OFFSET(A$1,,,SUMPRODUCT(MAX(ROW(E$2:E1823)*(E1823=E$2:E1823)))))-COUNTBLANK(OFFSET(A$1,,,SUMPRODUCT(MAX(ROW(E$1:E1822)*(E1823=E$1:E1822))))))</f>
        <v/>
      </c>
      <c r="K1823" s="14" t="str">
        <f aca="false">IF(OR(E1823="",E1823="!!!",F1823="NEW"),"",INDEX(J$1:J1822,SUMPRODUCT(MAX(ROW(E$1:E1822)*(E1823=E$1:E1822)))))</f>
        <v/>
      </c>
      <c r="L1823" s="15"/>
    </row>
    <row r="1824" customFormat="false" ht="12.75" hidden="false" customHeight="false" outlineLevel="0" collapsed="false">
      <c r="A1824" s="0" t="s">
        <v>66</v>
      </c>
      <c r="E1824" s="9" t="str">
        <f aca="false">IF(D1824="?OLD","!!!","")</f>
        <v/>
      </c>
      <c r="F1824" s="10" t="str">
        <f aca="false">IF(OR(E1824="",E1824="!!!"),"",IF(NOT(ISNA(VLOOKUP(E1824,E$1:E1823,1,FALSE()))),"OLD",IF(AND(E1824&lt;&gt;"",E1824&lt;&gt;"!!!"),"NEW","")))</f>
        <v/>
      </c>
      <c r="G1824" s="11" t="str">
        <f aca="false">IF(OR(E1824="",E1824="!!!"),"",IF(OR(J1824=0,AND(J1824=1,K1824=1),AND(J1824=1,I1824="SBJ"),AND(J1824=1,I1824=0)),"?IN_FOCUS",IF(J1824&lt;=2,"?ACTIVATED",IF(J1824&lt;&gt;"","?FAMILIAR",IF(F1824="NEW",IF(ISNA(VLOOKUP(E1824,#REF!,1,FALSE())),"?TYPE_IDENTIFIABLE","?REFERENTIAL"),"_")))))</f>
        <v/>
      </c>
      <c r="H1824" s="12" t="str">
        <f aca="false">IF(J1824&lt;&gt;1,"",IF(I1824="SBJ","CB","?"))</f>
        <v/>
      </c>
      <c r="I1824" s="13" t="str">
        <f aca="false">IF(OR(E1824="",E1824="!!!",F1824="NEW"),"",INDEX(B$2:B1823,-1+SUMPRODUCT(MAX(ROW(E$2:E1823)*(E1824=E$2:E1823)))))</f>
        <v/>
      </c>
      <c r="J1824" s="14" t="str">
        <f aca="true">IF(OR(E1824="",E1824="!!!",F1824="NEW"),"",COUNTBLANK(OFFSET(A$1,,,SUMPRODUCT(MAX(ROW(E$2:E1824)*(E1824=E$2:E1824)))))-COUNTBLANK(OFFSET(A$1,,,SUMPRODUCT(MAX(ROW(E$1:E1823)*(E1824=E$1:E1823))))))</f>
        <v/>
      </c>
      <c r="K1824" s="14" t="str">
        <f aca="false">IF(OR(E1824="",E1824="!!!",F1824="NEW"),"",INDEX(J$1:J1823,SUMPRODUCT(MAX(ROW(E$1:E1823)*(E1824=E$1:E1823)))))</f>
        <v/>
      </c>
      <c r="L1824" s="15"/>
    </row>
    <row r="1825" customFormat="false" ht="12.75" hidden="false" customHeight="false" outlineLevel="0" collapsed="false">
      <c r="A1825" s="0" t="s">
        <v>192</v>
      </c>
      <c r="B1825" s="0" t="s">
        <v>28</v>
      </c>
      <c r="C1825" s="0" t="s">
        <v>111</v>
      </c>
      <c r="D1825" s="0" t="s">
        <v>29</v>
      </c>
      <c r="E1825" s="9" t="str">
        <f aca="false">IF(D1825="?OLD","!!!","")</f>
        <v>!!!</v>
      </c>
      <c r="F1825" s="10" t="str">
        <f aca="false">IF(OR(E1825="",E1825="!!!"),"",IF(NOT(ISNA(VLOOKUP(E1825,E$1:E1824,1,FALSE()))),"OLD",IF(AND(E1825&lt;&gt;"",E1825&lt;&gt;"!!!"),"NEW","")))</f>
        <v/>
      </c>
      <c r="G1825" s="11" t="str">
        <f aca="false">IF(OR(E1825="",E1825="!!!"),"",IF(OR(J1825=0,AND(J1825=1,K1825=1),AND(J1825=1,I1825="SBJ"),AND(J1825=1,I1825=0)),"?IN_FOCUS",IF(J1825&lt;=2,"?ACTIVATED",IF(J1825&lt;&gt;"","?FAMILIAR",IF(F1825="NEW",IF(ISNA(VLOOKUP(E1825,#REF!,1,FALSE())),"?TYPE_IDENTIFIABLE","?REFERENTIAL"),"_")))))</f>
        <v/>
      </c>
      <c r="H1825" s="12" t="str">
        <f aca="false">IF(J1825&lt;&gt;1,"",IF(I1825="SBJ","CB","?"))</f>
        <v/>
      </c>
      <c r="I1825" s="13" t="str">
        <f aca="false">IF(OR(E1825="",E1825="!!!",F1825="NEW"),"",INDEX(B$2:B1824,-1+SUMPRODUCT(MAX(ROW(E$2:E1824)*(E1825=E$2:E1824)))))</f>
        <v/>
      </c>
      <c r="J1825" s="14" t="str">
        <f aca="true">IF(OR(E1825="",E1825="!!!",F1825="NEW"),"",COUNTBLANK(OFFSET(A$1,,,SUMPRODUCT(MAX(ROW(E$2:E1825)*(E1825=E$2:E1825)))))-COUNTBLANK(OFFSET(A$1,,,SUMPRODUCT(MAX(ROW(E$1:E1824)*(E1825=E$1:E1824))))))</f>
        <v/>
      </c>
      <c r="K1825" s="14" t="str">
        <f aca="false">IF(OR(E1825="",E1825="!!!",F1825="NEW"),"",INDEX(J$1:J1824,SUMPRODUCT(MAX(ROW(E$1:E1824)*(E1825=E$1:E1824)))))</f>
        <v/>
      </c>
      <c r="L1825" s="15"/>
    </row>
    <row r="1826" customFormat="false" ht="12.75" hidden="false" customHeight="false" outlineLevel="0" collapsed="false">
      <c r="A1826" s="0" t="s">
        <v>73</v>
      </c>
      <c r="E1826" s="9" t="str">
        <f aca="false">IF(D1826="?OLD","!!!","")</f>
        <v/>
      </c>
      <c r="F1826" s="10" t="str">
        <f aca="false">IF(OR(E1826="",E1826="!!!"),"",IF(NOT(ISNA(VLOOKUP(E1826,E$1:E1825,1,FALSE()))),"OLD",IF(AND(E1826&lt;&gt;"",E1826&lt;&gt;"!!!"),"NEW","")))</f>
        <v/>
      </c>
      <c r="G1826" s="11" t="str">
        <f aca="false">IF(OR(E1826="",E1826="!!!"),"",IF(OR(J1826=0,AND(J1826=1,K1826=1),AND(J1826=1,I1826="SBJ"),AND(J1826=1,I1826=0)),"?IN_FOCUS",IF(J1826&lt;=2,"?ACTIVATED",IF(J1826&lt;&gt;"","?FAMILIAR",IF(F1826="NEW",IF(ISNA(VLOOKUP(E1826,#REF!,1,FALSE())),"?TYPE_IDENTIFIABLE","?REFERENTIAL"),"_")))))</f>
        <v/>
      </c>
      <c r="H1826" s="12" t="str">
        <f aca="false">IF(J1826&lt;&gt;1,"",IF(I1826="SBJ","CB","?"))</f>
        <v/>
      </c>
      <c r="I1826" s="13" t="str">
        <f aca="false">IF(OR(E1826="",E1826="!!!",F1826="NEW"),"",INDEX(B$2:B1825,-1+SUMPRODUCT(MAX(ROW(E$2:E1825)*(E1826=E$2:E1825)))))</f>
        <v/>
      </c>
      <c r="J1826" s="14" t="str">
        <f aca="true">IF(OR(E1826="",E1826="!!!",F1826="NEW"),"",COUNTBLANK(OFFSET(A$1,,,SUMPRODUCT(MAX(ROW(E$2:E1826)*(E1826=E$2:E1826)))))-COUNTBLANK(OFFSET(A$1,,,SUMPRODUCT(MAX(ROW(E$1:E1825)*(E1826=E$1:E1825))))))</f>
        <v/>
      </c>
      <c r="K1826" s="14" t="str">
        <f aca="false">IF(OR(E1826="",E1826="!!!",F1826="NEW"),"",INDEX(J$1:J1825,SUMPRODUCT(MAX(ROW(E$1:E1825)*(E1826=E$1:E1825)))))</f>
        <v/>
      </c>
      <c r="L1826" s="15"/>
    </row>
    <row r="1827" customFormat="false" ht="12.75" hidden="false" customHeight="false" outlineLevel="0" collapsed="false">
      <c r="E1827" s="9" t="str">
        <f aca="false">IF(D1827="?OLD","!!!","")</f>
        <v/>
      </c>
      <c r="F1827" s="10" t="str">
        <f aca="false">IF(OR(E1827="",E1827="!!!"),"",IF(NOT(ISNA(VLOOKUP(E1827,E$1:E1826,1,FALSE()))),"OLD",IF(AND(E1827&lt;&gt;"",E1827&lt;&gt;"!!!"),"NEW","")))</f>
        <v/>
      </c>
      <c r="G1827" s="11" t="str">
        <f aca="false">IF(OR(E1827="",E1827="!!!"),"",IF(OR(J1827=0,AND(J1827=1,K1827=1),AND(J1827=1,I1827="SBJ"),AND(J1827=1,I1827=0)),"?IN_FOCUS",IF(J1827&lt;=2,"?ACTIVATED",IF(J1827&lt;&gt;"","?FAMILIAR",IF(F1827="NEW",IF(ISNA(VLOOKUP(E1827,#REF!,1,FALSE())),"?TYPE_IDENTIFIABLE","?REFERENTIAL"),"_")))))</f>
        <v/>
      </c>
      <c r="H1827" s="12" t="str">
        <f aca="false">IF(J1827&lt;&gt;1,"",IF(I1827="SBJ","CB","?"))</f>
        <v/>
      </c>
      <c r="I1827" s="13" t="str">
        <f aca="false">IF(OR(E1827="",E1827="!!!",F1827="NEW"),"",INDEX(B$2:B1826,-1+SUMPRODUCT(MAX(ROW(E$2:E1826)*(E1827=E$2:E1826)))))</f>
        <v/>
      </c>
      <c r="J1827" s="14" t="str">
        <f aca="true">IF(OR(E1827="",E1827="!!!",F1827="NEW"),"",COUNTBLANK(OFFSET(A$1,,,SUMPRODUCT(MAX(ROW(E$2:E1827)*(E1827=E$2:E1827)))))-COUNTBLANK(OFFSET(A$1,,,SUMPRODUCT(MAX(ROW(E$1:E1826)*(E1827=E$1:E1826))))))</f>
        <v/>
      </c>
      <c r="K1827" s="14" t="str">
        <f aca="false">IF(OR(E1827="",E1827="!!!",F1827="NEW"),"",INDEX(J$1:J1826,SUMPRODUCT(MAX(ROW(E$1:E1826)*(E1827=E$1:E1826)))))</f>
        <v/>
      </c>
      <c r="L1827" s="15"/>
    </row>
    <row r="1828" customFormat="false" ht="12.75" hidden="false" customHeight="false" outlineLevel="0" collapsed="false">
      <c r="A1828" s="0" t="s">
        <v>751</v>
      </c>
      <c r="E1828" s="9" t="str">
        <f aca="false">IF(D1828="?OLD","!!!","")</f>
        <v/>
      </c>
      <c r="F1828" s="10" t="str">
        <f aca="false">IF(OR(E1828="",E1828="!!!"),"",IF(NOT(ISNA(VLOOKUP(E1828,E$1:E1827,1,FALSE()))),"OLD",IF(AND(E1828&lt;&gt;"",E1828&lt;&gt;"!!!"),"NEW","")))</f>
        <v/>
      </c>
      <c r="G1828" s="11" t="str">
        <f aca="false">IF(OR(E1828="",E1828="!!!"),"",IF(OR(J1828=0,AND(J1828=1,K1828=1),AND(J1828=1,I1828="SBJ"),AND(J1828=1,I1828=0)),"?IN_FOCUS",IF(J1828&lt;=2,"?ACTIVATED",IF(J1828&lt;&gt;"","?FAMILIAR",IF(F1828="NEW",IF(ISNA(VLOOKUP(E1828,#REF!,1,FALSE())),"?TYPE_IDENTIFIABLE","?REFERENTIAL"),"_")))))</f>
        <v/>
      </c>
      <c r="H1828" s="12" t="str">
        <f aca="false">IF(J1828&lt;&gt;1,"",IF(I1828="SBJ","CB","?"))</f>
        <v/>
      </c>
      <c r="I1828" s="13" t="str">
        <f aca="false">IF(OR(E1828="",E1828="!!!",F1828="NEW"),"",INDEX(B$2:B1827,-1+SUMPRODUCT(MAX(ROW(E$2:E1827)*(E1828=E$2:E1827)))))</f>
        <v/>
      </c>
      <c r="J1828" s="14" t="str">
        <f aca="true">IF(OR(E1828="",E1828="!!!",F1828="NEW"),"",COUNTBLANK(OFFSET(A$1,,,SUMPRODUCT(MAX(ROW(E$2:E1828)*(E1828=E$2:E1828)))))-COUNTBLANK(OFFSET(A$1,,,SUMPRODUCT(MAX(ROW(E$1:E1827)*(E1828=E$1:E1827))))))</f>
        <v/>
      </c>
      <c r="K1828" s="14" t="str">
        <f aca="false">IF(OR(E1828="",E1828="!!!",F1828="NEW"),"",INDEX(J$1:J1827,SUMPRODUCT(MAX(ROW(E$1:E1827)*(E1828=E$1:E1827)))))</f>
        <v/>
      </c>
      <c r="L1828" s="15"/>
    </row>
    <row r="1829" customFormat="false" ht="12.75" hidden="false" customHeight="false" outlineLevel="0" collapsed="false">
      <c r="A1829" s="0" t="s">
        <v>752</v>
      </c>
      <c r="E1829" s="9" t="str">
        <f aca="false">IF(D1829="?OLD","!!!","")</f>
        <v/>
      </c>
      <c r="F1829" s="10" t="str">
        <f aca="false">IF(OR(E1829="",E1829="!!!"),"",IF(NOT(ISNA(VLOOKUP(E1829,E$1:E1828,1,FALSE()))),"OLD",IF(AND(E1829&lt;&gt;"",E1829&lt;&gt;"!!!"),"NEW","")))</f>
        <v/>
      </c>
      <c r="G1829" s="11" t="str">
        <f aca="false">IF(OR(E1829="",E1829="!!!"),"",IF(OR(J1829=0,AND(J1829=1,K1829=1),AND(J1829=1,I1829="SBJ"),AND(J1829=1,I1829=0)),"?IN_FOCUS",IF(J1829&lt;=2,"?ACTIVATED",IF(J1829&lt;&gt;"","?FAMILIAR",IF(F1829="NEW",IF(ISNA(VLOOKUP(E1829,#REF!,1,FALSE())),"?TYPE_IDENTIFIABLE","?REFERENTIAL"),"_")))))</f>
        <v/>
      </c>
      <c r="H1829" s="12" t="str">
        <f aca="false">IF(J1829&lt;&gt;1,"",IF(I1829="SBJ","CB","?"))</f>
        <v/>
      </c>
      <c r="I1829" s="13" t="str">
        <f aca="false">IF(OR(E1829="",E1829="!!!",F1829="NEW"),"",INDEX(B$2:B1828,-1+SUMPRODUCT(MAX(ROW(E$2:E1828)*(E1829=E$2:E1828)))))</f>
        <v/>
      </c>
      <c r="J1829" s="14" t="str">
        <f aca="true">IF(OR(E1829="",E1829="!!!",F1829="NEW"),"",COUNTBLANK(OFFSET(A$1,,,SUMPRODUCT(MAX(ROW(E$2:E1829)*(E1829=E$2:E1829)))))-COUNTBLANK(OFFSET(A$1,,,SUMPRODUCT(MAX(ROW(E$1:E1828)*(E1829=E$1:E1828))))))</f>
        <v/>
      </c>
      <c r="K1829" s="14" t="str">
        <f aca="false">IF(OR(E1829="",E1829="!!!",F1829="NEW"),"",INDEX(J$1:J1828,SUMPRODUCT(MAX(ROW(E$1:E1828)*(E1829=E$1:E1828)))))</f>
        <v/>
      </c>
      <c r="L1829" s="15"/>
    </row>
    <row r="1830" customFormat="false" ht="12.75" hidden="false" customHeight="false" outlineLevel="0" collapsed="false">
      <c r="A1830" s="0" t="s">
        <v>753</v>
      </c>
      <c r="E1830" s="9" t="str">
        <f aca="false">IF(D1830="?OLD","!!!","")</f>
        <v/>
      </c>
      <c r="F1830" s="10" t="str">
        <f aca="false">IF(OR(E1830="",E1830="!!!"),"",IF(NOT(ISNA(VLOOKUP(E1830,E$1:E1829,1,FALSE()))),"OLD",IF(AND(E1830&lt;&gt;"",E1830&lt;&gt;"!!!"),"NEW","")))</f>
        <v/>
      </c>
      <c r="G1830" s="11" t="str">
        <f aca="false">IF(OR(E1830="",E1830="!!!"),"",IF(OR(J1830=0,AND(J1830=1,K1830=1),AND(J1830=1,I1830="SBJ"),AND(J1830=1,I1830=0)),"?IN_FOCUS",IF(J1830&lt;=2,"?ACTIVATED",IF(J1830&lt;&gt;"","?FAMILIAR",IF(F1830="NEW",IF(ISNA(VLOOKUP(E1830,#REF!,1,FALSE())),"?TYPE_IDENTIFIABLE","?REFERENTIAL"),"_")))))</f>
        <v/>
      </c>
      <c r="H1830" s="12" t="str">
        <f aca="false">IF(J1830&lt;&gt;1,"",IF(I1830="SBJ","CB","?"))</f>
        <v/>
      </c>
      <c r="I1830" s="13" t="str">
        <f aca="false">IF(OR(E1830="",E1830="!!!",F1830="NEW"),"",INDEX(B$2:B1829,-1+SUMPRODUCT(MAX(ROW(E$2:E1829)*(E1830=E$2:E1829)))))</f>
        <v/>
      </c>
      <c r="J1830" s="14" t="str">
        <f aca="true">IF(OR(E1830="",E1830="!!!",F1830="NEW"),"",COUNTBLANK(OFFSET(A$1,,,SUMPRODUCT(MAX(ROW(E$2:E1830)*(E1830=E$2:E1830)))))-COUNTBLANK(OFFSET(A$1,,,SUMPRODUCT(MAX(ROW(E$1:E1829)*(E1830=E$1:E1829))))))</f>
        <v/>
      </c>
      <c r="K1830" s="14" t="str">
        <f aca="false">IF(OR(E1830="",E1830="!!!",F1830="NEW"),"",INDEX(J$1:J1829,SUMPRODUCT(MAX(ROW(E$1:E1829)*(E1830=E$1:E1829)))))</f>
        <v/>
      </c>
      <c r="L1830" s="15"/>
    </row>
    <row r="1831" customFormat="false" ht="12.75" hidden="false" customHeight="false" outlineLevel="0" collapsed="false">
      <c r="A1831" s="0" t="s">
        <v>66</v>
      </c>
      <c r="E1831" s="9" t="str">
        <f aca="false">IF(D1831="?OLD","!!!","")</f>
        <v/>
      </c>
      <c r="F1831" s="10" t="str">
        <f aca="false">IF(OR(E1831="",E1831="!!!"),"",IF(NOT(ISNA(VLOOKUP(E1831,E$1:E1830,1,FALSE()))),"OLD",IF(AND(E1831&lt;&gt;"",E1831&lt;&gt;"!!!"),"NEW","")))</f>
        <v/>
      </c>
      <c r="G1831" s="11" t="str">
        <f aca="false">IF(OR(E1831="",E1831="!!!"),"",IF(OR(J1831=0,AND(J1831=1,K1831=1),AND(J1831=1,I1831="SBJ"),AND(J1831=1,I1831=0)),"?IN_FOCUS",IF(J1831&lt;=2,"?ACTIVATED",IF(J1831&lt;&gt;"","?FAMILIAR",IF(F1831="NEW",IF(ISNA(VLOOKUP(E1831,#REF!,1,FALSE())),"?TYPE_IDENTIFIABLE","?REFERENTIAL"),"_")))))</f>
        <v/>
      </c>
      <c r="H1831" s="12" t="str">
        <f aca="false">IF(J1831&lt;&gt;1,"",IF(I1831="SBJ","CB","?"))</f>
        <v/>
      </c>
      <c r="I1831" s="13" t="str">
        <f aca="false">IF(OR(E1831="",E1831="!!!",F1831="NEW"),"",INDEX(B$2:B1830,-1+SUMPRODUCT(MAX(ROW(E$2:E1830)*(E1831=E$2:E1830)))))</f>
        <v/>
      </c>
      <c r="J1831" s="14" t="str">
        <f aca="true">IF(OR(E1831="",E1831="!!!",F1831="NEW"),"",COUNTBLANK(OFFSET(A$1,,,SUMPRODUCT(MAX(ROW(E$2:E1831)*(E1831=E$2:E1831)))))-COUNTBLANK(OFFSET(A$1,,,SUMPRODUCT(MAX(ROW(E$1:E1830)*(E1831=E$1:E1830))))))</f>
        <v/>
      </c>
      <c r="K1831" s="14" t="str">
        <f aca="false">IF(OR(E1831="",E1831="!!!",F1831="NEW"),"",INDEX(J$1:J1830,SUMPRODUCT(MAX(ROW(E$1:E1830)*(E1831=E$1:E1830)))))</f>
        <v/>
      </c>
      <c r="L1831" s="15"/>
    </row>
    <row r="1832" customFormat="false" ht="12.75" hidden="false" customHeight="false" outlineLevel="0" collapsed="false">
      <c r="A1832" s="0" t="s">
        <v>754</v>
      </c>
      <c r="B1832" s="0" t="s">
        <v>28</v>
      </c>
      <c r="C1832" s="0" t="s">
        <v>111</v>
      </c>
      <c r="D1832" s="0" t="s">
        <v>29</v>
      </c>
      <c r="E1832" s="9" t="str">
        <f aca="false">IF(D1832="?OLD","!!!","")</f>
        <v>!!!</v>
      </c>
      <c r="F1832" s="10" t="str">
        <f aca="false">IF(OR(E1832="",E1832="!!!"),"",IF(NOT(ISNA(VLOOKUP(E1832,E$1:E1831,1,FALSE()))),"OLD",IF(AND(E1832&lt;&gt;"",E1832&lt;&gt;"!!!"),"NEW","")))</f>
        <v/>
      </c>
      <c r="G1832" s="11" t="str">
        <f aca="false">IF(OR(E1832="",E1832="!!!"),"",IF(OR(J1832=0,AND(J1832=1,K1832=1),AND(J1832=1,I1832="SBJ"),AND(J1832=1,I1832=0)),"?IN_FOCUS",IF(J1832&lt;=2,"?ACTIVATED",IF(J1832&lt;&gt;"","?FAMILIAR",IF(F1832="NEW",IF(ISNA(VLOOKUP(E1832,#REF!,1,FALSE())),"?TYPE_IDENTIFIABLE","?REFERENTIAL"),"_")))))</f>
        <v/>
      </c>
      <c r="H1832" s="12" t="str">
        <f aca="false">IF(J1832&lt;&gt;1,"",IF(I1832="SBJ","CB","?"))</f>
        <v/>
      </c>
      <c r="I1832" s="13" t="str">
        <f aca="false">IF(OR(E1832="",E1832="!!!",F1832="NEW"),"",INDEX(B$2:B1831,-1+SUMPRODUCT(MAX(ROW(E$2:E1831)*(E1832=E$2:E1831)))))</f>
        <v/>
      </c>
      <c r="J1832" s="14" t="str">
        <f aca="true">IF(OR(E1832="",E1832="!!!",F1832="NEW"),"",COUNTBLANK(OFFSET(A$1,,,SUMPRODUCT(MAX(ROW(E$2:E1832)*(E1832=E$2:E1832)))))-COUNTBLANK(OFFSET(A$1,,,SUMPRODUCT(MAX(ROW(E$1:E1831)*(E1832=E$1:E1831))))))</f>
        <v/>
      </c>
      <c r="K1832" s="14" t="str">
        <f aca="false">IF(OR(E1832="",E1832="!!!",F1832="NEW"),"",INDEX(J$1:J1831,SUMPRODUCT(MAX(ROW(E$1:E1831)*(E1832=E$1:E1831)))))</f>
        <v/>
      </c>
      <c r="L1832" s="15"/>
    </row>
    <row r="1833" customFormat="false" ht="12.75" hidden="false" customHeight="false" outlineLevel="0" collapsed="false">
      <c r="A1833" s="0" t="s">
        <v>147</v>
      </c>
      <c r="B1833" s="0" t="s">
        <v>14</v>
      </c>
      <c r="C1833" s="0" t="s">
        <v>38</v>
      </c>
      <c r="D1833" s="0" t="s">
        <v>29</v>
      </c>
      <c r="E1833" s="9" t="str">
        <f aca="false">IF(D1833="?OLD","!!!","")</f>
        <v>!!!</v>
      </c>
      <c r="F1833" s="10" t="str">
        <f aca="false">IF(OR(E1833="",E1833="!!!"),"",IF(NOT(ISNA(VLOOKUP(E1833,E$1:E1832,1,FALSE()))),"OLD",IF(AND(E1833&lt;&gt;"",E1833&lt;&gt;"!!!"),"NEW","")))</f>
        <v/>
      </c>
      <c r="G1833" s="11" t="str">
        <f aca="false">IF(OR(E1833="",E1833="!!!"),"",IF(OR(J1833=0,AND(J1833=1,K1833=1),AND(J1833=1,I1833="SBJ"),AND(J1833=1,I1833=0)),"?IN_FOCUS",IF(J1833&lt;=2,"?ACTIVATED",IF(J1833&lt;&gt;"","?FAMILIAR",IF(F1833="NEW",IF(ISNA(VLOOKUP(E1833,#REF!,1,FALSE())),"?TYPE_IDENTIFIABLE","?REFERENTIAL"),"_")))))</f>
        <v/>
      </c>
      <c r="H1833" s="12" t="str">
        <f aca="false">IF(J1833&lt;&gt;1,"",IF(I1833="SBJ","CB","?"))</f>
        <v/>
      </c>
      <c r="I1833" s="13" t="str">
        <f aca="false">IF(OR(E1833="",E1833="!!!",F1833="NEW"),"",INDEX(B$2:B1832,-1+SUMPRODUCT(MAX(ROW(E$2:E1832)*(E1833=E$2:E1832)))))</f>
        <v/>
      </c>
      <c r="J1833" s="14" t="str">
        <f aca="true">IF(OR(E1833="",E1833="!!!",F1833="NEW"),"",COUNTBLANK(OFFSET(A$1,,,SUMPRODUCT(MAX(ROW(E$2:E1833)*(E1833=E$2:E1833)))))-COUNTBLANK(OFFSET(A$1,,,SUMPRODUCT(MAX(ROW(E$1:E1832)*(E1833=E$1:E1832))))))</f>
        <v/>
      </c>
      <c r="K1833" s="14" t="str">
        <f aca="false">IF(OR(E1833="",E1833="!!!",F1833="NEW"),"",INDEX(J$1:J1832,SUMPRODUCT(MAX(ROW(E$1:E1832)*(E1833=E$1:E1832)))))</f>
        <v/>
      </c>
      <c r="L1833" s="15"/>
    </row>
    <row r="1834" customFormat="false" ht="12.75" hidden="false" customHeight="false" outlineLevel="0" collapsed="false">
      <c r="A1834" s="0" t="s">
        <v>755</v>
      </c>
      <c r="E1834" s="9" t="str">
        <f aca="false">IF(D1834="?OLD","!!!","")</f>
        <v/>
      </c>
      <c r="F1834" s="10" t="str">
        <f aca="false">IF(OR(E1834="",E1834="!!!"),"",IF(NOT(ISNA(VLOOKUP(E1834,E$1:E1833,1,FALSE()))),"OLD",IF(AND(E1834&lt;&gt;"",E1834&lt;&gt;"!!!"),"NEW","")))</f>
        <v/>
      </c>
      <c r="G1834" s="11" t="str">
        <f aca="false">IF(OR(E1834="",E1834="!!!"),"",IF(OR(J1834=0,AND(J1834=1,K1834=1),AND(J1834=1,I1834="SBJ"),AND(J1834=1,I1834=0)),"?IN_FOCUS",IF(J1834&lt;=2,"?ACTIVATED",IF(J1834&lt;&gt;"","?FAMILIAR",IF(F1834="NEW",IF(ISNA(VLOOKUP(E1834,#REF!,1,FALSE())),"?TYPE_IDENTIFIABLE","?REFERENTIAL"),"_")))))</f>
        <v/>
      </c>
      <c r="H1834" s="12" t="str">
        <f aca="false">IF(J1834&lt;&gt;1,"",IF(I1834="SBJ","CB","?"))</f>
        <v/>
      </c>
      <c r="I1834" s="13" t="str">
        <f aca="false">IF(OR(E1834="",E1834="!!!",F1834="NEW"),"",INDEX(B$2:B1833,-1+SUMPRODUCT(MAX(ROW(E$2:E1833)*(E1834=E$2:E1833)))))</f>
        <v/>
      </c>
      <c r="J1834" s="14" t="str">
        <f aca="true">IF(OR(E1834="",E1834="!!!",F1834="NEW"),"",COUNTBLANK(OFFSET(A$1,,,SUMPRODUCT(MAX(ROW(E$2:E1834)*(E1834=E$2:E1834)))))-COUNTBLANK(OFFSET(A$1,,,SUMPRODUCT(MAX(ROW(E$1:E1833)*(E1834=E$1:E1833))))))</f>
        <v/>
      </c>
      <c r="K1834" s="14" t="str">
        <f aca="false">IF(OR(E1834="",E1834="!!!",F1834="NEW"),"",INDEX(J$1:J1833,SUMPRODUCT(MAX(ROW(E$1:E1833)*(E1834=E$1:E1833)))))</f>
        <v/>
      </c>
      <c r="L1834" s="15"/>
    </row>
    <row r="1835" customFormat="false" ht="12.75" hidden="false" customHeight="false" outlineLevel="0" collapsed="false">
      <c r="A1835" s="0" t="s">
        <v>756</v>
      </c>
      <c r="E1835" s="9" t="str">
        <f aca="false">IF(D1835="?OLD","!!!","")</f>
        <v/>
      </c>
      <c r="F1835" s="10" t="str">
        <f aca="false">IF(OR(E1835="",E1835="!!!"),"",IF(NOT(ISNA(VLOOKUP(E1835,E$1:E1834,1,FALSE()))),"OLD",IF(AND(E1835&lt;&gt;"",E1835&lt;&gt;"!!!"),"NEW","")))</f>
        <v/>
      </c>
      <c r="G1835" s="11" t="str">
        <f aca="false">IF(OR(E1835="",E1835="!!!"),"",IF(OR(J1835=0,AND(J1835=1,K1835=1),AND(J1835=1,I1835="SBJ"),AND(J1835=1,I1835=0)),"?IN_FOCUS",IF(J1835&lt;=2,"?ACTIVATED",IF(J1835&lt;&gt;"","?FAMILIAR",IF(F1835="NEW",IF(ISNA(VLOOKUP(E1835,#REF!,1,FALSE())),"?TYPE_IDENTIFIABLE","?REFERENTIAL"),"_")))))</f>
        <v/>
      </c>
      <c r="H1835" s="12" t="str">
        <f aca="false">IF(J1835&lt;&gt;1,"",IF(I1835="SBJ","CB","?"))</f>
        <v/>
      </c>
      <c r="I1835" s="13" t="str">
        <f aca="false">IF(OR(E1835="",E1835="!!!",F1835="NEW"),"",INDEX(B$2:B1834,-1+SUMPRODUCT(MAX(ROW(E$2:E1834)*(E1835=E$2:E1834)))))</f>
        <v/>
      </c>
      <c r="J1835" s="14" t="str">
        <f aca="true">IF(OR(E1835="",E1835="!!!",F1835="NEW"),"",COUNTBLANK(OFFSET(A$1,,,SUMPRODUCT(MAX(ROW(E$2:E1835)*(E1835=E$2:E1835)))))-COUNTBLANK(OFFSET(A$1,,,SUMPRODUCT(MAX(ROW(E$1:E1834)*(E1835=E$1:E1834))))))</f>
        <v/>
      </c>
      <c r="K1835" s="14" t="str">
        <f aca="false">IF(OR(E1835="",E1835="!!!",F1835="NEW"),"",INDEX(J$1:J1834,SUMPRODUCT(MAX(ROW(E$1:E1834)*(E1835=E$1:E1834)))))</f>
        <v/>
      </c>
      <c r="L1835" s="15"/>
    </row>
    <row r="1836" customFormat="false" ht="12.75" hidden="false" customHeight="false" outlineLevel="0" collapsed="false">
      <c r="A1836" s="0" t="s">
        <v>145</v>
      </c>
      <c r="E1836" s="9" t="str">
        <f aca="false">IF(D1836="?OLD","!!!","")</f>
        <v/>
      </c>
      <c r="F1836" s="10" t="str">
        <f aca="false">IF(OR(E1836="",E1836="!!!"),"",IF(NOT(ISNA(VLOOKUP(E1836,E$1:E1835,1,FALSE()))),"OLD",IF(AND(E1836&lt;&gt;"",E1836&lt;&gt;"!!!"),"NEW","")))</f>
        <v/>
      </c>
      <c r="G1836" s="11" t="str">
        <f aca="false">IF(OR(E1836="",E1836="!!!"),"",IF(OR(J1836=0,AND(J1836=1,K1836=1),AND(J1836=1,I1836="SBJ"),AND(J1836=1,I1836=0)),"?IN_FOCUS",IF(J1836&lt;=2,"?ACTIVATED",IF(J1836&lt;&gt;"","?FAMILIAR",IF(F1836="NEW",IF(ISNA(VLOOKUP(E1836,#REF!,1,FALSE())),"?TYPE_IDENTIFIABLE","?REFERENTIAL"),"_")))))</f>
        <v/>
      </c>
      <c r="H1836" s="12" t="str">
        <f aca="false">IF(J1836&lt;&gt;1,"",IF(I1836="SBJ","CB","?"))</f>
        <v/>
      </c>
      <c r="I1836" s="13" t="str">
        <f aca="false">IF(OR(E1836="",E1836="!!!",F1836="NEW"),"",INDEX(B$2:B1835,-1+SUMPRODUCT(MAX(ROW(E$2:E1835)*(E1836=E$2:E1835)))))</f>
        <v/>
      </c>
      <c r="J1836" s="14" t="str">
        <f aca="true">IF(OR(E1836="",E1836="!!!",F1836="NEW"),"",COUNTBLANK(OFFSET(A$1,,,SUMPRODUCT(MAX(ROW(E$2:E1836)*(E1836=E$2:E1836)))))-COUNTBLANK(OFFSET(A$1,,,SUMPRODUCT(MAX(ROW(E$1:E1835)*(E1836=E$1:E1835))))))</f>
        <v/>
      </c>
      <c r="K1836" s="14" t="str">
        <f aca="false">IF(OR(E1836="",E1836="!!!",F1836="NEW"),"",INDEX(J$1:J1835,SUMPRODUCT(MAX(ROW(E$1:E1835)*(E1836=E$1:E1835)))))</f>
        <v/>
      </c>
      <c r="L1836" s="15"/>
    </row>
    <row r="1837" customFormat="false" ht="12.75" hidden="false" customHeight="false" outlineLevel="0" collapsed="false">
      <c r="A1837" s="0" t="s">
        <v>66</v>
      </c>
      <c r="E1837" s="9" t="str">
        <f aca="false">IF(D1837="?OLD","!!!","")</f>
        <v/>
      </c>
      <c r="F1837" s="10" t="str">
        <f aca="false">IF(OR(E1837="",E1837="!!!"),"",IF(NOT(ISNA(VLOOKUP(E1837,E$1:E1836,1,FALSE()))),"OLD",IF(AND(E1837&lt;&gt;"",E1837&lt;&gt;"!!!"),"NEW","")))</f>
        <v/>
      </c>
      <c r="G1837" s="11" t="str">
        <f aca="false">IF(OR(E1837="",E1837="!!!"),"",IF(OR(J1837=0,AND(J1837=1,K1837=1),AND(J1837=1,I1837="SBJ"),AND(J1837=1,I1837=0)),"?IN_FOCUS",IF(J1837&lt;=2,"?ACTIVATED",IF(J1837&lt;&gt;"","?FAMILIAR",IF(F1837="NEW",IF(ISNA(VLOOKUP(E1837,#REF!,1,FALSE())),"?TYPE_IDENTIFIABLE","?REFERENTIAL"),"_")))))</f>
        <v/>
      </c>
      <c r="H1837" s="12" t="str">
        <f aca="false">IF(J1837&lt;&gt;1,"",IF(I1837="SBJ","CB","?"))</f>
        <v/>
      </c>
      <c r="I1837" s="13" t="str">
        <f aca="false">IF(OR(E1837="",E1837="!!!",F1837="NEW"),"",INDEX(B$2:B1836,-1+SUMPRODUCT(MAX(ROW(E$2:E1836)*(E1837=E$2:E1836)))))</f>
        <v/>
      </c>
      <c r="J1837" s="14" t="str">
        <f aca="true">IF(OR(E1837="",E1837="!!!",F1837="NEW"),"",COUNTBLANK(OFFSET(A$1,,,SUMPRODUCT(MAX(ROW(E$2:E1837)*(E1837=E$2:E1837)))))-COUNTBLANK(OFFSET(A$1,,,SUMPRODUCT(MAX(ROW(E$1:E1836)*(E1837=E$1:E1836))))))</f>
        <v/>
      </c>
      <c r="K1837" s="14" t="str">
        <f aca="false">IF(OR(E1837="",E1837="!!!",F1837="NEW"),"",INDEX(J$1:J1836,SUMPRODUCT(MAX(ROW(E$1:E1836)*(E1837=E$1:E1836)))))</f>
        <v/>
      </c>
      <c r="L1837" s="15"/>
    </row>
    <row r="1838" customFormat="false" ht="12.75" hidden="false" customHeight="false" outlineLevel="0" collapsed="false">
      <c r="A1838" s="0" t="s">
        <v>634</v>
      </c>
      <c r="B1838" s="0" t="s">
        <v>22</v>
      </c>
      <c r="C1838" s="0" t="s">
        <v>120</v>
      </c>
      <c r="E1838" s="9" t="str">
        <f aca="false">IF(D1838="?OLD","!!!","")</f>
        <v/>
      </c>
      <c r="F1838" s="10" t="str">
        <f aca="false">IF(OR(E1838="",E1838="!!!"),"",IF(NOT(ISNA(VLOOKUP(E1838,E$1:E1837,1,FALSE()))),"OLD",IF(AND(E1838&lt;&gt;"",E1838&lt;&gt;"!!!"),"NEW","")))</f>
        <v/>
      </c>
      <c r="G1838" s="11" t="str">
        <f aca="false">IF(OR(E1838="",E1838="!!!"),"",IF(OR(J1838=0,AND(J1838=1,K1838=1),AND(J1838=1,I1838="SBJ"),AND(J1838=1,I1838=0)),"?IN_FOCUS",IF(J1838&lt;=2,"?ACTIVATED",IF(J1838&lt;&gt;"","?FAMILIAR",IF(F1838="NEW",IF(ISNA(VLOOKUP(E1838,#REF!,1,FALSE())),"?TYPE_IDENTIFIABLE","?REFERENTIAL"),"_")))))</f>
        <v/>
      </c>
      <c r="H1838" s="12" t="str">
        <f aca="false">IF(J1838&lt;&gt;1,"",IF(I1838="SBJ","CB","?"))</f>
        <v/>
      </c>
      <c r="I1838" s="13" t="str">
        <f aca="false">IF(OR(E1838="",E1838="!!!",F1838="NEW"),"",INDEX(B$2:B1837,-1+SUMPRODUCT(MAX(ROW(E$2:E1837)*(E1838=E$2:E1837)))))</f>
        <v/>
      </c>
      <c r="J1838" s="14" t="str">
        <f aca="true">IF(OR(E1838="",E1838="!!!",F1838="NEW"),"",COUNTBLANK(OFFSET(A$1,,,SUMPRODUCT(MAX(ROW(E$2:E1838)*(E1838=E$2:E1838)))))-COUNTBLANK(OFFSET(A$1,,,SUMPRODUCT(MAX(ROW(E$1:E1837)*(E1838=E$1:E1837))))))</f>
        <v/>
      </c>
      <c r="K1838" s="14" t="str">
        <f aca="false">IF(OR(E1838="",E1838="!!!",F1838="NEW"),"",INDEX(J$1:J1837,SUMPRODUCT(MAX(ROW(E$1:E1837)*(E1838=E$1:E1837)))))</f>
        <v/>
      </c>
      <c r="L1838" s="15"/>
    </row>
    <row r="1839" customFormat="false" ht="12.75" hidden="false" customHeight="false" outlineLevel="0" collapsed="false">
      <c r="A1839" s="0" t="s">
        <v>68</v>
      </c>
      <c r="E1839" s="9" t="str">
        <f aca="false">IF(D1839="?OLD","!!!","")</f>
        <v/>
      </c>
      <c r="F1839" s="10" t="str">
        <f aca="false">IF(OR(E1839="",E1839="!!!"),"",IF(NOT(ISNA(VLOOKUP(E1839,E$1:E1838,1,FALSE()))),"OLD",IF(AND(E1839&lt;&gt;"",E1839&lt;&gt;"!!!"),"NEW","")))</f>
        <v/>
      </c>
      <c r="G1839" s="11" t="str">
        <f aca="false">IF(OR(E1839="",E1839="!!!"),"",IF(OR(J1839=0,AND(J1839=1,K1839=1),AND(J1839=1,I1839="SBJ"),AND(J1839=1,I1839=0)),"?IN_FOCUS",IF(J1839&lt;=2,"?ACTIVATED",IF(J1839&lt;&gt;"","?FAMILIAR",IF(F1839="NEW",IF(ISNA(VLOOKUP(E1839,#REF!,1,FALSE())),"?TYPE_IDENTIFIABLE","?REFERENTIAL"),"_")))))</f>
        <v/>
      </c>
      <c r="H1839" s="12" t="str">
        <f aca="false">IF(J1839&lt;&gt;1,"",IF(I1839="SBJ","CB","?"))</f>
        <v/>
      </c>
      <c r="I1839" s="13" t="str">
        <f aca="false">IF(OR(E1839="",E1839="!!!",F1839="NEW"),"",INDEX(B$2:B1838,-1+SUMPRODUCT(MAX(ROW(E$2:E1838)*(E1839=E$2:E1838)))))</f>
        <v/>
      </c>
      <c r="J1839" s="14" t="str">
        <f aca="true">IF(OR(E1839="",E1839="!!!",F1839="NEW"),"",COUNTBLANK(OFFSET(A$1,,,SUMPRODUCT(MAX(ROW(E$2:E1839)*(E1839=E$2:E1839)))))-COUNTBLANK(OFFSET(A$1,,,SUMPRODUCT(MAX(ROW(E$1:E1838)*(E1839=E$1:E1838))))))</f>
        <v/>
      </c>
      <c r="K1839" s="14" t="str">
        <f aca="false">IF(OR(E1839="",E1839="!!!",F1839="NEW"),"",INDEX(J$1:J1838,SUMPRODUCT(MAX(ROW(E$1:E1838)*(E1839=E$1:E1838)))))</f>
        <v/>
      </c>
      <c r="L1839" s="15"/>
    </row>
    <row r="1840" customFormat="false" ht="12.75" hidden="false" customHeight="false" outlineLevel="0" collapsed="false">
      <c r="A1840" s="0" t="s">
        <v>757</v>
      </c>
      <c r="E1840" s="9" t="str">
        <f aca="false">IF(D1840="?OLD","!!!","")</f>
        <v/>
      </c>
      <c r="F1840" s="10" t="str">
        <f aca="false">IF(OR(E1840="",E1840="!!!"),"",IF(NOT(ISNA(VLOOKUP(E1840,E$1:E1839,1,FALSE()))),"OLD",IF(AND(E1840&lt;&gt;"",E1840&lt;&gt;"!!!"),"NEW","")))</f>
        <v/>
      </c>
      <c r="G1840" s="11" t="str">
        <f aca="false">IF(OR(E1840="",E1840="!!!"),"",IF(OR(J1840=0,AND(J1840=1,K1840=1),AND(J1840=1,I1840="SBJ"),AND(J1840=1,I1840=0)),"?IN_FOCUS",IF(J1840&lt;=2,"?ACTIVATED",IF(J1840&lt;&gt;"","?FAMILIAR",IF(F1840="NEW",IF(ISNA(VLOOKUP(E1840,#REF!,1,FALSE())),"?TYPE_IDENTIFIABLE","?REFERENTIAL"),"_")))))</f>
        <v/>
      </c>
      <c r="H1840" s="12" t="str">
        <f aca="false">IF(J1840&lt;&gt;1,"",IF(I1840="SBJ","CB","?"))</f>
        <v/>
      </c>
      <c r="I1840" s="13" t="str">
        <f aca="false">IF(OR(E1840="",E1840="!!!",F1840="NEW"),"",INDEX(B$2:B1839,-1+SUMPRODUCT(MAX(ROW(E$2:E1839)*(E1840=E$2:E1839)))))</f>
        <v/>
      </c>
      <c r="J1840" s="14" t="str">
        <f aca="true">IF(OR(E1840="",E1840="!!!",F1840="NEW"),"",COUNTBLANK(OFFSET(A$1,,,SUMPRODUCT(MAX(ROW(E$2:E1840)*(E1840=E$2:E1840)))))-COUNTBLANK(OFFSET(A$1,,,SUMPRODUCT(MAX(ROW(E$1:E1839)*(E1840=E$1:E1839))))))</f>
        <v/>
      </c>
      <c r="K1840" s="14" t="str">
        <f aca="false">IF(OR(E1840="",E1840="!!!",F1840="NEW"),"",INDEX(J$1:J1839,SUMPRODUCT(MAX(ROW(E$1:E1839)*(E1840=E$1:E1839)))))</f>
        <v/>
      </c>
      <c r="L1840" s="15"/>
    </row>
    <row r="1841" customFormat="false" ht="12.75" hidden="false" customHeight="false" outlineLevel="0" collapsed="false">
      <c r="A1841" s="0" t="s">
        <v>682</v>
      </c>
      <c r="B1841" s="0" t="s">
        <v>62</v>
      </c>
      <c r="C1841" s="0" t="s">
        <v>111</v>
      </c>
      <c r="D1841" s="0" t="s">
        <v>29</v>
      </c>
      <c r="E1841" s="9" t="str">
        <f aca="false">IF(D1841="?OLD","!!!","")</f>
        <v>!!!</v>
      </c>
      <c r="F1841" s="10" t="str">
        <f aca="false">IF(OR(E1841="",E1841="!!!"),"",IF(NOT(ISNA(VLOOKUP(E1841,E$1:E1840,1,FALSE()))),"OLD",IF(AND(E1841&lt;&gt;"",E1841&lt;&gt;"!!!"),"NEW","")))</f>
        <v/>
      </c>
      <c r="G1841" s="11" t="str">
        <f aca="false">IF(OR(E1841="",E1841="!!!"),"",IF(OR(J1841=0,AND(J1841=1,K1841=1),AND(J1841=1,I1841="SBJ"),AND(J1841=1,I1841=0)),"?IN_FOCUS",IF(J1841&lt;=2,"?ACTIVATED",IF(J1841&lt;&gt;"","?FAMILIAR",IF(F1841="NEW",IF(ISNA(VLOOKUP(E1841,#REF!,1,FALSE())),"?TYPE_IDENTIFIABLE","?REFERENTIAL"),"_")))))</f>
        <v/>
      </c>
      <c r="H1841" s="12" t="str">
        <f aca="false">IF(J1841&lt;&gt;1,"",IF(I1841="SBJ","CB","?"))</f>
        <v/>
      </c>
      <c r="I1841" s="13" t="str">
        <f aca="false">IF(OR(E1841="",E1841="!!!",F1841="NEW"),"",INDEX(B$2:B1840,-1+SUMPRODUCT(MAX(ROW(E$2:E1840)*(E1841=E$2:E1840)))))</f>
        <v/>
      </c>
      <c r="J1841" s="14" t="str">
        <f aca="true">IF(OR(E1841="",E1841="!!!",F1841="NEW"),"",COUNTBLANK(OFFSET(A$1,,,SUMPRODUCT(MAX(ROW(E$2:E1841)*(E1841=E$2:E1841)))))-COUNTBLANK(OFFSET(A$1,,,SUMPRODUCT(MAX(ROW(E$1:E1840)*(E1841=E$1:E1840))))))</f>
        <v/>
      </c>
      <c r="K1841" s="14" t="str">
        <f aca="false">IF(OR(E1841="",E1841="!!!",F1841="NEW"),"",INDEX(J$1:J1840,SUMPRODUCT(MAX(ROW(E$1:E1840)*(E1841=E$1:E1840)))))</f>
        <v/>
      </c>
      <c r="L1841" s="15"/>
    </row>
    <row r="1842" customFormat="false" ht="12.75" hidden="false" customHeight="false" outlineLevel="0" collapsed="false">
      <c r="A1842" s="0" t="s">
        <v>136</v>
      </c>
      <c r="E1842" s="9" t="str">
        <f aca="false">IF(D1842="?OLD","!!!","")</f>
        <v/>
      </c>
      <c r="F1842" s="10" t="str">
        <f aca="false">IF(OR(E1842="",E1842="!!!"),"",IF(NOT(ISNA(VLOOKUP(E1842,E$1:E1841,1,FALSE()))),"OLD",IF(AND(E1842&lt;&gt;"",E1842&lt;&gt;"!!!"),"NEW","")))</f>
        <v/>
      </c>
      <c r="G1842" s="11" t="str">
        <f aca="false">IF(OR(E1842="",E1842="!!!"),"",IF(OR(J1842=0,AND(J1842=1,K1842=1),AND(J1842=1,I1842="SBJ"),AND(J1842=1,I1842=0)),"?IN_FOCUS",IF(J1842&lt;=2,"?ACTIVATED",IF(J1842&lt;&gt;"","?FAMILIAR",IF(F1842="NEW",IF(ISNA(VLOOKUP(E1842,#REF!,1,FALSE())),"?TYPE_IDENTIFIABLE","?REFERENTIAL"),"_")))))</f>
        <v/>
      </c>
      <c r="H1842" s="12" t="str">
        <f aca="false">IF(J1842&lt;&gt;1,"",IF(I1842="SBJ","CB","?"))</f>
        <v/>
      </c>
      <c r="I1842" s="13" t="str">
        <f aca="false">IF(OR(E1842="",E1842="!!!",F1842="NEW"),"",INDEX(B$2:B1841,-1+SUMPRODUCT(MAX(ROW(E$2:E1841)*(E1842=E$2:E1841)))))</f>
        <v/>
      </c>
      <c r="J1842" s="14" t="str">
        <f aca="true">IF(OR(E1842="",E1842="!!!",F1842="NEW"),"",COUNTBLANK(OFFSET(A$1,,,SUMPRODUCT(MAX(ROW(E$2:E1842)*(E1842=E$2:E1842)))))-COUNTBLANK(OFFSET(A$1,,,SUMPRODUCT(MAX(ROW(E$1:E1841)*(E1842=E$1:E1841))))))</f>
        <v/>
      </c>
      <c r="K1842" s="14" t="str">
        <f aca="false">IF(OR(E1842="",E1842="!!!",F1842="NEW"),"",INDEX(J$1:J1841,SUMPRODUCT(MAX(ROW(E$1:E1841)*(E1842=E$1:E1841)))))</f>
        <v/>
      </c>
      <c r="L1842" s="15"/>
    </row>
    <row r="1843" customFormat="false" ht="12.75" hidden="false" customHeight="false" outlineLevel="0" collapsed="false">
      <c r="A1843" s="0" t="s">
        <v>141</v>
      </c>
      <c r="B1843" s="0" t="s">
        <v>62</v>
      </c>
      <c r="C1843" s="0" t="s">
        <v>15</v>
      </c>
      <c r="D1843" s="0" t="s">
        <v>29</v>
      </c>
      <c r="E1843" s="9" t="str">
        <f aca="false">IF(D1843="?OLD","!!!","")</f>
        <v>!!!</v>
      </c>
      <c r="F1843" s="10" t="str">
        <f aca="false">IF(OR(E1843="",E1843="!!!"),"",IF(NOT(ISNA(VLOOKUP(E1843,E$1:E1842,1,FALSE()))),"OLD",IF(AND(E1843&lt;&gt;"",E1843&lt;&gt;"!!!"),"NEW","")))</f>
        <v/>
      </c>
      <c r="G1843" s="11" t="str">
        <f aca="false">IF(OR(E1843="",E1843="!!!"),"",IF(OR(J1843=0,AND(J1843=1,K1843=1),AND(J1843=1,I1843="SBJ"),AND(J1843=1,I1843=0)),"?IN_FOCUS",IF(J1843&lt;=2,"?ACTIVATED",IF(J1843&lt;&gt;"","?FAMILIAR",IF(F1843="NEW",IF(ISNA(VLOOKUP(E1843,#REF!,1,FALSE())),"?TYPE_IDENTIFIABLE","?REFERENTIAL"),"_")))))</f>
        <v/>
      </c>
      <c r="H1843" s="12" t="str">
        <f aca="false">IF(J1843&lt;&gt;1,"",IF(I1843="SBJ","CB","?"))</f>
        <v/>
      </c>
      <c r="I1843" s="13" t="str">
        <f aca="false">IF(OR(E1843="",E1843="!!!",F1843="NEW"),"",INDEX(B$2:B1842,-1+SUMPRODUCT(MAX(ROW(E$2:E1842)*(E1843=E$2:E1842)))))</f>
        <v/>
      </c>
      <c r="J1843" s="14" t="str">
        <f aca="true">IF(OR(E1843="",E1843="!!!",F1843="NEW"),"",COUNTBLANK(OFFSET(A$1,,,SUMPRODUCT(MAX(ROW(E$2:E1843)*(E1843=E$2:E1843)))))-COUNTBLANK(OFFSET(A$1,,,SUMPRODUCT(MAX(ROW(E$1:E1842)*(E1843=E$1:E1842))))))</f>
        <v/>
      </c>
      <c r="K1843" s="14" t="str">
        <f aca="false">IF(OR(E1843="",E1843="!!!",F1843="NEW"),"",INDEX(J$1:J1842,SUMPRODUCT(MAX(ROW(E$1:E1842)*(E1843=E$1:E1842)))))</f>
        <v/>
      </c>
      <c r="L1843" s="15"/>
    </row>
    <row r="1844" customFormat="false" ht="12.75" hidden="false" customHeight="false" outlineLevel="0" collapsed="false">
      <c r="A1844" s="0" t="s">
        <v>19</v>
      </c>
      <c r="E1844" s="9" t="str">
        <f aca="false">IF(D1844="?OLD","!!!","")</f>
        <v/>
      </c>
      <c r="F1844" s="10" t="str">
        <f aca="false">IF(OR(E1844="",E1844="!!!"),"",IF(NOT(ISNA(VLOOKUP(E1844,E$1:E1843,1,FALSE()))),"OLD",IF(AND(E1844&lt;&gt;"",E1844&lt;&gt;"!!!"),"NEW","")))</f>
        <v/>
      </c>
      <c r="G1844" s="11" t="str">
        <f aca="false">IF(OR(E1844="",E1844="!!!"),"",IF(OR(J1844=0,AND(J1844=1,K1844=1),AND(J1844=1,I1844="SBJ"),AND(J1844=1,I1844=0)),"?IN_FOCUS",IF(J1844&lt;=2,"?ACTIVATED",IF(J1844&lt;&gt;"","?FAMILIAR",IF(F1844="NEW",IF(ISNA(VLOOKUP(E1844,#REF!,1,FALSE())),"?TYPE_IDENTIFIABLE","?REFERENTIAL"),"_")))))</f>
        <v/>
      </c>
      <c r="H1844" s="12" t="str">
        <f aca="false">IF(J1844&lt;&gt;1,"",IF(I1844="SBJ","CB","?"))</f>
        <v/>
      </c>
      <c r="I1844" s="13" t="str">
        <f aca="false">IF(OR(E1844="",E1844="!!!",F1844="NEW"),"",INDEX(B$2:B1843,-1+SUMPRODUCT(MAX(ROW(E$2:E1843)*(E1844=E$2:E1843)))))</f>
        <v/>
      </c>
      <c r="J1844" s="14" t="str">
        <f aca="true">IF(OR(E1844="",E1844="!!!",F1844="NEW"),"",COUNTBLANK(OFFSET(A$1,,,SUMPRODUCT(MAX(ROW(E$2:E1844)*(E1844=E$2:E1844)))))-COUNTBLANK(OFFSET(A$1,,,SUMPRODUCT(MAX(ROW(E$1:E1843)*(E1844=E$1:E1843))))))</f>
        <v/>
      </c>
      <c r="K1844" s="14" t="str">
        <f aca="false">IF(OR(E1844="",E1844="!!!",F1844="NEW"),"",INDEX(J$1:J1843,SUMPRODUCT(MAX(ROW(E$1:E1843)*(E1844=E$1:E1843)))))</f>
        <v/>
      </c>
      <c r="L1844" s="15"/>
    </row>
    <row r="1845" customFormat="false" ht="12.75" hidden="false" customHeight="false" outlineLevel="0" collapsed="false">
      <c r="A1845" s="0" t="s">
        <v>142</v>
      </c>
      <c r="B1845" s="0" t="s">
        <v>28</v>
      </c>
      <c r="C1845" s="0" t="s">
        <v>38</v>
      </c>
      <c r="D1845" s="0" t="s">
        <v>29</v>
      </c>
      <c r="E1845" s="9" t="str">
        <f aca="false">IF(D1845="?OLD","!!!","")</f>
        <v>!!!</v>
      </c>
      <c r="F1845" s="10" t="str">
        <f aca="false">IF(OR(E1845="",E1845="!!!"),"",IF(NOT(ISNA(VLOOKUP(E1845,E$1:E1844,1,FALSE()))),"OLD",IF(AND(E1845&lt;&gt;"",E1845&lt;&gt;"!!!"),"NEW","")))</f>
        <v/>
      </c>
      <c r="G1845" s="11" t="str">
        <f aca="false">IF(OR(E1845="",E1845="!!!"),"",IF(OR(J1845=0,AND(J1845=1,K1845=1),AND(J1845=1,I1845="SBJ"),AND(J1845=1,I1845=0)),"?IN_FOCUS",IF(J1845&lt;=2,"?ACTIVATED",IF(J1845&lt;&gt;"","?FAMILIAR",IF(F1845="NEW",IF(ISNA(VLOOKUP(E1845,#REF!,1,FALSE())),"?TYPE_IDENTIFIABLE","?REFERENTIAL"),"_")))))</f>
        <v/>
      </c>
      <c r="H1845" s="12" t="str">
        <f aca="false">IF(J1845&lt;&gt;1,"",IF(I1845="SBJ","CB","?"))</f>
        <v/>
      </c>
      <c r="I1845" s="13" t="str">
        <f aca="false">IF(OR(E1845="",E1845="!!!",F1845="NEW"),"",INDEX(B$2:B1844,-1+SUMPRODUCT(MAX(ROW(E$2:E1844)*(E1845=E$2:E1844)))))</f>
        <v/>
      </c>
      <c r="J1845" s="14" t="str">
        <f aca="true">IF(OR(E1845="",E1845="!!!",F1845="NEW"),"",COUNTBLANK(OFFSET(A$1,,,SUMPRODUCT(MAX(ROW(E$2:E1845)*(E1845=E$2:E1845)))))-COUNTBLANK(OFFSET(A$1,,,SUMPRODUCT(MAX(ROW(E$1:E1844)*(E1845=E$1:E1844))))))</f>
        <v/>
      </c>
      <c r="K1845" s="14" t="str">
        <f aca="false">IF(OR(E1845="",E1845="!!!",F1845="NEW"),"",INDEX(J$1:J1844,SUMPRODUCT(MAX(ROW(E$1:E1844)*(E1845=E$1:E1844)))))</f>
        <v/>
      </c>
      <c r="L1845" s="15"/>
    </row>
    <row r="1846" customFormat="false" ht="12.75" hidden="false" customHeight="false" outlineLevel="0" collapsed="false">
      <c r="A1846" s="0" t="s">
        <v>73</v>
      </c>
      <c r="E1846" s="9" t="str">
        <f aca="false">IF(D1846="?OLD","!!!","")</f>
        <v/>
      </c>
      <c r="F1846" s="10" t="str">
        <f aca="false">IF(OR(E1846="",E1846="!!!"),"",IF(NOT(ISNA(VLOOKUP(E1846,E$1:E1845,1,FALSE()))),"OLD",IF(AND(E1846&lt;&gt;"",E1846&lt;&gt;"!!!"),"NEW","")))</f>
        <v/>
      </c>
      <c r="G1846" s="11" t="str">
        <f aca="false">IF(OR(E1846="",E1846="!!!"),"",IF(OR(J1846=0,AND(J1846=1,K1846=1),AND(J1846=1,I1846="SBJ"),AND(J1846=1,I1846=0)),"?IN_FOCUS",IF(J1846&lt;=2,"?ACTIVATED",IF(J1846&lt;&gt;"","?FAMILIAR",IF(F1846="NEW",IF(ISNA(VLOOKUP(E1846,#REF!,1,FALSE())),"?TYPE_IDENTIFIABLE","?REFERENTIAL"),"_")))))</f>
        <v/>
      </c>
      <c r="H1846" s="12" t="str">
        <f aca="false">IF(J1846&lt;&gt;1,"",IF(I1846="SBJ","CB","?"))</f>
        <v/>
      </c>
      <c r="I1846" s="13" t="str">
        <f aca="false">IF(OR(E1846="",E1846="!!!",F1846="NEW"),"",INDEX(B$2:B1845,-1+SUMPRODUCT(MAX(ROW(E$2:E1845)*(E1846=E$2:E1845)))))</f>
        <v/>
      </c>
      <c r="J1846" s="14" t="str">
        <f aca="true">IF(OR(E1846="",E1846="!!!",F1846="NEW"),"",COUNTBLANK(OFFSET(A$1,,,SUMPRODUCT(MAX(ROW(E$2:E1846)*(E1846=E$2:E1846)))))-COUNTBLANK(OFFSET(A$1,,,SUMPRODUCT(MAX(ROW(E$1:E1845)*(E1846=E$1:E1845))))))</f>
        <v/>
      </c>
      <c r="K1846" s="14" t="str">
        <f aca="false">IF(OR(E1846="",E1846="!!!",F1846="NEW"),"",INDEX(J$1:J1845,SUMPRODUCT(MAX(ROW(E$1:E1845)*(E1846=E$1:E1845)))))</f>
        <v/>
      </c>
      <c r="L1846" s="15"/>
    </row>
    <row r="1847" customFormat="false" ht="12.75" hidden="false" customHeight="false" outlineLevel="0" collapsed="false">
      <c r="E1847" s="9" t="str">
        <f aca="false">IF(D1847="?OLD","!!!","")</f>
        <v/>
      </c>
      <c r="F1847" s="10" t="str">
        <f aca="false">IF(OR(E1847="",E1847="!!!"),"",IF(NOT(ISNA(VLOOKUP(E1847,E$1:E1846,1,FALSE()))),"OLD",IF(AND(E1847&lt;&gt;"",E1847&lt;&gt;"!!!"),"NEW","")))</f>
        <v/>
      </c>
      <c r="G1847" s="11" t="str">
        <f aca="false">IF(OR(E1847="",E1847="!!!"),"",IF(OR(J1847=0,AND(J1847=1,K1847=1),AND(J1847=1,I1847="SBJ"),AND(J1847=1,I1847=0)),"?IN_FOCUS",IF(J1847&lt;=2,"?ACTIVATED",IF(J1847&lt;&gt;"","?FAMILIAR",IF(F1847="NEW",IF(ISNA(VLOOKUP(E1847,#REF!,1,FALSE())),"?TYPE_IDENTIFIABLE","?REFERENTIAL"),"_")))))</f>
        <v/>
      </c>
      <c r="H1847" s="12" t="str">
        <f aca="false">IF(J1847&lt;&gt;1,"",IF(I1847="SBJ","CB","?"))</f>
        <v/>
      </c>
      <c r="I1847" s="13" t="str">
        <f aca="false">IF(OR(E1847="",E1847="!!!",F1847="NEW"),"",INDEX(B$2:B1846,-1+SUMPRODUCT(MAX(ROW(E$2:E1846)*(E1847=E$2:E1846)))))</f>
        <v/>
      </c>
      <c r="J1847" s="14" t="str">
        <f aca="true">IF(OR(E1847="",E1847="!!!",F1847="NEW"),"",COUNTBLANK(OFFSET(A$1,,,SUMPRODUCT(MAX(ROW(E$2:E1847)*(E1847=E$2:E1847)))))-COUNTBLANK(OFFSET(A$1,,,SUMPRODUCT(MAX(ROW(E$1:E1846)*(E1847=E$1:E1846))))))</f>
        <v/>
      </c>
      <c r="K1847" s="14" t="str">
        <f aca="false">IF(OR(E1847="",E1847="!!!",F1847="NEW"),"",INDEX(J$1:J1846,SUMPRODUCT(MAX(ROW(E$1:E1846)*(E1847=E$1:E1846)))))</f>
        <v/>
      </c>
      <c r="L1847" s="15"/>
    </row>
    <row r="1848" customFormat="false" ht="12.75" hidden="false" customHeight="false" outlineLevel="0" collapsed="false">
      <c r="A1848" s="0" t="s">
        <v>758</v>
      </c>
      <c r="E1848" s="9" t="str">
        <f aca="false">IF(D1848="?OLD","!!!","")</f>
        <v/>
      </c>
      <c r="F1848" s="10" t="str">
        <f aca="false">IF(OR(E1848="",E1848="!!!"),"",IF(NOT(ISNA(VLOOKUP(E1848,E$1:E1847,1,FALSE()))),"OLD",IF(AND(E1848&lt;&gt;"",E1848&lt;&gt;"!!!"),"NEW","")))</f>
        <v/>
      </c>
      <c r="G1848" s="11" t="str">
        <f aca="false">IF(OR(E1848="",E1848="!!!"),"",IF(OR(J1848=0,AND(J1848=1,K1848=1),AND(J1848=1,I1848="SBJ"),AND(J1848=1,I1848=0)),"?IN_FOCUS",IF(J1848&lt;=2,"?ACTIVATED",IF(J1848&lt;&gt;"","?FAMILIAR",IF(F1848="NEW",IF(ISNA(VLOOKUP(E1848,#REF!,1,FALSE())),"?TYPE_IDENTIFIABLE","?REFERENTIAL"),"_")))))</f>
        <v/>
      </c>
      <c r="H1848" s="12" t="str">
        <f aca="false">IF(J1848&lt;&gt;1,"",IF(I1848="SBJ","CB","?"))</f>
        <v/>
      </c>
      <c r="I1848" s="13" t="str">
        <f aca="false">IF(OR(E1848="",E1848="!!!",F1848="NEW"),"",INDEX(B$2:B1847,-1+SUMPRODUCT(MAX(ROW(E$2:E1847)*(E1848=E$2:E1847)))))</f>
        <v/>
      </c>
      <c r="J1848" s="14" t="str">
        <f aca="true">IF(OR(E1848="",E1848="!!!",F1848="NEW"),"",COUNTBLANK(OFFSET(A$1,,,SUMPRODUCT(MAX(ROW(E$2:E1848)*(E1848=E$2:E1848)))))-COUNTBLANK(OFFSET(A$1,,,SUMPRODUCT(MAX(ROW(E$1:E1847)*(E1848=E$1:E1847))))))</f>
        <v/>
      </c>
      <c r="K1848" s="14" t="str">
        <f aca="false">IF(OR(E1848="",E1848="!!!",F1848="NEW"),"",INDEX(J$1:J1847,SUMPRODUCT(MAX(ROW(E$1:E1847)*(E1848=E$1:E1847)))))</f>
        <v/>
      </c>
      <c r="L1848" s="15"/>
    </row>
    <row r="1849" customFormat="false" ht="12.75" hidden="false" customHeight="false" outlineLevel="0" collapsed="false">
      <c r="A1849" s="0" t="s">
        <v>109</v>
      </c>
      <c r="E1849" s="9" t="str">
        <f aca="false">IF(D1849="?OLD","!!!","")</f>
        <v/>
      </c>
      <c r="F1849" s="10" t="str">
        <f aca="false">IF(OR(E1849="",E1849="!!!"),"",IF(NOT(ISNA(VLOOKUP(E1849,E$1:E1848,1,FALSE()))),"OLD",IF(AND(E1849&lt;&gt;"",E1849&lt;&gt;"!!!"),"NEW","")))</f>
        <v/>
      </c>
      <c r="G1849" s="11" t="str">
        <f aca="false">IF(OR(E1849="",E1849="!!!"),"",IF(OR(J1849=0,AND(J1849=1,K1849=1),AND(J1849=1,I1849="SBJ"),AND(J1849=1,I1849=0)),"?IN_FOCUS",IF(J1849&lt;=2,"?ACTIVATED",IF(J1849&lt;&gt;"","?FAMILIAR",IF(F1849="NEW",IF(ISNA(VLOOKUP(E1849,#REF!,1,FALSE())),"?TYPE_IDENTIFIABLE","?REFERENTIAL"),"_")))))</f>
        <v/>
      </c>
      <c r="H1849" s="12" t="str">
        <f aca="false">IF(J1849&lt;&gt;1,"",IF(I1849="SBJ","CB","?"))</f>
        <v/>
      </c>
      <c r="I1849" s="13" t="str">
        <f aca="false">IF(OR(E1849="",E1849="!!!",F1849="NEW"),"",INDEX(B$2:B1848,-1+SUMPRODUCT(MAX(ROW(E$2:E1848)*(E1849=E$2:E1848)))))</f>
        <v/>
      </c>
      <c r="J1849" s="14" t="str">
        <f aca="true">IF(OR(E1849="",E1849="!!!",F1849="NEW"),"",COUNTBLANK(OFFSET(A$1,,,SUMPRODUCT(MAX(ROW(E$2:E1849)*(E1849=E$2:E1849)))))-COUNTBLANK(OFFSET(A$1,,,SUMPRODUCT(MAX(ROW(E$1:E1848)*(E1849=E$1:E1848))))))</f>
        <v/>
      </c>
      <c r="K1849" s="14" t="str">
        <f aca="false">IF(OR(E1849="",E1849="!!!",F1849="NEW"),"",INDEX(J$1:J1848,SUMPRODUCT(MAX(ROW(E$1:E1848)*(E1849=E$1:E1848)))))</f>
        <v/>
      </c>
      <c r="L1849" s="15"/>
    </row>
    <row r="1850" customFormat="false" ht="12.75" hidden="false" customHeight="false" outlineLevel="0" collapsed="false">
      <c r="A1850" s="0" t="s">
        <v>505</v>
      </c>
      <c r="B1850" s="0" t="s">
        <v>14</v>
      </c>
      <c r="C1850" s="0" t="s">
        <v>111</v>
      </c>
      <c r="D1850" s="0" t="s">
        <v>29</v>
      </c>
      <c r="E1850" s="9" t="str">
        <f aca="false">IF(D1850="?OLD","!!!","")</f>
        <v>!!!</v>
      </c>
      <c r="F1850" s="10" t="str">
        <f aca="false">IF(OR(E1850="",E1850="!!!"),"",IF(NOT(ISNA(VLOOKUP(E1850,E$1:E1849,1,FALSE()))),"OLD",IF(AND(E1850&lt;&gt;"",E1850&lt;&gt;"!!!"),"NEW","")))</f>
        <v/>
      </c>
      <c r="G1850" s="11" t="str">
        <f aca="false">IF(OR(E1850="",E1850="!!!"),"",IF(OR(J1850=0,AND(J1850=1,K1850=1),AND(J1850=1,I1850="SBJ"),AND(J1850=1,I1850=0)),"?IN_FOCUS",IF(J1850&lt;=2,"?ACTIVATED",IF(J1850&lt;&gt;"","?FAMILIAR",IF(F1850="NEW",IF(ISNA(VLOOKUP(E1850,#REF!,1,FALSE())),"?TYPE_IDENTIFIABLE","?REFERENTIAL"),"_")))))</f>
        <v/>
      </c>
      <c r="H1850" s="12" t="str">
        <f aca="false">IF(J1850&lt;&gt;1,"",IF(I1850="SBJ","CB","?"))</f>
        <v/>
      </c>
      <c r="I1850" s="13" t="str">
        <f aca="false">IF(OR(E1850="",E1850="!!!",F1850="NEW"),"",INDEX(B$2:B1849,-1+SUMPRODUCT(MAX(ROW(E$2:E1849)*(E1850=E$2:E1849)))))</f>
        <v/>
      </c>
      <c r="J1850" s="14" t="str">
        <f aca="true">IF(OR(E1850="",E1850="!!!",F1850="NEW"),"",COUNTBLANK(OFFSET(A$1,,,SUMPRODUCT(MAX(ROW(E$2:E1850)*(E1850=E$2:E1850)))))-COUNTBLANK(OFFSET(A$1,,,SUMPRODUCT(MAX(ROW(E$1:E1849)*(E1850=E$1:E1849))))))</f>
        <v/>
      </c>
      <c r="K1850" s="14" t="str">
        <f aca="false">IF(OR(E1850="",E1850="!!!",F1850="NEW"),"",INDEX(J$1:J1849,SUMPRODUCT(MAX(ROW(E$1:E1849)*(E1850=E$1:E1849)))))</f>
        <v/>
      </c>
      <c r="L1850" s="15"/>
    </row>
    <row r="1851" customFormat="false" ht="12.75" hidden="false" customHeight="false" outlineLevel="0" collapsed="false">
      <c r="A1851" s="0" t="s">
        <v>759</v>
      </c>
      <c r="E1851" s="9" t="str">
        <f aca="false">IF(D1851="?OLD","!!!","")</f>
        <v/>
      </c>
      <c r="F1851" s="10" t="str">
        <f aca="false">IF(OR(E1851="",E1851="!!!"),"",IF(NOT(ISNA(VLOOKUP(E1851,E$1:E1850,1,FALSE()))),"OLD",IF(AND(E1851&lt;&gt;"",E1851&lt;&gt;"!!!"),"NEW","")))</f>
        <v/>
      </c>
      <c r="G1851" s="11" t="str">
        <f aca="false">IF(OR(E1851="",E1851="!!!"),"",IF(OR(J1851=0,AND(J1851=1,K1851=1),AND(J1851=1,I1851="SBJ"),AND(J1851=1,I1851=0)),"?IN_FOCUS",IF(J1851&lt;=2,"?ACTIVATED",IF(J1851&lt;&gt;"","?FAMILIAR",IF(F1851="NEW",IF(ISNA(VLOOKUP(E1851,#REF!,1,FALSE())),"?TYPE_IDENTIFIABLE","?REFERENTIAL"),"_")))))</f>
        <v/>
      </c>
      <c r="H1851" s="12" t="str">
        <f aca="false">IF(J1851&lt;&gt;1,"",IF(I1851="SBJ","CB","?"))</f>
        <v/>
      </c>
      <c r="I1851" s="13" t="str">
        <f aca="false">IF(OR(E1851="",E1851="!!!",F1851="NEW"),"",INDEX(B$2:B1850,-1+SUMPRODUCT(MAX(ROW(E$2:E1850)*(E1851=E$2:E1850)))))</f>
        <v/>
      </c>
      <c r="J1851" s="14" t="str">
        <f aca="true">IF(OR(E1851="",E1851="!!!",F1851="NEW"),"",COUNTBLANK(OFFSET(A$1,,,SUMPRODUCT(MAX(ROW(E$2:E1851)*(E1851=E$2:E1851)))))-COUNTBLANK(OFFSET(A$1,,,SUMPRODUCT(MAX(ROW(E$1:E1850)*(E1851=E$1:E1850))))))</f>
        <v/>
      </c>
      <c r="K1851" s="14" t="str">
        <f aca="false">IF(OR(E1851="",E1851="!!!",F1851="NEW"),"",INDEX(J$1:J1850,SUMPRODUCT(MAX(ROW(E$1:E1850)*(E1851=E$1:E1850)))))</f>
        <v/>
      </c>
      <c r="L1851" s="15"/>
    </row>
    <row r="1852" customFormat="false" ht="12.75" hidden="false" customHeight="false" outlineLevel="0" collapsed="false">
      <c r="A1852" s="0" t="s">
        <v>760</v>
      </c>
      <c r="B1852" s="0" t="s">
        <v>37</v>
      </c>
      <c r="C1852" s="0" t="s">
        <v>120</v>
      </c>
      <c r="E1852" s="9" t="str">
        <f aca="false">IF(D1852="?OLD","!!!","")</f>
        <v/>
      </c>
      <c r="F1852" s="10" t="str">
        <f aca="false">IF(OR(E1852="",E1852="!!!"),"",IF(NOT(ISNA(VLOOKUP(E1852,E$1:E1851,1,FALSE()))),"OLD",IF(AND(E1852&lt;&gt;"",E1852&lt;&gt;"!!!"),"NEW","")))</f>
        <v/>
      </c>
      <c r="G1852" s="11" t="str">
        <f aca="false">IF(OR(E1852="",E1852="!!!"),"",IF(OR(J1852=0,AND(J1852=1,K1852=1),AND(J1852=1,I1852="SBJ"),AND(J1852=1,I1852=0)),"?IN_FOCUS",IF(J1852&lt;=2,"?ACTIVATED",IF(J1852&lt;&gt;"","?FAMILIAR",IF(F1852="NEW",IF(ISNA(VLOOKUP(E1852,#REF!,1,FALSE())),"?TYPE_IDENTIFIABLE","?REFERENTIAL"),"_")))))</f>
        <v/>
      </c>
      <c r="H1852" s="12" t="str">
        <f aca="false">IF(J1852&lt;&gt;1,"",IF(I1852="SBJ","CB","?"))</f>
        <v/>
      </c>
      <c r="I1852" s="13" t="str">
        <f aca="false">IF(OR(E1852="",E1852="!!!",F1852="NEW"),"",INDEX(B$2:B1851,-1+SUMPRODUCT(MAX(ROW(E$2:E1851)*(E1852=E$2:E1851)))))</f>
        <v/>
      </c>
      <c r="J1852" s="14" t="str">
        <f aca="true">IF(OR(E1852="",E1852="!!!",F1852="NEW"),"",COUNTBLANK(OFFSET(A$1,,,SUMPRODUCT(MAX(ROW(E$2:E1852)*(E1852=E$2:E1852)))))-COUNTBLANK(OFFSET(A$1,,,SUMPRODUCT(MAX(ROW(E$1:E1851)*(E1852=E$1:E1851))))))</f>
        <v/>
      </c>
      <c r="K1852" s="14" t="str">
        <f aca="false">IF(OR(E1852="",E1852="!!!",F1852="NEW"),"",INDEX(J$1:J1851,SUMPRODUCT(MAX(ROW(E$1:E1851)*(E1852=E$1:E1851)))))</f>
        <v/>
      </c>
      <c r="L1852" s="15"/>
    </row>
    <row r="1853" customFormat="false" ht="12.75" hidden="false" customHeight="false" outlineLevel="0" collapsed="false">
      <c r="A1853" s="0" t="s">
        <v>31</v>
      </c>
      <c r="E1853" s="9" t="str">
        <f aca="false">IF(D1853="?OLD","!!!","")</f>
        <v/>
      </c>
      <c r="F1853" s="10" t="str">
        <f aca="false">IF(OR(E1853="",E1853="!!!"),"",IF(NOT(ISNA(VLOOKUP(E1853,E$1:E1852,1,FALSE()))),"OLD",IF(AND(E1853&lt;&gt;"",E1853&lt;&gt;"!!!"),"NEW","")))</f>
        <v/>
      </c>
      <c r="G1853" s="11" t="str">
        <f aca="false">IF(OR(E1853="",E1853="!!!"),"",IF(OR(J1853=0,AND(J1853=1,K1853=1),AND(J1853=1,I1853="SBJ"),AND(J1853=1,I1853=0)),"?IN_FOCUS",IF(J1853&lt;=2,"?ACTIVATED",IF(J1853&lt;&gt;"","?FAMILIAR",IF(F1853="NEW",IF(ISNA(VLOOKUP(E1853,#REF!,1,FALSE())),"?TYPE_IDENTIFIABLE","?REFERENTIAL"),"_")))))</f>
        <v/>
      </c>
      <c r="H1853" s="12" t="str">
        <f aca="false">IF(J1853&lt;&gt;1,"",IF(I1853="SBJ","CB","?"))</f>
        <v/>
      </c>
      <c r="I1853" s="13" t="str">
        <f aca="false">IF(OR(E1853="",E1853="!!!",F1853="NEW"),"",INDEX(B$2:B1852,-1+SUMPRODUCT(MAX(ROW(E$2:E1852)*(E1853=E$2:E1852)))))</f>
        <v/>
      </c>
      <c r="J1853" s="14" t="str">
        <f aca="true">IF(OR(E1853="",E1853="!!!",F1853="NEW"),"",COUNTBLANK(OFFSET(A$1,,,SUMPRODUCT(MAX(ROW(E$2:E1853)*(E1853=E$2:E1853)))))-COUNTBLANK(OFFSET(A$1,,,SUMPRODUCT(MAX(ROW(E$1:E1852)*(E1853=E$1:E1852))))))</f>
        <v/>
      </c>
      <c r="K1853" s="14" t="str">
        <f aca="false">IF(OR(E1853="",E1853="!!!",F1853="NEW"),"",INDEX(J$1:J1852,SUMPRODUCT(MAX(ROW(E$1:E1852)*(E1853=E$1:E1852)))))</f>
        <v/>
      </c>
      <c r="L1853" s="15"/>
    </row>
    <row r="1854" customFormat="false" ht="12.75" hidden="false" customHeight="false" outlineLevel="0" collapsed="false">
      <c r="A1854" s="0" t="s">
        <v>88</v>
      </c>
      <c r="E1854" s="9" t="str">
        <f aca="false">IF(D1854="?OLD","!!!","")</f>
        <v/>
      </c>
      <c r="F1854" s="10" t="str">
        <f aca="false">IF(OR(E1854="",E1854="!!!"),"",IF(NOT(ISNA(VLOOKUP(E1854,E$1:E1853,1,FALSE()))),"OLD",IF(AND(E1854&lt;&gt;"",E1854&lt;&gt;"!!!"),"NEW","")))</f>
        <v/>
      </c>
      <c r="G1854" s="11" t="str">
        <f aca="false">IF(OR(E1854="",E1854="!!!"),"",IF(OR(J1854=0,AND(J1854=1,K1854=1),AND(J1854=1,I1854="SBJ"),AND(J1854=1,I1854=0)),"?IN_FOCUS",IF(J1854&lt;=2,"?ACTIVATED",IF(J1854&lt;&gt;"","?FAMILIAR",IF(F1854="NEW",IF(ISNA(VLOOKUP(E1854,#REF!,1,FALSE())),"?TYPE_IDENTIFIABLE","?REFERENTIAL"),"_")))))</f>
        <v/>
      </c>
      <c r="H1854" s="12" t="str">
        <f aca="false">IF(J1854&lt;&gt;1,"",IF(I1854="SBJ","CB","?"))</f>
        <v/>
      </c>
      <c r="I1854" s="13" t="str">
        <f aca="false">IF(OR(E1854="",E1854="!!!",F1854="NEW"),"",INDEX(B$2:B1853,-1+SUMPRODUCT(MAX(ROW(E$2:E1853)*(E1854=E$2:E1853)))))</f>
        <v/>
      </c>
      <c r="J1854" s="14" t="str">
        <f aca="true">IF(OR(E1854="",E1854="!!!",F1854="NEW"),"",COUNTBLANK(OFFSET(A$1,,,SUMPRODUCT(MAX(ROW(E$2:E1854)*(E1854=E$2:E1854)))))-COUNTBLANK(OFFSET(A$1,,,SUMPRODUCT(MAX(ROW(E$1:E1853)*(E1854=E$1:E1853))))))</f>
        <v/>
      </c>
      <c r="K1854" s="14" t="str">
        <f aca="false">IF(OR(E1854="",E1854="!!!",F1854="NEW"),"",INDEX(J$1:J1853,SUMPRODUCT(MAX(ROW(E$1:E1853)*(E1854=E$1:E1853)))))</f>
        <v/>
      </c>
      <c r="L1854" s="15"/>
    </row>
    <row r="1855" customFormat="false" ht="12.75" hidden="false" customHeight="false" outlineLevel="0" collapsed="false">
      <c r="A1855" s="0" t="s">
        <v>450</v>
      </c>
      <c r="E1855" s="9" t="str">
        <f aca="false">IF(D1855="?OLD","!!!","")</f>
        <v/>
      </c>
      <c r="F1855" s="10" t="str">
        <f aca="false">IF(OR(E1855="",E1855="!!!"),"",IF(NOT(ISNA(VLOOKUP(E1855,E$1:E1854,1,FALSE()))),"OLD",IF(AND(E1855&lt;&gt;"",E1855&lt;&gt;"!!!"),"NEW","")))</f>
        <v/>
      </c>
      <c r="G1855" s="11" t="str">
        <f aca="false">IF(OR(E1855="",E1855="!!!"),"",IF(OR(J1855=0,AND(J1855=1,K1855=1),AND(J1855=1,I1855="SBJ"),AND(J1855=1,I1855=0)),"?IN_FOCUS",IF(J1855&lt;=2,"?ACTIVATED",IF(J1855&lt;&gt;"","?FAMILIAR",IF(F1855="NEW",IF(ISNA(VLOOKUP(E1855,#REF!,1,FALSE())),"?TYPE_IDENTIFIABLE","?REFERENTIAL"),"_")))))</f>
        <v/>
      </c>
      <c r="H1855" s="12" t="str">
        <f aca="false">IF(J1855&lt;&gt;1,"",IF(I1855="SBJ","CB","?"))</f>
        <v/>
      </c>
      <c r="I1855" s="13" t="str">
        <f aca="false">IF(OR(E1855="",E1855="!!!",F1855="NEW"),"",INDEX(B$2:B1854,-1+SUMPRODUCT(MAX(ROW(E$2:E1854)*(E1855=E$2:E1854)))))</f>
        <v/>
      </c>
      <c r="J1855" s="14" t="str">
        <f aca="true">IF(OR(E1855="",E1855="!!!",F1855="NEW"),"",COUNTBLANK(OFFSET(A$1,,,SUMPRODUCT(MAX(ROW(E$2:E1855)*(E1855=E$2:E1855)))))-COUNTBLANK(OFFSET(A$1,,,SUMPRODUCT(MAX(ROW(E$1:E1854)*(E1855=E$1:E1854))))))</f>
        <v/>
      </c>
      <c r="K1855" s="14" t="str">
        <f aca="false">IF(OR(E1855="",E1855="!!!",F1855="NEW"),"",INDEX(J$1:J1854,SUMPRODUCT(MAX(ROW(E$1:E1854)*(E1855=E$1:E1854)))))</f>
        <v/>
      </c>
      <c r="L1855" s="15"/>
    </row>
    <row r="1856" customFormat="false" ht="12.75" hidden="false" customHeight="false" outlineLevel="0" collapsed="false">
      <c r="A1856" s="0" t="s">
        <v>66</v>
      </c>
      <c r="E1856" s="9" t="str">
        <f aca="false">IF(D1856="?OLD","!!!","")</f>
        <v/>
      </c>
      <c r="F1856" s="10" t="str">
        <f aca="false">IF(OR(E1856="",E1856="!!!"),"",IF(NOT(ISNA(VLOOKUP(E1856,E$1:E1855,1,FALSE()))),"OLD",IF(AND(E1856&lt;&gt;"",E1856&lt;&gt;"!!!"),"NEW","")))</f>
        <v/>
      </c>
      <c r="G1856" s="11" t="str">
        <f aca="false">IF(OR(E1856="",E1856="!!!"),"",IF(OR(J1856=0,AND(J1856=1,K1856=1),AND(J1856=1,I1856="SBJ"),AND(J1856=1,I1856=0)),"?IN_FOCUS",IF(J1856&lt;=2,"?ACTIVATED",IF(J1856&lt;&gt;"","?FAMILIAR",IF(F1856="NEW",IF(ISNA(VLOOKUP(E1856,#REF!,1,FALSE())),"?TYPE_IDENTIFIABLE","?REFERENTIAL"),"_")))))</f>
        <v/>
      </c>
      <c r="H1856" s="12" t="str">
        <f aca="false">IF(J1856&lt;&gt;1,"",IF(I1856="SBJ","CB","?"))</f>
        <v/>
      </c>
      <c r="I1856" s="13" t="str">
        <f aca="false">IF(OR(E1856="",E1856="!!!",F1856="NEW"),"",INDEX(B$2:B1855,-1+SUMPRODUCT(MAX(ROW(E$2:E1855)*(E1856=E$2:E1855)))))</f>
        <v/>
      </c>
      <c r="J1856" s="14" t="str">
        <f aca="true">IF(OR(E1856="",E1856="!!!",F1856="NEW"),"",COUNTBLANK(OFFSET(A$1,,,SUMPRODUCT(MAX(ROW(E$2:E1856)*(E1856=E$2:E1856)))))-COUNTBLANK(OFFSET(A$1,,,SUMPRODUCT(MAX(ROW(E$1:E1855)*(E1856=E$1:E1855))))))</f>
        <v/>
      </c>
      <c r="K1856" s="14" t="str">
        <f aca="false">IF(OR(E1856="",E1856="!!!",F1856="NEW"),"",INDEX(J$1:J1855,SUMPRODUCT(MAX(ROW(E$1:E1855)*(E1856=E$1:E1855)))))</f>
        <v/>
      </c>
      <c r="L1856" s="15"/>
    </row>
    <row r="1857" customFormat="false" ht="12.75" hidden="false" customHeight="false" outlineLevel="0" collapsed="false">
      <c r="A1857" s="0" t="s">
        <v>329</v>
      </c>
      <c r="B1857" s="0" t="s">
        <v>62</v>
      </c>
      <c r="C1857" s="0" t="s">
        <v>111</v>
      </c>
      <c r="D1857" s="0" t="s">
        <v>29</v>
      </c>
      <c r="E1857" s="9" t="str">
        <f aca="false">IF(D1857="?OLD","!!!","")</f>
        <v>!!!</v>
      </c>
      <c r="F1857" s="10" t="str">
        <f aca="false">IF(OR(E1857="",E1857="!!!"),"",IF(NOT(ISNA(VLOOKUP(E1857,E$1:E1856,1,FALSE()))),"OLD",IF(AND(E1857&lt;&gt;"",E1857&lt;&gt;"!!!"),"NEW","")))</f>
        <v/>
      </c>
      <c r="G1857" s="11" t="str">
        <f aca="false">IF(OR(E1857="",E1857="!!!"),"",IF(OR(J1857=0,AND(J1857=1,K1857=1),AND(J1857=1,I1857="SBJ"),AND(J1857=1,I1857=0)),"?IN_FOCUS",IF(J1857&lt;=2,"?ACTIVATED",IF(J1857&lt;&gt;"","?FAMILIAR",IF(F1857="NEW",IF(ISNA(VLOOKUP(E1857,#REF!,1,FALSE())),"?TYPE_IDENTIFIABLE","?REFERENTIAL"),"_")))))</f>
        <v/>
      </c>
      <c r="H1857" s="12" t="str">
        <f aca="false">IF(J1857&lt;&gt;1,"",IF(I1857="SBJ","CB","?"))</f>
        <v/>
      </c>
      <c r="I1857" s="13" t="str">
        <f aca="false">IF(OR(E1857="",E1857="!!!",F1857="NEW"),"",INDEX(B$2:B1856,-1+SUMPRODUCT(MAX(ROW(E$2:E1856)*(E1857=E$2:E1856)))))</f>
        <v/>
      </c>
      <c r="J1857" s="14" t="str">
        <f aca="true">IF(OR(E1857="",E1857="!!!",F1857="NEW"),"",COUNTBLANK(OFFSET(A$1,,,SUMPRODUCT(MAX(ROW(E$2:E1857)*(E1857=E$2:E1857)))))-COUNTBLANK(OFFSET(A$1,,,SUMPRODUCT(MAX(ROW(E$1:E1856)*(E1857=E$1:E1856))))))</f>
        <v/>
      </c>
      <c r="K1857" s="14" t="str">
        <f aca="false">IF(OR(E1857="",E1857="!!!",F1857="NEW"),"",INDEX(J$1:J1856,SUMPRODUCT(MAX(ROW(E$1:E1856)*(E1857=E$1:E1856)))))</f>
        <v/>
      </c>
      <c r="L1857" s="15"/>
    </row>
    <row r="1858" customFormat="false" ht="12.75" hidden="false" customHeight="false" outlineLevel="0" collapsed="false">
      <c r="A1858" s="0" t="s">
        <v>31</v>
      </c>
      <c r="E1858" s="9" t="str">
        <f aca="false">IF(D1858="?OLD","!!!","")</f>
        <v/>
      </c>
      <c r="F1858" s="10" t="str">
        <f aca="false">IF(OR(E1858="",E1858="!!!"),"",IF(NOT(ISNA(VLOOKUP(E1858,E$1:E1857,1,FALSE()))),"OLD",IF(AND(E1858&lt;&gt;"",E1858&lt;&gt;"!!!"),"NEW","")))</f>
        <v/>
      </c>
      <c r="G1858" s="11" t="str">
        <f aca="false">IF(OR(E1858="",E1858="!!!"),"",IF(OR(J1858=0,AND(J1858=1,K1858=1),AND(J1858=1,I1858="SBJ"),AND(J1858=1,I1858=0)),"?IN_FOCUS",IF(J1858&lt;=2,"?ACTIVATED",IF(J1858&lt;&gt;"","?FAMILIAR",IF(F1858="NEW",IF(ISNA(VLOOKUP(E1858,#REF!,1,FALSE())),"?TYPE_IDENTIFIABLE","?REFERENTIAL"),"_")))))</f>
        <v/>
      </c>
      <c r="H1858" s="12" t="str">
        <f aca="false">IF(J1858&lt;&gt;1,"",IF(I1858="SBJ","CB","?"))</f>
        <v/>
      </c>
      <c r="I1858" s="13" t="str">
        <f aca="false">IF(OR(E1858="",E1858="!!!",F1858="NEW"),"",INDEX(B$2:B1857,-1+SUMPRODUCT(MAX(ROW(E$2:E1857)*(E1858=E$2:E1857)))))</f>
        <v/>
      </c>
      <c r="J1858" s="14" t="str">
        <f aca="true">IF(OR(E1858="",E1858="!!!",F1858="NEW"),"",COUNTBLANK(OFFSET(A$1,,,SUMPRODUCT(MAX(ROW(E$2:E1858)*(E1858=E$2:E1858)))))-COUNTBLANK(OFFSET(A$1,,,SUMPRODUCT(MAX(ROW(E$1:E1857)*(E1858=E$1:E1857))))))</f>
        <v/>
      </c>
      <c r="K1858" s="14" t="str">
        <f aca="false">IF(OR(E1858="",E1858="!!!",F1858="NEW"),"",INDEX(J$1:J1857,SUMPRODUCT(MAX(ROW(E$1:E1857)*(E1858=E$1:E1857)))))</f>
        <v/>
      </c>
      <c r="L1858" s="15"/>
    </row>
    <row r="1859" customFormat="false" ht="12.75" hidden="false" customHeight="false" outlineLevel="0" collapsed="false">
      <c r="A1859" s="0" t="s">
        <v>117</v>
      </c>
      <c r="E1859" s="9" t="str">
        <f aca="false">IF(D1859="?OLD","!!!","")</f>
        <v/>
      </c>
      <c r="F1859" s="10" t="str">
        <f aca="false">IF(OR(E1859="",E1859="!!!"),"",IF(NOT(ISNA(VLOOKUP(E1859,E$1:E1858,1,FALSE()))),"OLD",IF(AND(E1859&lt;&gt;"",E1859&lt;&gt;"!!!"),"NEW","")))</f>
        <v/>
      </c>
      <c r="G1859" s="11" t="str">
        <f aca="false">IF(OR(E1859="",E1859="!!!"),"",IF(OR(J1859=0,AND(J1859=1,K1859=1),AND(J1859=1,I1859="SBJ"),AND(J1859=1,I1859=0)),"?IN_FOCUS",IF(J1859&lt;=2,"?ACTIVATED",IF(J1859&lt;&gt;"","?FAMILIAR",IF(F1859="NEW",IF(ISNA(VLOOKUP(E1859,#REF!,1,FALSE())),"?TYPE_IDENTIFIABLE","?REFERENTIAL"),"_")))))</f>
        <v/>
      </c>
      <c r="H1859" s="12" t="str">
        <f aca="false">IF(J1859&lt;&gt;1,"",IF(I1859="SBJ","CB","?"))</f>
        <v/>
      </c>
      <c r="I1859" s="13" t="str">
        <f aca="false">IF(OR(E1859="",E1859="!!!",F1859="NEW"),"",INDEX(B$2:B1858,-1+SUMPRODUCT(MAX(ROW(E$2:E1858)*(E1859=E$2:E1858)))))</f>
        <v/>
      </c>
      <c r="J1859" s="14" t="str">
        <f aca="true">IF(OR(E1859="",E1859="!!!",F1859="NEW"),"",COUNTBLANK(OFFSET(A$1,,,SUMPRODUCT(MAX(ROW(E$2:E1859)*(E1859=E$2:E1859)))))-COUNTBLANK(OFFSET(A$1,,,SUMPRODUCT(MAX(ROW(E$1:E1858)*(E1859=E$1:E1858))))))</f>
        <v/>
      </c>
      <c r="K1859" s="14" t="str">
        <f aca="false">IF(OR(E1859="",E1859="!!!",F1859="NEW"),"",INDEX(J$1:J1858,SUMPRODUCT(MAX(ROW(E$1:E1858)*(E1859=E$1:E1858)))))</f>
        <v/>
      </c>
      <c r="L1859" s="15"/>
    </row>
    <row r="1860" customFormat="false" ht="12.75" hidden="false" customHeight="false" outlineLevel="0" collapsed="false">
      <c r="A1860" s="0" t="s">
        <v>450</v>
      </c>
      <c r="E1860" s="9" t="str">
        <f aca="false">IF(D1860="?OLD","!!!","")</f>
        <v/>
      </c>
      <c r="F1860" s="10" t="str">
        <f aca="false">IF(OR(E1860="",E1860="!!!"),"",IF(NOT(ISNA(VLOOKUP(E1860,E$1:E1859,1,FALSE()))),"OLD",IF(AND(E1860&lt;&gt;"",E1860&lt;&gt;"!!!"),"NEW","")))</f>
        <v/>
      </c>
      <c r="G1860" s="11" t="str">
        <f aca="false">IF(OR(E1860="",E1860="!!!"),"",IF(OR(J1860=0,AND(J1860=1,K1860=1),AND(J1860=1,I1860="SBJ"),AND(J1860=1,I1860=0)),"?IN_FOCUS",IF(J1860&lt;=2,"?ACTIVATED",IF(J1860&lt;&gt;"","?FAMILIAR",IF(F1860="NEW",IF(ISNA(VLOOKUP(E1860,#REF!,1,FALSE())),"?TYPE_IDENTIFIABLE","?REFERENTIAL"),"_")))))</f>
        <v/>
      </c>
      <c r="H1860" s="12" t="str">
        <f aca="false">IF(J1860&lt;&gt;1,"",IF(I1860="SBJ","CB","?"))</f>
        <v/>
      </c>
      <c r="I1860" s="13" t="str">
        <f aca="false">IF(OR(E1860="",E1860="!!!",F1860="NEW"),"",INDEX(B$2:B1859,-1+SUMPRODUCT(MAX(ROW(E$2:E1859)*(E1860=E$2:E1859)))))</f>
        <v/>
      </c>
      <c r="J1860" s="14" t="str">
        <f aca="true">IF(OR(E1860="",E1860="!!!",F1860="NEW"),"",COUNTBLANK(OFFSET(A$1,,,SUMPRODUCT(MAX(ROW(E$2:E1860)*(E1860=E$2:E1860)))))-COUNTBLANK(OFFSET(A$1,,,SUMPRODUCT(MAX(ROW(E$1:E1859)*(E1860=E$1:E1859))))))</f>
        <v/>
      </c>
      <c r="K1860" s="14" t="str">
        <f aca="false">IF(OR(E1860="",E1860="!!!",F1860="NEW"),"",INDEX(J$1:J1859,SUMPRODUCT(MAX(ROW(E$1:E1859)*(E1860=E$1:E1859)))))</f>
        <v/>
      </c>
      <c r="L1860" s="15"/>
    </row>
    <row r="1861" customFormat="false" ht="12.75" hidden="false" customHeight="false" outlineLevel="0" collapsed="false">
      <c r="A1861" s="0" t="s">
        <v>40</v>
      </c>
      <c r="E1861" s="9" t="str">
        <f aca="false">IF(D1861="?OLD","!!!","")</f>
        <v/>
      </c>
      <c r="F1861" s="10" t="str">
        <f aca="false">IF(OR(E1861="",E1861="!!!"),"",IF(NOT(ISNA(VLOOKUP(E1861,E$1:E1860,1,FALSE()))),"OLD",IF(AND(E1861&lt;&gt;"",E1861&lt;&gt;"!!!"),"NEW","")))</f>
        <v/>
      </c>
      <c r="G1861" s="11" t="str">
        <f aca="false">IF(OR(E1861="",E1861="!!!"),"",IF(OR(J1861=0,AND(J1861=1,K1861=1),AND(J1861=1,I1861="SBJ"),AND(J1861=1,I1861=0)),"?IN_FOCUS",IF(J1861&lt;=2,"?ACTIVATED",IF(J1861&lt;&gt;"","?FAMILIAR",IF(F1861="NEW",IF(ISNA(VLOOKUP(E1861,#REF!,1,FALSE())),"?TYPE_IDENTIFIABLE","?REFERENTIAL"),"_")))))</f>
        <v/>
      </c>
      <c r="H1861" s="12" t="str">
        <f aca="false">IF(J1861&lt;&gt;1,"",IF(I1861="SBJ","CB","?"))</f>
        <v/>
      </c>
      <c r="I1861" s="13" t="str">
        <f aca="false">IF(OR(E1861="",E1861="!!!",F1861="NEW"),"",INDEX(B$2:B1860,-1+SUMPRODUCT(MAX(ROW(E$2:E1860)*(E1861=E$2:E1860)))))</f>
        <v/>
      </c>
      <c r="J1861" s="14" t="str">
        <f aca="true">IF(OR(E1861="",E1861="!!!",F1861="NEW"),"",COUNTBLANK(OFFSET(A$1,,,SUMPRODUCT(MAX(ROW(E$2:E1861)*(E1861=E$2:E1861)))))-COUNTBLANK(OFFSET(A$1,,,SUMPRODUCT(MAX(ROW(E$1:E1860)*(E1861=E$1:E1860))))))</f>
        <v/>
      </c>
      <c r="K1861" s="14" t="str">
        <f aca="false">IF(OR(E1861="",E1861="!!!",F1861="NEW"),"",INDEX(J$1:J1860,SUMPRODUCT(MAX(ROW(E$1:E1860)*(E1861=E$1:E1860)))))</f>
        <v/>
      </c>
      <c r="L1861" s="15"/>
    </row>
    <row r="1862" customFormat="false" ht="12.75" hidden="false" customHeight="false" outlineLevel="0" collapsed="false">
      <c r="A1862" s="0" t="s">
        <v>761</v>
      </c>
      <c r="B1862" s="0" t="s">
        <v>28</v>
      </c>
      <c r="C1862" s="0" t="s">
        <v>43</v>
      </c>
      <c r="E1862" s="9" t="str">
        <f aca="false">IF(D1862="?OLD","!!!","")</f>
        <v/>
      </c>
      <c r="F1862" s="10" t="str">
        <f aca="false">IF(OR(E1862="",E1862="!!!"),"",IF(NOT(ISNA(VLOOKUP(E1862,E$1:E1861,1,FALSE()))),"OLD",IF(AND(E1862&lt;&gt;"",E1862&lt;&gt;"!!!"),"NEW","")))</f>
        <v/>
      </c>
      <c r="G1862" s="11" t="str">
        <f aca="false">IF(OR(E1862="",E1862="!!!"),"",IF(OR(J1862=0,AND(J1862=1,K1862=1),AND(J1862=1,I1862="SBJ"),AND(J1862=1,I1862=0)),"?IN_FOCUS",IF(J1862&lt;=2,"?ACTIVATED",IF(J1862&lt;&gt;"","?FAMILIAR",IF(F1862="NEW",IF(ISNA(VLOOKUP(E1862,#REF!,1,FALSE())),"?TYPE_IDENTIFIABLE","?REFERENTIAL"),"_")))))</f>
        <v/>
      </c>
      <c r="H1862" s="12" t="str">
        <f aca="false">IF(J1862&lt;&gt;1,"",IF(I1862="SBJ","CB","?"))</f>
        <v/>
      </c>
      <c r="I1862" s="13" t="str">
        <f aca="false">IF(OR(E1862="",E1862="!!!",F1862="NEW"),"",INDEX(B$2:B1861,-1+SUMPRODUCT(MAX(ROW(E$2:E1861)*(E1862=E$2:E1861)))))</f>
        <v/>
      </c>
      <c r="J1862" s="14" t="str">
        <f aca="true">IF(OR(E1862="",E1862="!!!",F1862="NEW"),"",COUNTBLANK(OFFSET(A$1,,,SUMPRODUCT(MAX(ROW(E$2:E1862)*(E1862=E$2:E1862)))))-COUNTBLANK(OFFSET(A$1,,,SUMPRODUCT(MAX(ROW(E$1:E1861)*(E1862=E$1:E1861))))))</f>
        <v/>
      </c>
      <c r="K1862" s="14" t="str">
        <f aca="false">IF(OR(E1862="",E1862="!!!",F1862="NEW"),"",INDEX(J$1:J1861,SUMPRODUCT(MAX(ROW(E$1:E1861)*(E1862=E$1:E1861)))))</f>
        <v/>
      </c>
      <c r="L1862" s="15"/>
    </row>
    <row r="1863" customFormat="false" ht="12.75" hidden="false" customHeight="false" outlineLevel="0" collapsed="false">
      <c r="A1863" s="0" t="s">
        <v>31</v>
      </c>
      <c r="E1863" s="9" t="str">
        <f aca="false">IF(D1863="?OLD","!!!","")</f>
        <v/>
      </c>
      <c r="F1863" s="10" t="str">
        <f aca="false">IF(OR(E1863="",E1863="!!!"),"",IF(NOT(ISNA(VLOOKUP(E1863,E$1:E1862,1,FALSE()))),"OLD",IF(AND(E1863&lt;&gt;"",E1863&lt;&gt;"!!!"),"NEW","")))</f>
        <v/>
      </c>
      <c r="G1863" s="11" t="str">
        <f aca="false">IF(OR(E1863="",E1863="!!!"),"",IF(OR(J1863=0,AND(J1863=1,K1863=1),AND(J1863=1,I1863="SBJ"),AND(J1863=1,I1863=0)),"?IN_FOCUS",IF(J1863&lt;=2,"?ACTIVATED",IF(J1863&lt;&gt;"","?FAMILIAR",IF(F1863="NEW",IF(ISNA(VLOOKUP(E1863,#REF!,1,FALSE())),"?TYPE_IDENTIFIABLE","?REFERENTIAL"),"_")))))</f>
        <v/>
      </c>
      <c r="H1863" s="12" t="str">
        <f aca="false">IF(J1863&lt;&gt;1,"",IF(I1863="SBJ","CB","?"))</f>
        <v/>
      </c>
      <c r="I1863" s="13" t="str">
        <f aca="false">IF(OR(E1863="",E1863="!!!",F1863="NEW"),"",INDEX(B$2:B1862,-1+SUMPRODUCT(MAX(ROW(E$2:E1862)*(E1863=E$2:E1862)))))</f>
        <v/>
      </c>
      <c r="J1863" s="14" t="str">
        <f aca="true">IF(OR(E1863="",E1863="!!!",F1863="NEW"),"",COUNTBLANK(OFFSET(A$1,,,SUMPRODUCT(MAX(ROW(E$2:E1863)*(E1863=E$2:E1863)))))-COUNTBLANK(OFFSET(A$1,,,SUMPRODUCT(MAX(ROW(E$1:E1862)*(E1863=E$1:E1862))))))</f>
        <v/>
      </c>
      <c r="K1863" s="14" t="str">
        <f aca="false">IF(OR(E1863="",E1863="!!!",F1863="NEW"),"",INDEX(J$1:J1862,SUMPRODUCT(MAX(ROW(E$1:E1862)*(E1863=E$1:E1862)))))</f>
        <v/>
      </c>
      <c r="L1863" s="15"/>
    </row>
    <row r="1864" customFormat="false" ht="12.75" hidden="false" customHeight="false" outlineLevel="0" collapsed="false">
      <c r="A1864" s="0" t="s">
        <v>519</v>
      </c>
      <c r="E1864" s="9" t="str">
        <f aca="false">IF(D1864="?OLD","!!!","")</f>
        <v/>
      </c>
      <c r="F1864" s="10" t="str">
        <f aca="false">IF(OR(E1864="",E1864="!!!"),"",IF(NOT(ISNA(VLOOKUP(E1864,E$1:E1863,1,FALSE()))),"OLD",IF(AND(E1864&lt;&gt;"",E1864&lt;&gt;"!!!"),"NEW","")))</f>
        <v/>
      </c>
      <c r="G1864" s="11" t="str">
        <f aca="false">IF(OR(E1864="",E1864="!!!"),"",IF(OR(J1864=0,AND(J1864=1,K1864=1),AND(J1864=1,I1864="SBJ"),AND(J1864=1,I1864=0)),"?IN_FOCUS",IF(J1864&lt;=2,"?ACTIVATED",IF(J1864&lt;&gt;"","?FAMILIAR",IF(F1864="NEW",IF(ISNA(VLOOKUP(E1864,#REF!,1,FALSE())),"?TYPE_IDENTIFIABLE","?REFERENTIAL"),"_")))))</f>
        <v/>
      </c>
      <c r="H1864" s="12" t="str">
        <f aca="false">IF(J1864&lt;&gt;1,"",IF(I1864="SBJ","CB","?"))</f>
        <v/>
      </c>
      <c r="I1864" s="13" t="str">
        <f aca="false">IF(OR(E1864="",E1864="!!!",F1864="NEW"),"",INDEX(B$2:B1863,-1+SUMPRODUCT(MAX(ROW(E$2:E1863)*(E1864=E$2:E1863)))))</f>
        <v/>
      </c>
      <c r="J1864" s="14" t="str">
        <f aca="true">IF(OR(E1864="",E1864="!!!",F1864="NEW"),"",COUNTBLANK(OFFSET(A$1,,,SUMPRODUCT(MAX(ROW(E$2:E1864)*(E1864=E$2:E1864)))))-COUNTBLANK(OFFSET(A$1,,,SUMPRODUCT(MAX(ROW(E$1:E1863)*(E1864=E$1:E1863))))))</f>
        <v/>
      </c>
      <c r="K1864" s="14" t="str">
        <f aca="false">IF(OR(E1864="",E1864="!!!",F1864="NEW"),"",INDEX(J$1:J1863,SUMPRODUCT(MAX(ROW(E$1:E1863)*(E1864=E$1:E1863)))))</f>
        <v/>
      </c>
      <c r="L1864" s="15"/>
    </row>
    <row r="1865" customFormat="false" ht="12.75" hidden="false" customHeight="false" outlineLevel="0" collapsed="false">
      <c r="A1865" s="0" t="s">
        <v>762</v>
      </c>
      <c r="E1865" s="9" t="str">
        <f aca="false">IF(D1865="?OLD","!!!","")</f>
        <v/>
      </c>
      <c r="F1865" s="10" t="str">
        <f aca="false">IF(OR(E1865="",E1865="!!!"),"",IF(NOT(ISNA(VLOOKUP(E1865,E$1:E1864,1,FALSE()))),"OLD",IF(AND(E1865&lt;&gt;"",E1865&lt;&gt;"!!!"),"NEW","")))</f>
        <v/>
      </c>
      <c r="G1865" s="11" t="str">
        <f aca="false">IF(OR(E1865="",E1865="!!!"),"",IF(OR(J1865=0,AND(J1865=1,K1865=1),AND(J1865=1,I1865="SBJ"),AND(J1865=1,I1865=0)),"?IN_FOCUS",IF(J1865&lt;=2,"?ACTIVATED",IF(J1865&lt;&gt;"","?FAMILIAR",IF(F1865="NEW",IF(ISNA(VLOOKUP(E1865,#REF!,1,FALSE())),"?TYPE_IDENTIFIABLE","?REFERENTIAL"),"_")))))</f>
        <v/>
      </c>
      <c r="H1865" s="12" t="str">
        <f aca="false">IF(J1865&lt;&gt;1,"",IF(I1865="SBJ","CB","?"))</f>
        <v/>
      </c>
      <c r="I1865" s="13" t="str">
        <f aca="false">IF(OR(E1865="",E1865="!!!",F1865="NEW"),"",INDEX(B$2:B1864,-1+SUMPRODUCT(MAX(ROW(E$2:E1864)*(E1865=E$2:E1864)))))</f>
        <v/>
      </c>
      <c r="J1865" s="14" t="str">
        <f aca="true">IF(OR(E1865="",E1865="!!!",F1865="NEW"),"",COUNTBLANK(OFFSET(A$1,,,SUMPRODUCT(MAX(ROW(E$2:E1865)*(E1865=E$2:E1865)))))-COUNTBLANK(OFFSET(A$1,,,SUMPRODUCT(MAX(ROW(E$1:E1864)*(E1865=E$1:E1864))))))</f>
        <v/>
      </c>
      <c r="K1865" s="14" t="str">
        <f aca="false">IF(OR(E1865="",E1865="!!!",F1865="NEW"),"",INDEX(J$1:J1864,SUMPRODUCT(MAX(ROW(E$1:E1864)*(E1865=E$1:E1864)))))</f>
        <v/>
      </c>
      <c r="L1865" s="15"/>
    </row>
    <row r="1866" customFormat="false" ht="12.75" hidden="false" customHeight="false" outlineLevel="0" collapsed="false">
      <c r="A1866" s="0" t="s">
        <v>66</v>
      </c>
      <c r="E1866" s="9" t="str">
        <f aca="false">IF(D1866="?OLD","!!!","")</f>
        <v/>
      </c>
      <c r="F1866" s="10" t="str">
        <f aca="false">IF(OR(E1866="",E1866="!!!"),"",IF(NOT(ISNA(VLOOKUP(E1866,E$1:E1865,1,FALSE()))),"OLD",IF(AND(E1866&lt;&gt;"",E1866&lt;&gt;"!!!"),"NEW","")))</f>
        <v/>
      </c>
      <c r="G1866" s="11" t="str">
        <f aca="false">IF(OR(E1866="",E1866="!!!"),"",IF(OR(J1866=0,AND(J1866=1,K1866=1),AND(J1866=1,I1866="SBJ"),AND(J1866=1,I1866=0)),"?IN_FOCUS",IF(J1866&lt;=2,"?ACTIVATED",IF(J1866&lt;&gt;"","?FAMILIAR",IF(F1866="NEW",IF(ISNA(VLOOKUP(E1866,#REF!,1,FALSE())),"?TYPE_IDENTIFIABLE","?REFERENTIAL"),"_")))))</f>
        <v/>
      </c>
      <c r="H1866" s="12" t="str">
        <f aca="false">IF(J1866&lt;&gt;1,"",IF(I1866="SBJ","CB","?"))</f>
        <v/>
      </c>
      <c r="I1866" s="13" t="str">
        <f aca="false">IF(OR(E1866="",E1866="!!!",F1866="NEW"),"",INDEX(B$2:B1865,-1+SUMPRODUCT(MAX(ROW(E$2:E1865)*(E1866=E$2:E1865)))))</f>
        <v/>
      </c>
      <c r="J1866" s="14" t="str">
        <f aca="true">IF(OR(E1866="",E1866="!!!",F1866="NEW"),"",COUNTBLANK(OFFSET(A$1,,,SUMPRODUCT(MAX(ROW(E$2:E1866)*(E1866=E$2:E1866)))))-COUNTBLANK(OFFSET(A$1,,,SUMPRODUCT(MAX(ROW(E$1:E1865)*(E1866=E$1:E1865))))))</f>
        <v/>
      </c>
      <c r="K1866" s="14" t="str">
        <f aca="false">IF(OR(E1866="",E1866="!!!",F1866="NEW"),"",INDEX(J$1:J1865,SUMPRODUCT(MAX(ROW(E$1:E1865)*(E1866=E$1:E1865)))))</f>
        <v/>
      </c>
      <c r="L1866" s="15"/>
    </row>
    <row r="1867" customFormat="false" ht="12.75" hidden="false" customHeight="false" outlineLevel="0" collapsed="false">
      <c r="A1867" s="0" t="s">
        <v>763</v>
      </c>
      <c r="B1867" s="0" t="s">
        <v>103</v>
      </c>
      <c r="C1867" s="0" t="s">
        <v>111</v>
      </c>
      <c r="D1867" s="0" t="s">
        <v>29</v>
      </c>
      <c r="E1867" s="9" t="str">
        <f aca="false">IF(D1867="?OLD","!!!","")</f>
        <v>!!!</v>
      </c>
      <c r="F1867" s="10" t="str">
        <f aca="false">IF(OR(E1867="",E1867="!!!"),"",IF(NOT(ISNA(VLOOKUP(E1867,E$1:E1866,1,FALSE()))),"OLD",IF(AND(E1867&lt;&gt;"",E1867&lt;&gt;"!!!"),"NEW","")))</f>
        <v/>
      </c>
      <c r="G1867" s="11" t="str">
        <f aca="false">IF(OR(E1867="",E1867="!!!"),"",IF(OR(J1867=0,AND(J1867=1,K1867=1),AND(J1867=1,I1867="SBJ"),AND(J1867=1,I1867=0)),"?IN_FOCUS",IF(J1867&lt;=2,"?ACTIVATED",IF(J1867&lt;&gt;"","?FAMILIAR",IF(F1867="NEW",IF(ISNA(VLOOKUP(E1867,#REF!,1,FALSE())),"?TYPE_IDENTIFIABLE","?REFERENTIAL"),"_")))))</f>
        <v/>
      </c>
      <c r="H1867" s="12" t="str">
        <f aca="false">IF(J1867&lt;&gt;1,"",IF(I1867="SBJ","CB","?"))</f>
        <v/>
      </c>
      <c r="I1867" s="13" t="str">
        <f aca="false">IF(OR(E1867="",E1867="!!!",F1867="NEW"),"",INDEX(B$2:B1866,-1+SUMPRODUCT(MAX(ROW(E$2:E1866)*(E1867=E$2:E1866)))))</f>
        <v/>
      </c>
      <c r="J1867" s="14" t="str">
        <f aca="true">IF(OR(E1867="",E1867="!!!",F1867="NEW"),"",COUNTBLANK(OFFSET(A$1,,,SUMPRODUCT(MAX(ROW(E$2:E1867)*(E1867=E$2:E1867)))))-COUNTBLANK(OFFSET(A$1,,,SUMPRODUCT(MAX(ROW(E$1:E1866)*(E1867=E$1:E1866))))))</f>
        <v/>
      </c>
      <c r="K1867" s="14" t="str">
        <f aca="false">IF(OR(E1867="",E1867="!!!",F1867="NEW"),"",INDEX(J$1:J1866,SUMPRODUCT(MAX(ROW(E$1:E1866)*(E1867=E$1:E1866)))))</f>
        <v/>
      </c>
      <c r="L1867" s="15"/>
    </row>
    <row r="1868" customFormat="false" ht="12.75" hidden="false" customHeight="false" outlineLevel="0" collapsed="false">
      <c r="A1868" s="0" t="s">
        <v>764</v>
      </c>
      <c r="B1868" s="0" t="s">
        <v>59</v>
      </c>
      <c r="E1868" s="9" t="str">
        <f aca="false">IF(D1868="?OLD","!!!","")</f>
        <v/>
      </c>
      <c r="F1868" s="10" t="str">
        <f aca="false">IF(OR(E1868="",E1868="!!!"),"",IF(NOT(ISNA(VLOOKUP(E1868,E$1:E1867,1,FALSE()))),"OLD",IF(AND(E1868&lt;&gt;"",E1868&lt;&gt;"!!!"),"NEW","")))</f>
        <v/>
      </c>
      <c r="G1868" s="11" t="str">
        <f aca="false">IF(OR(E1868="",E1868="!!!"),"",IF(OR(J1868=0,AND(J1868=1,K1868=1),AND(J1868=1,I1868="SBJ"),AND(J1868=1,I1868=0)),"?IN_FOCUS",IF(J1868&lt;=2,"?ACTIVATED",IF(J1868&lt;&gt;"","?FAMILIAR",IF(F1868="NEW",IF(ISNA(VLOOKUP(E1868,#REF!,1,FALSE())),"?TYPE_IDENTIFIABLE","?REFERENTIAL"),"_")))))</f>
        <v/>
      </c>
      <c r="H1868" s="12" t="str">
        <f aca="false">IF(J1868&lt;&gt;1,"",IF(I1868="SBJ","CB","?"))</f>
        <v/>
      </c>
      <c r="I1868" s="13" t="str">
        <f aca="false">IF(OR(E1868="",E1868="!!!",F1868="NEW"),"",INDEX(B$2:B1867,-1+SUMPRODUCT(MAX(ROW(E$2:E1867)*(E1868=E$2:E1867)))))</f>
        <v/>
      </c>
      <c r="J1868" s="14" t="str">
        <f aca="true">IF(OR(E1868="",E1868="!!!",F1868="NEW"),"",COUNTBLANK(OFFSET(A$1,,,SUMPRODUCT(MAX(ROW(E$2:E1868)*(E1868=E$2:E1868)))))-COUNTBLANK(OFFSET(A$1,,,SUMPRODUCT(MAX(ROW(E$1:E1867)*(E1868=E$1:E1867))))))</f>
        <v/>
      </c>
      <c r="K1868" s="14" t="str">
        <f aca="false">IF(OR(E1868="",E1868="!!!",F1868="NEW"),"",INDEX(J$1:J1867,SUMPRODUCT(MAX(ROW(E$1:E1867)*(E1868=E$1:E1867)))))</f>
        <v/>
      </c>
      <c r="L1868" s="15"/>
    </row>
    <row r="1869" customFormat="false" ht="12.75" hidden="false" customHeight="false" outlineLevel="0" collapsed="false">
      <c r="A1869" s="0" t="s">
        <v>147</v>
      </c>
      <c r="B1869" s="0" t="s">
        <v>157</v>
      </c>
      <c r="C1869" s="0" t="s">
        <v>38</v>
      </c>
      <c r="D1869" s="0" t="s">
        <v>29</v>
      </c>
      <c r="E1869" s="9" t="str">
        <f aca="false">IF(D1869="?OLD","!!!","")</f>
        <v>!!!</v>
      </c>
      <c r="F1869" s="10" t="str">
        <f aca="false">IF(OR(E1869="",E1869="!!!"),"",IF(NOT(ISNA(VLOOKUP(E1869,E$1:E1868,1,FALSE()))),"OLD",IF(AND(E1869&lt;&gt;"",E1869&lt;&gt;"!!!"),"NEW","")))</f>
        <v/>
      </c>
      <c r="G1869" s="11" t="str">
        <f aca="false">IF(OR(E1869="",E1869="!!!"),"",IF(OR(J1869=0,AND(J1869=1,K1869=1),AND(J1869=1,I1869="SBJ"),AND(J1869=1,I1869=0)),"?IN_FOCUS",IF(J1869&lt;=2,"?ACTIVATED",IF(J1869&lt;&gt;"","?FAMILIAR",IF(F1869="NEW",IF(ISNA(VLOOKUP(E1869,#REF!,1,FALSE())),"?TYPE_IDENTIFIABLE","?REFERENTIAL"),"_")))))</f>
        <v/>
      </c>
      <c r="H1869" s="12" t="str">
        <f aca="false">IF(J1869&lt;&gt;1,"",IF(I1869="SBJ","CB","?"))</f>
        <v/>
      </c>
      <c r="I1869" s="13" t="str">
        <f aca="false">IF(OR(E1869="",E1869="!!!",F1869="NEW"),"",INDEX(B$2:B1868,-1+SUMPRODUCT(MAX(ROW(E$2:E1868)*(E1869=E$2:E1868)))))</f>
        <v/>
      </c>
      <c r="J1869" s="14" t="str">
        <f aca="true">IF(OR(E1869="",E1869="!!!",F1869="NEW"),"",COUNTBLANK(OFFSET(A$1,,,SUMPRODUCT(MAX(ROW(E$2:E1869)*(E1869=E$2:E1869)))))-COUNTBLANK(OFFSET(A$1,,,SUMPRODUCT(MAX(ROW(E$1:E1868)*(E1869=E$1:E1868))))))</f>
        <v/>
      </c>
      <c r="K1869" s="14" t="str">
        <f aca="false">IF(OR(E1869="",E1869="!!!",F1869="NEW"),"",INDEX(J$1:J1868,SUMPRODUCT(MAX(ROW(E$1:E1868)*(E1869=E$1:E1868)))))</f>
        <v/>
      </c>
      <c r="L1869" s="15"/>
    </row>
    <row r="1870" customFormat="false" ht="12.75" hidden="false" customHeight="false" outlineLevel="0" collapsed="false">
      <c r="A1870" s="0" t="s">
        <v>95</v>
      </c>
      <c r="E1870" s="9" t="str">
        <f aca="false">IF(D1870="?OLD","!!!","")</f>
        <v/>
      </c>
      <c r="F1870" s="10" t="str">
        <f aca="false">IF(OR(E1870="",E1870="!!!"),"",IF(NOT(ISNA(VLOOKUP(E1870,E$1:E1869,1,FALSE()))),"OLD",IF(AND(E1870&lt;&gt;"",E1870&lt;&gt;"!!!"),"NEW","")))</f>
        <v/>
      </c>
      <c r="G1870" s="11" t="str">
        <f aca="false">IF(OR(E1870="",E1870="!!!"),"",IF(OR(J1870=0,AND(J1870=1,K1870=1),AND(J1870=1,I1870="SBJ"),AND(J1870=1,I1870=0)),"?IN_FOCUS",IF(J1870&lt;=2,"?ACTIVATED",IF(J1870&lt;&gt;"","?FAMILIAR",IF(F1870="NEW",IF(ISNA(VLOOKUP(E1870,#REF!,1,FALSE())),"?TYPE_IDENTIFIABLE","?REFERENTIAL"),"_")))))</f>
        <v/>
      </c>
      <c r="H1870" s="12" t="str">
        <f aca="false">IF(J1870&lt;&gt;1,"",IF(I1870="SBJ","CB","?"))</f>
        <v/>
      </c>
      <c r="I1870" s="13" t="str">
        <f aca="false">IF(OR(E1870="",E1870="!!!",F1870="NEW"),"",INDEX(B$2:B1869,-1+SUMPRODUCT(MAX(ROW(E$2:E1869)*(E1870=E$2:E1869)))))</f>
        <v/>
      </c>
      <c r="J1870" s="14" t="str">
        <f aca="true">IF(OR(E1870="",E1870="!!!",F1870="NEW"),"",COUNTBLANK(OFFSET(A$1,,,SUMPRODUCT(MAX(ROW(E$2:E1870)*(E1870=E$2:E1870)))))-COUNTBLANK(OFFSET(A$1,,,SUMPRODUCT(MAX(ROW(E$1:E1869)*(E1870=E$1:E1869))))))</f>
        <v/>
      </c>
      <c r="K1870" s="14" t="str">
        <f aca="false">IF(OR(E1870="",E1870="!!!",F1870="NEW"),"",INDEX(J$1:J1869,SUMPRODUCT(MAX(ROW(E$1:E1869)*(E1870=E$1:E1869)))))</f>
        <v/>
      </c>
      <c r="L1870" s="15"/>
    </row>
    <row r="1871" customFormat="false" ht="12.75" hidden="false" customHeight="false" outlineLevel="0" collapsed="false">
      <c r="A1871" s="0" t="s">
        <v>765</v>
      </c>
      <c r="E1871" s="9" t="str">
        <f aca="false">IF(D1871="?OLD","!!!","")</f>
        <v/>
      </c>
      <c r="F1871" s="10" t="str">
        <f aca="false">IF(OR(E1871="",E1871="!!!"),"",IF(NOT(ISNA(VLOOKUP(E1871,E$1:E1870,1,FALSE()))),"OLD",IF(AND(E1871&lt;&gt;"",E1871&lt;&gt;"!!!"),"NEW","")))</f>
        <v/>
      </c>
      <c r="G1871" s="11" t="str">
        <f aca="false">IF(OR(E1871="",E1871="!!!"),"",IF(OR(J1871=0,AND(J1871=1,K1871=1),AND(J1871=1,I1871="SBJ"),AND(J1871=1,I1871=0)),"?IN_FOCUS",IF(J1871&lt;=2,"?ACTIVATED",IF(J1871&lt;&gt;"","?FAMILIAR",IF(F1871="NEW",IF(ISNA(VLOOKUP(E1871,#REF!,1,FALSE())),"?TYPE_IDENTIFIABLE","?REFERENTIAL"),"_")))))</f>
        <v/>
      </c>
      <c r="H1871" s="12" t="str">
        <f aca="false">IF(J1871&lt;&gt;1,"",IF(I1871="SBJ","CB","?"))</f>
        <v/>
      </c>
      <c r="I1871" s="13" t="str">
        <f aca="false">IF(OR(E1871="",E1871="!!!",F1871="NEW"),"",INDEX(B$2:B1870,-1+SUMPRODUCT(MAX(ROW(E$2:E1870)*(E1871=E$2:E1870)))))</f>
        <v/>
      </c>
      <c r="J1871" s="14" t="str">
        <f aca="true">IF(OR(E1871="",E1871="!!!",F1871="NEW"),"",COUNTBLANK(OFFSET(A$1,,,SUMPRODUCT(MAX(ROW(E$2:E1871)*(E1871=E$2:E1871)))))-COUNTBLANK(OFFSET(A$1,,,SUMPRODUCT(MAX(ROW(E$1:E1870)*(E1871=E$1:E1870))))))</f>
        <v/>
      </c>
      <c r="K1871" s="14" t="str">
        <f aca="false">IF(OR(E1871="",E1871="!!!",F1871="NEW"),"",INDEX(J$1:J1870,SUMPRODUCT(MAX(ROW(E$1:E1870)*(E1871=E$1:E1870)))))</f>
        <v/>
      </c>
      <c r="L1871" s="15"/>
    </row>
    <row r="1872" customFormat="false" ht="12.75" hidden="false" customHeight="false" outlineLevel="0" collapsed="false">
      <c r="A1872" s="0" t="s">
        <v>73</v>
      </c>
      <c r="E1872" s="9" t="str">
        <f aca="false">IF(D1872="?OLD","!!!","")</f>
        <v/>
      </c>
      <c r="F1872" s="10" t="str">
        <f aca="false">IF(OR(E1872="",E1872="!!!"),"",IF(NOT(ISNA(VLOOKUP(E1872,E$1:E1871,1,FALSE()))),"OLD",IF(AND(E1872&lt;&gt;"",E1872&lt;&gt;"!!!"),"NEW","")))</f>
        <v/>
      </c>
      <c r="G1872" s="11" t="str">
        <f aca="false">IF(OR(E1872="",E1872="!!!"),"",IF(OR(J1872=0,AND(J1872=1,K1872=1),AND(J1872=1,I1872="SBJ"),AND(J1872=1,I1872=0)),"?IN_FOCUS",IF(J1872&lt;=2,"?ACTIVATED",IF(J1872&lt;&gt;"","?FAMILIAR",IF(F1872="NEW",IF(ISNA(VLOOKUP(E1872,#REF!,1,FALSE())),"?TYPE_IDENTIFIABLE","?REFERENTIAL"),"_")))))</f>
        <v/>
      </c>
      <c r="H1872" s="12" t="str">
        <f aca="false">IF(J1872&lt;&gt;1,"",IF(I1872="SBJ","CB","?"))</f>
        <v/>
      </c>
      <c r="I1872" s="13" t="str">
        <f aca="false">IF(OR(E1872="",E1872="!!!",F1872="NEW"),"",INDEX(B$2:B1871,-1+SUMPRODUCT(MAX(ROW(E$2:E1871)*(E1872=E$2:E1871)))))</f>
        <v/>
      </c>
      <c r="J1872" s="14" t="str">
        <f aca="true">IF(OR(E1872="",E1872="!!!",F1872="NEW"),"",COUNTBLANK(OFFSET(A$1,,,SUMPRODUCT(MAX(ROW(E$2:E1872)*(E1872=E$2:E1872)))))-COUNTBLANK(OFFSET(A$1,,,SUMPRODUCT(MAX(ROW(E$1:E1871)*(E1872=E$1:E1871))))))</f>
        <v/>
      </c>
      <c r="K1872" s="14" t="str">
        <f aca="false">IF(OR(E1872="",E1872="!!!",F1872="NEW"),"",INDEX(J$1:J1871,SUMPRODUCT(MAX(ROW(E$1:E1871)*(E1872=E$1:E1871)))))</f>
        <v/>
      </c>
      <c r="L1872" s="15"/>
    </row>
    <row r="1873" customFormat="false" ht="12.75" hidden="false" customHeight="false" outlineLevel="0" collapsed="false">
      <c r="E1873" s="9" t="str">
        <f aca="false">IF(D1873="?OLD","!!!","")</f>
        <v/>
      </c>
      <c r="F1873" s="10" t="str">
        <f aca="false">IF(OR(E1873="",E1873="!!!"),"",IF(NOT(ISNA(VLOOKUP(E1873,E$1:E1872,1,FALSE()))),"OLD",IF(AND(E1873&lt;&gt;"",E1873&lt;&gt;"!!!"),"NEW","")))</f>
        <v/>
      </c>
      <c r="G1873" s="11" t="str">
        <f aca="false">IF(OR(E1873="",E1873="!!!"),"",IF(OR(J1873=0,AND(J1873=1,K1873=1),AND(J1873=1,I1873="SBJ"),AND(J1873=1,I1873=0)),"?IN_FOCUS",IF(J1873&lt;=2,"?ACTIVATED",IF(J1873&lt;&gt;"","?FAMILIAR",IF(F1873="NEW",IF(ISNA(VLOOKUP(E1873,#REF!,1,FALSE())),"?TYPE_IDENTIFIABLE","?REFERENTIAL"),"_")))))</f>
        <v/>
      </c>
      <c r="H1873" s="12" t="str">
        <f aca="false">IF(J1873&lt;&gt;1,"",IF(I1873="SBJ","CB","?"))</f>
        <v/>
      </c>
      <c r="I1873" s="13" t="str">
        <f aca="false">IF(OR(E1873="",E1873="!!!",F1873="NEW"),"",INDEX(B$2:B1872,-1+SUMPRODUCT(MAX(ROW(E$2:E1872)*(E1873=E$2:E1872)))))</f>
        <v/>
      </c>
      <c r="J1873" s="14" t="str">
        <f aca="true">IF(OR(E1873="",E1873="!!!",F1873="NEW"),"",COUNTBLANK(OFFSET(A$1,,,SUMPRODUCT(MAX(ROW(E$2:E1873)*(E1873=E$2:E1873)))))-COUNTBLANK(OFFSET(A$1,,,SUMPRODUCT(MAX(ROW(E$1:E1872)*(E1873=E$1:E1872))))))</f>
        <v/>
      </c>
      <c r="K1873" s="14" t="str">
        <f aca="false">IF(OR(E1873="",E1873="!!!",F1873="NEW"),"",INDEX(J$1:J1872,SUMPRODUCT(MAX(ROW(E$1:E1872)*(E1873=E$1:E1872)))))</f>
        <v/>
      </c>
      <c r="L1873" s="15"/>
    </row>
    <row r="1874" customFormat="false" ht="12.75" hidden="false" customHeight="false" outlineLevel="0" collapsed="false">
      <c r="A1874" s="0" t="s">
        <v>766</v>
      </c>
      <c r="E1874" s="9" t="str">
        <f aca="false">IF(D1874="?OLD","!!!","")</f>
        <v/>
      </c>
      <c r="F1874" s="10" t="str">
        <f aca="false">IF(OR(E1874="",E1874="!!!"),"",IF(NOT(ISNA(VLOOKUP(E1874,E$1:E1873,1,FALSE()))),"OLD",IF(AND(E1874&lt;&gt;"",E1874&lt;&gt;"!!!"),"NEW","")))</f>
        <v/>
      </c>
      <c r="G1874" s="11" t="str">
        <f aca="false">IF(OR(E1874="",E1874="!!!"),"",IF(OR(J1874=0,AND(J1874=1,K1874=1),AND(J1874=1,I1874="SBJ"),AND(J1874=1,I1874=0)),"?IN_FOCUS",IF(J1874&lt;=2,"?ACTIVATED",IF(J1874&lt;&gt;"","?FAMILIAR",IF(F1874="NEW",IF(ISNA(VLOOKUP(E1874,#REF!,1,FALSE())),"?TYPE_IDENTIFIABLE","?REFERENTIAL"),"_")))))</f>
        <v/>
      </c>
      <c r="H1874" s="12" t="str">
        <f aca="false">IF(J1874&lt;&gt;1,"",IF(I1874="SBJ","CB","?"))</f>
        <v/>
      </c>
      <c r="I1874" s="13" t="str">
        <f aca="false">IF(OR(E1874="",E1874="!!!",F1874="NEW"),"",INDEX(B$2:B1873,-1+SUMPRODUCT(MAX(ROW(E$2:E1873)*(E1874=E$2:E1873)))))</f>
        <v/>
      </c>
      <c r="J1874" s="14" t="str">
        <f aca="true">IF(OR(E1874="",E1874="!!!",F1874="NEW"),"",COUNTBLANK(OFFSET(A$1,,,SUMPRODUCT(MAX(ROW(E$2:E1874)*(E1874=E$2:E1874)))))-COUNTBLANK(OFFSET(A$1,,,SUMPRODUCT(MAX(ROW(E$1:E1873)*(E1874=E$1:E1873))))))</f>
        <v/>
      </c>
      <c r="K1874" s="14" t="str">
        <f aca="false">IF(OR(E1874="",E1874="!!!",F1874="NEW"),"",INDEX(J$1:J1873,SUMPRODUCT(MAX(ROW(E$1:E1873)*(E1874=E$1:E1873)))))</f>
        <v/>
      </c>
      <c r="L1874" s="15"/>
    </row>
    <row r="1875" customFormat="false" ht="12.75" hidden="false" customHeight="false" outlineLevel="0" collapsed="false">
      <c r="A1875" s="0" t="s">
        <v>525</v>
      </c>
      <c r="B1875" s="0" t="s">
        <v>14</v>
      </c>
      <c r="C1875" s="0" t="s">
        <v>38</v>
      </c>
      <c r="D1875" s="0" t="s">
        <v>29</v>
      </c>
      <c r="E1875" s="9" t="str">
        <f aca="false">IF(D1875="?OLD","!!!","")</f>
        <v>!!!</v>
      </c>
      <c r="F1875" s="10" t="str">
        <f aca="false">IF(OR(E1875="",E1875="!!!"),"",IF(NOT(ISNA(VLOOKUP(E1875,E$1:E1874,1,FALSE()))),"OLD",IF(AND(E1875&lt;&gt;"",E1875&lt;&gt;"!!!"),"NEW","")))</f>
        <v/>
      </c>
      <c r="G1875" s="11" t="str">
        <f aca="false">IF(OR(E1875="",E1875="!!!"),"",IF(OR(J1875=0,AND(J1875=1,K1875=1),AND(J1875=1,I1875="SBJ"),AND(J1875=1,I1875=0)),"?IN_FOCUS",IF(J1875&lt;=2,"?ACTIVATED",IF(J1875&lt;&gt;"","?FAMILIAR",IF(F1875="NEW",IF(ISNA(VLOOKUP(E1875,#REF!,1,FALSE())),"?TYPE_IDENTIFIABLE","?REFERENTIAL"),"_")))))</f>
        <v/>
      </c>
      <c r="H1875" s="12" t="str">
        <f aca="false">IF(J1875&lt;&gt;1,"",IF(I1875="SBJ","CB","?"))</f>
        <v/>
      </c>
      <c r="I1875" s="13" t="str">
        <f aca="false">IF(OR(E1875="",E1875="!!!",F1875="NEW"),"",INDEX(B$2:B1874,-1+SUMPRODUCT(MAX(ROW(E$2:E1874)*(E1875=E$2:E1874)))))</f>
        <v/>
      </c>
      <c r="J1875" s="14" t="str">
        <f aca="true">IF(OR(E1875="",E1875="!!!",F1875="NEW"),"",COUNTBLANK(OFFSET(A$1,,,SUMPRODUCT(MAX(ROW(E$2:E1875)*(E1875=E$2:E1875)))))-COUNTBLANK(OFFSET(A$1,,,SUMPRODUCT(MAX(ROW(E$1:E1874)*(E1875=E$1:E1874))))))</f>
        <v/>
      </c>
      <c r="K1875" s="14" t="str">
        <f aca="false">IF(OR(E1875="",E1875="!!!",F1875="NEW"),"",INDEX(J$1:J1874,SUMPRODUCT(MAX(ROW(E$1:E1874)*(E1875=E$1:E1874)))))</f>
        <v/>
      </c>
      <c r="L1875" s="15"/>
    </row>
    <row r="1876" customFormat="false" ht="12.75" hidden="false" customHeight="false" outlineLevel="0" collapsed="false">
      <c r="A1876" s="0" t="s">
        <v>475</v>
      </c>
      <c r="E1876" s="9" t="str">
        <f aca="false">IF(D1876="?OLD","!!!","")</f>
        <v/>
      </c>
      <c r="F1876" s="10" t="str">
        <f aca="false">IF(OR(E1876="",E1876="!!!"),"",IF(NOT(ISNA(VLOOKUP(E1876,E$1:E1875,1,FALSE()))),"OLD",IF(AND(E1876&lt;&gt;"",E1876&lt;&gt;"!!!"),"NEW","")))</f>
        <v/>
      </c>
      <c r="G1876" s="11" t="str">
        <f aca="false">IF(OR(E1876="",E1876="!!!"),"",IF(OR(J1876=0,AND(J1876=1,K1876=1),AND(J1876=1,I1876="SBJ"),AND(J1876=1,I1876=0)),"?IN_FOCUS",IF(J1876&lt;=2,"?ACTIVATED",IF(J1876&lt;&gt;"","?FAMILIAR",IF(F1876="NEW",IF(ISNA(VLOOKUP(E1876,#REF!,1,FALSE())),"?TYPE_IDENTIFIABLE","?REFERENTIAL"),"_")))))</f>
        <v/>
      </c>
      <c r="H1876" s="12" t="str">
        <f aca="false">IF(J1876&lt;&gt;1,"",IF(I1876="SBJ","CB","?"))</f>
        <v/>
      </c>
      <c r="I1876" s="13" t="str">
        <f aca="false">IF(OR(E1876="",E1876="!!!",F1876="NEW"),"",INDEX(B$2:B1875,-1+SUMPRODUCT(MAX(ROW(E$2:E1875)*(E1876=E$2:E1875)))))</f>
        <v/>
      </c>
      <c r="J1876" s="14" t="str">
        <f aca="true">IF(OR(E1876="",E1876="!!!",F1876="NEW"),"",COUNTBLANK(OFFSET(A$1,,,SUMPRODUCT(MAX(ROW(E$2:E1876)*(E1876=E$2:E1876)))))-COUNTBLANK(OFFSET(A$1,,,SUMPRODUCT(MAX(ROW(E$1:E1875)*(E1876=E$1:E1875))))))</f>
        <v/>
      </c>
      <c r="K1876" s="14" t="str">
        <f aca="false">IF(OR(E1876="",E1876="!!!",F1876="NEW"),"",INDEX(J$1:J1875,SUMPRODUCT(MAX(ROW(E$1:E1875)*(E1876=E$1:E1875)))))</f>
        <v/>
      </c>
      <c r="L1876" s="15"/>
    </row>
    <row r="1877" customFormat="false" ht="12.75" hidden="false" customHeight="false" outlineLevel="0" collapsed="false">
      <c r="A1877" s="0" t="s">
        <v>323</v>
      </c>
      <c r="E1877" s="9" t="str">
        <f aca="false">IF(D1877="?OLD","!!!","")</f>
        <v/>
      </c>
      <c r="F1877" s="10" t="str">
        <f aca="false">IF(OR(E1877="",E1877="!!!"),"",IF(NOT(ISNA(VLOOKUP(E1877,E$1:E1876,1,FALSE()))),"OLD",IF(AND(E1877&lt;&gt;"",E1877&lt;&gt;"!!!"),"NEW","")))</f>
        <v/>
      </c>
      <c r="G1877" s="11" t="str">
        <f aca="false">IF(OR(E1877="",E1877="!!!"),"",IF(OR(J1877=0,AND(J1877=1,K1877=1),AND(J1877=1,I1877="SBJ"),AND(J1877=1,I1877=0)),"?IN_FOCUS",IF(J1877&lt;=2,"?ACTIVATED",IF(J1877&lt;&gt;"","?FAMILIAR",IF(F1877="NEW",IF(ISNA(VLOOKUP(E1877,#REF!,1,FALSE())),"?TYPE_IDENTIFIABLE","?REFERENTIAL"),"_")))))</f>
        <v/>
      </c>
      <c r="H1877" s="12" t="str">
        <f aca="false">IF(J1877&lt;&gt;1,"",IF(I1877="SBJ","CB","?"))</f>
        <v/>
      </c>
      <c r="I1877" s="13" t="str">
        <f aca="false">IF(OR(E1877="",E1877="!!!",F1877="NEW"),"",INDEX(B$2:B1876,-1+SUMPRODUCT(MAX(ROW(E$2:E1876)*(E1877=E$2:E1876)))))</f>
        <v/>
      </c>
      <c r="J1877" s="14" t="str">
        <f aca="true">IF(OR(E1877="",E1877="!!!",F1877="NEW"),"",COUNTBLANK(OFFSET(A$1,,,SUMPRODUCT(MAX(ROW(E$2:E1877)*(E1877=E$2:E1877)))))-COUNTBLANK(OFFSET(A$1,,,SUMPRODUCT(MAX(ROW(E$1:E1876)*(E1877=E$1:E1876))))))</f>
        <v/>
      </c>
      <c r="K1877" s="14" t="str">
        <f aca="false">IF(OR(E1877="",E1877="!!!",F1877="NEW"),"",INDEX(J$1:J1876,SUMPRODUCT(MAX(ROW(E$1:E1876)*(E1877=E$1:E1876)))))</f>
        <v/>
      </c>
      <c r="L1877" s="15"/>
    </row>
    <row r="1878" customFormat="false" ht="12.75" hidden="false" customHeight="false" outlineLevel="0" collapsed="false">
      <c r="A1878" s="0" t="s">
        <v>97</v>
      </c>
      <c r="B1878" s="0" t="s">
        <v>37</v>
      </c>
      <c r="C1878" s="0" t="s">
        <v>38</v>
      </c>
      <c r="D1878" s="0" t="s">
        <v>29</v>
      </c>
      <c r="E1878" s="9" t="str">
        <f aca="false">IF(D1878="?OLD","!!!","")</f>
        <v>!!!</v>
      </c>
      <c r="F1878" s="10" t="str">
        <f aca="false">IF(OR(E1878="",E1878="!!!"),"",IF(NOT(ISNA(VLOOKUP(E1878,E$1:E1877,1,FALSE()))),"OLD",IF(AND(E1878&lt;&gt;"",E1878&lt;&gt;"!!!"),"NEW","")))</f>
        <v/>
      </c>
      <c r="G1878" s="11" t="str">
        <f aca="false">IF(OR(E1878="",E1878="!!!"),"",IF(OR(J1878=0,AND(J1878=1,K1878=1),AND(J1878=1,I1878="SBJ"),AND(J1878=1,I1878=0)),"?IN_FOCUS",IF(J1878&lt;=2,"?ACTIVATED",IF(J1878&lt;&gt;"","?FAMILIAR",IF(F1878="NEW",IF(ISNA(VLOOKUP(E1878,#REF!,1,FALSE())),"?TYPE_IDENTIFIABLE","?REFERENTIAL"),"_")))))</f>
        <v/>
      </c>
      <c r="H1878" s="12" t="str">
        <f aca="false">IF(J1878&lt;&gt;1,"",IF(I1878="SBJ","CB","?"))</f>
        <v/>
      </c>
      <c r="I1878" s="13" t="str">
        <f aca="false">IF(OR(E1878="",E1878="!!!",F1878="NEW"),"",INDEX(B$2:B1877,-1+SUMPRODUCT(MAX(ROW(E$2:E1877)*(E1878=E$2:E1877)))))</f>
        <v/>
      </c>
      <c r="J1878" s="14" t="str">
        <f aca="true">IF(OR(E1878="",E1878="!!!",F1878="NEW"),"",COUNTBLANK(OFFSET(A$1,,,SUMPRODUCT(MAX(ROW(E$2:E1878)*(E1878=E$2:E1878)))))-COUNTBLANK(OFFSET(A$1,,,SUMPRODUCT(MAX(ROW(E$1:E1877)*(E1878=E$1:E1877))))))</f>
        <v/>
      </c>
      <c r="K1878" s="14" t="str">
        <f aca="false">IF(OR(E1878="",E1878="!!!",F1878="NEW"),"",INDEX(J$1:J1877,SUMPRODUCT(MAX(ROW(E$1:E1877)*(E1878=E$1:E1877)))))</f>
        <v/>
      </c>
      <c r="L1878" s="15"/>
    </row>
    <row r="1879" customFormat="false" ht="12.75" hidden="false" customHeight="false" outlineLevel="0" collapsed="false">
      <c r="A1879" s="0" t="s">
        <v>136</v>
      </c>
      <c r="E1879" s="9" t="str">
        <f aca="false">IF(D1879="?OLD","!!!","")</f>
        <v/>
      </c>
      <c r="F1879" s="10" t="str">
        <f aca="false">IF(OR(E1879="",E1879="!!!"),"",IF(NOT(ISNA(VLOOKUP(E1879,E$1:E1878,1,FALSE()))),"OLD",IF(AND(E1879&lt;&gt;"",E1879&lt;&gt;"!!!"),"NEW","")))</f>
        <v/>
      </c>
      <c r="G1879" s="11" t="str">
        <f aca="false">IF(OR(E1879="",E1879="!!!"),"",IF(OR(J1879=0,AND(J1879=1,K1879=1),AND(J1879=1,I1879="SBJ"),AND(J1879=1,I1879=0)),"?IN_FOCUS",IF(J1879&lt;=2,"?ACTIVATED",IF(J1879&lt;&gt;"","?FAMILIAR",IF(F1879="NEW",IF(ISNA(VLOOKUP(E1879,#REF!,1,FALSE())),"?TYPE_IDENTIFIABLE","?REFERENTIAL"),"_")))))</f>
        <v/>
      </c>
      <c r="H1879" s="12" t="str">
        <f aca="false">IF(J1879&lt;&gt;1,"",IF(I1879="SBJ","CB","?"))</f>
        <v/>
      </c>
      <c r="I1879" s="13" t="str">
        <f aca="false">IF(OR(E1879="",E1879="!!!",F1879="NEW"),"",INDEX(B$2:B1878,-1+SUMPRODUCT(MAX(ROW(E$2:E1878)*(E1879=E$2:E1878)))))</f>
        <v/>
      </c>
      <c r="J1879" s="14" t="str">
        <f aca="true">IF(OR(E1879="",E1879="!!!",F1879="NEW"),"",COUNTBLANK(OFFSET(A$1,,,SUMPRODUCT(MAX(ROW(E$2:E1879)*(E1879=E$2:E1879)))))-COUNTBLANK(OFFSET(A$1,,,SUMPRODUCT(MAX(ROW(E$1:E1878)*(E1879=E$1:E1878))))))</f>
        <v/>
      </c>
      <c r="K1879" s="14" t="str">
        <f aca="false">IF(OR(E1879="",E1879="!!!",F1879="NEW"),"",INDEX(J$1:J1878,SUMPRODUCT(MAX(ROW(E$1:E1878)*(E1879=E$1:E1878)))))</f>
        <v/>
      </c>
      <c r="L1879" s="15"/>
    </row>
    <row r="1880" customFormat="false" ht="12.75" hidden="false" customHeight="false" outlineLevel="0" collapsed="false">
      <c r="A1880" s="0" t="s">
        <v>89</v>
      </c>
      <c r="B1880" s="0" t="s">
        <v>62</v>
      </c>
      <c r="C1880" s="0" t="s">
        <v>120</v>
      </c>
      <c r="E1880" s="9" t="str">
        <f aca="false">IF(D1880="?OLD","!!!","")</f>
        <v/>
      </c>
      <c r="F1880" s="10" t="str">
        <f aca="false">IF(OR(E1880="",E1880="!!!"),"",IF(NOT(ISNA(VLOOKUP(E1880,E$1:E1879,1,FALSE()))),"OLD",IF(AND(E1880&lt;&gt;"",E1880&lt;&gt;"!!!"),"NEW","")))</f>
        <v/>
      </c>
      <c r="G1880" s="11" t="str">
        <f aca="false">IF(OR(E1880="",E1880="!!!"),"",IF(OR(J1880=0,AND(J1880=1,K1880=1),AND(J1880=1,I1880="SBJ"),AND(J1880=1,I1880=0)),"?IN_FOCUS",IF(J1880&lt;=2,"?ACTIVATED",IF(J1880&lt;&gt;"","?FAMILIAR",IF(F1880="NEW",IF(ISNA(VLOOKUP(E1880,#REF!,1,FALSE())),"?TYPE_IDENTIFIABLE","?REFERENTIAL"),"_")))))</f>
        <v/>
      </c>
      <c r="H1880" s="12" t="str">
        <f aca="false">IF(J1880&lt;&gt;1,"",IF(I1880="SBJ","CB","?"))</f>
        <v/>
      </c>
      <c r="I1880" s="13" t="str">
        <f aca="false">IF(OR(E1880="",E1880="!!!",F1880="NEW"),"",INDEX(B$2:B1879,-1+SUMPRODUCT(MAX(ROW(E$2:E1879)*(E1880=E$2:E1879)))))</f>
        <v/>
      </c>
      <c r="J1880" s="14" t="str">
        <f aca="true">IF(OR(E1880="",E1880="!!!",F1880="NEW"),"",COUNTBLANK(OFFSET(A$1,,,SUMPRODUCT(MAX(ROW(E$2:E1880)*(E1880=E$2:E1880)))))-COUNTBLANK(OFFSET(A$1,,,SUMPRODUCT(MAX(ROW(E$1:E1879)*(E1880=E$1:E1879))))))</f>
        <v/>
      </c>
      <c r="K1880" s="14" t="str">
        <f aca="false">IF(OR(E1880="",E1880="!!!",F1880="NEW"),"",INDEX(J$1:J1879,SUMPRODUCT(MAX(ROW(E$1:E1879)*(E1880=E$1:E1879)))))</f>
        <v/>
      </c>
      <c r="L1880" s="15"/>
    </row>
    <row r="1881" customFormat="false" ht="12.75" hidden="false" customHeight="false" outlineLevel="0" collapsed="false">
      <c r="A1881" s="0" t="s">
        <v>117</v>
      </c>
      <c r="E1881" s="9" t="str">
        <f aca="false">IF(D1881="?OLD","!!!","")</f>
        <v/>
      </c>
      <c r="F1881" s="10" t="str">
        <f aca="false">IF(OR(E1881="",E1881="!!!"),"",IF(NOT(ISNA(VLOOKUP(E1881,E$1:E1880,1,FALSE()))),"OLD",IF(AND(E1881&lt;&gt;"",E1881&lt;&gt;"!!!"),"NEW","")))</f>
        <v/>
      </c>
      <c r="G1881" s="11" t="str">
        <f aca="false">IF(OR(E1881="",E1881="!!!"),"",IF(OR(J1881=0,AND(J1881=1,K1881=1),AND(J1881=1,I1881="SBJ"),AND(J1881=1,I1881=0)),"?IN_FOCUS",IF(J1881&lt;=2,"?ACTIVATED",IF(J1881&lt;&gt;"","?FAMILIAR",IF(F1881="NEW",IF(ISNA(VLOOKUP(E1881,#REF!,1,FALSE())),"?TYPE_IDENTIFIABLE","?REFERENTIAL"),"_")))))</f>
        <v/>
      </c>
      <c r="H1881" s="12" t="str">
        <f aca="false">IF(J1881&lt;&gt;1,"",IF(I1881="SBJ","CB","?"))</f>
        <v/>
      </c>
      <c r="I1881" s="13" t="str">
        <f aca="false">IF(OR(E1881="",E1881="!!!",F1881="NEW"),"",INDEX(B$2:B1880,-1+SUMPRODUCT(MAX(ROW(E$2:E1880)*(E1881=E$2:E1880)))))</f>
        <v/>
      </c>
      <c r="J1881" s="14" t="str">
        <f aca="true">IF(OR(E1881="",E1881="!!!",F1881="NEW"),"",COUNTBLANK(OFFSET(A$1,,,SUMPRODUCT(MAX(ROW(E$2:E1881)*(E1881=E$2:E1881)))))-COUNTBLANK(OFFSET(A$1,,,SUMPRODUCT(MAX(ROW(E$1:E1880)*(E1881=E$1:E1880))))))</f>
        <v/>
      </c>
      <c r="K1881" s="14" t="str">
        <f aca="false">IF(OR(E1881="",E1881="!!!",F1881="NEW"),"",INDEX(J$1:J1880,SUMPRODUCT(MAX(ROW(E$1:E1880)*(E1881=E$1:E1880)))))</f>
        <v/>
      </c>
      <c r="L1881" s="15"/>
    </row>
    <row r="1882" customFormat="false" ht="12.75" hidden="false" customHeight="false" outlineLevel="0" collapsed="false">
      <c r="A1882" s="0" t="s">
        <v>46</v>
      </c>
      <c r="B1882" s="0" t="s">
        <v>42</v>
      </c>
      <c r="C1882" s="0" t="s">
        <v>38</v>
      </c>
      <c r="D1882" s="0" t="s">
        <v>29</v>
      </c>
      <c r="E1882" s="9" t="str">
        <f aca="false">IF(D1882="?OLD","!!!","")</f>
        <v>!!!</v>
      </c>
      <c r="F1882" s="10" t="str">
        <f aca="false">IF(OR(E1882="",E1882="!!!"),"",IF(NOT(ISNA(VLOOKUP(E1882,E$1:E1881,1,FALSE()))),"OLD",IF(AND(E1882&lt;&gt;"",E1882&lt;&gt;"!!!"),"NEW","")))</f>
        <v/>
      </c>
      <c r="G1882" s="11" t="str">
        <f aca="false">IF(OR(E1882="",E1882="!!!"),"",IF(OR(J1882=0,AND(J1882=1,K1882=1),AND(J1882=1,I1882="SBJ"),AND(J1882=1,I1882=0)),"?IN_FOCUS",IF(J1882&lt;=2,"?ACTIVATED",IF(J1882&lt;&gt;"","?FAMILIAR",IF(F1882="NEW",IF(ISNA(VLOOKUP(E1882,#REF!,1,FALSE())),"?TYPE_IDENTIFIABLE","?REFERENTIAL"),"_")))))</f>
        <v/>
      </c>
      <c r="H1882" s="12" t="str">
        <f aca="false">IF(J1882&lt;&gt;1,"",IF(I1882="SBJ","CB","?"))</f>
        <v/>
      </c>
      <c r="I1882" s="13" t="str">
        <f aca="false">IF(OR(E1882="",E1882="!!!",F1882="NEW"),"",INDEX(B$2:B1881,-1+SUMPRODUCT(MAX(ROW(E$2:E1881)*(E1882=E$2:E1881)))))</f>
        <v/>
      </c>
      <c r="J1882" s="14" t="str">
        <f aca="true">IF(OR(E1882="",E1882="!!!",F1882="NEW"),"",COUNTBLANK(OFFSET(A$1,,,SUMPRODUCT(MAX(ROW(E$2:E1882)*(E1882=E$2:E1882)))))-COUNTBLANK(OFFSET(A$1,,,SUMPRODUCT(MAX(ROW(E$1:E1881)*(E1882=E$1:E1881))))))</f>
        <v/>
      </c>
      <c r="K1882" s="14" t="str">
        <f aca="false">IF(OR(E1882="",E1882="!!!",F1882="NEW"),"",INDEX(J$1:J1881,SUMPRODUCT(MAX(ROW(E$1:E1881)*(E1882=E$1:E1881)))))</f>
        <v/>
      </c>
      <c r="L1882" s="15"/>
    </row>
    <row r="1883" customFormat="false" ht="12.75" hidden="false" customHeight="false" outlineLevel="0" collapsed="false">
      <c r="A1883" s="0" t="s">
        <v>767</v>
      </c>
      <c r="E1883" s="9" t="str">
        <f aca="false">IF(D1883="?OLD","!!!","")</f>
        <v/>
      </c>
      <c r="F1883" s="10" t="str">
        <f aca="false">IF(OR(E1883="",E1883="!!!"),"",IF(NOT(ISNA(VLOOKUP(E1883,E$1:E1882,1,FALSE()))),"OLD",IF(AND(E1883&lt;&gt;"",E1883&lt;&gt;"!!!"),"NEW","")))</f>
        <v/>
      </c>
      <c r="G1883" s="11" t="str">
        <f aca="false">IF(OR(E1883="",E1883="!!!"),"",IF(OR(J1883=0,AND(J1883=1,K1883=1),AND(J1883=1,I1883="SBJ"),AND(J1883=1,I1883=0)),"?IN_FOCUS",IF(J1883&lt;=2,"?ACTIVATED",IF(J1883&lt;&gt;"","?FAMILIAR",IF(F1883="NEW",IF(ISNA(VLOOKUP(E1883,#REF!,1,FALSE())),"?TYPE_IDENTIFIABLE","?REFERENTIAL"),"_")))))</f>
        <v/>
      </c>
      <c r="H1883" s="12" t="str">
        <f aca="false">IF(J1883&lt;&gt;1,"",IF(I1883="SBJ","CB","?"))</f>
        <v/>
      </c>
      <c r="I1883" s="13" t="str">
        <f aca="false">IF(OR(E1883="",E1883="!!!",F1883="NEW"),"",INDEX(B$2:B1882,-1+SUMPRODUCT(MAX(ROW(E$2:E1882)*(E1883=E$2:E1882)))))</f>
        <v/>
      </c>
      <c r="J1883" s="14" t="str">
        <f aca="true">IF(OR(E1883="",E1883="!!!",F1883="NEW"),"",COUNTBLANK(OFFSET(A$1,,,SUMPRODUCT(MAX(ROW(E$2:E1883)*(E1883=E$2:E1883)))))-COUNTBLANK(OFFSET(A$1,,,SUMPRODUCT(MAX(ROW(E$1:E1882)*(E1883=E$1:E1882))))))</f>
        <v/>
      </c>
      <c r="K1883" s="14" t="str">
        <f aca="false">IF(OR(E1883="",E1883="!!!",F1883="NEW"),"",INDEX(J$1:J1882,SUMPRODUCT(MAX(ROW(E$1:E1882)*(E1883=E$1:E1882)))))</f>
        <v/>
      </c>
      <c r="L1883" s="15"/>
    </row>
    <row r="1884" customFormat="false" ht="12.75" hidden="false" customHeight="false" outlineLevel="0" collapsed="false">
      <c r="A1884" s="0" t="s">
        <v>385</v>
      </c>
      <c r="E1884" s="9" t="str">
        <f aca="false">IF(D1884="?OLD","!!!","")</f>
        <v/>
      </c>
      <c r="F1884" s="10" t="str">
        <f aca="false">IF(OR(E1884="",E1884="!!!"),"",IF(NOT(ISNA(VLOOKUP(E1884,E$1:E1883,1,FALSE()))),"OLD",IF(AND(E1884&lt;&gt;"",E1884&lt;&gt;"!!!"),"NEW","")))</f>
        <v/>
      </c>
      <c r="G1884" s="11" t="str">
        <f aca="false">IF(OR(E1884="",E1884="!!!"),"",IF(OR(J1884=0,AND(J1884=1,K1884=1),AND(J1884=1,I1884="SBJ"),AND(J1884=1,I1884=0)),"?IN_FOCUS",IF(J1884&lt;=2,"?ACTIVATED",IF(J1884&lt;&gt;"","?FAMILIAR",IF(F1884="NEW",IF(ISNA(VLOOKUP(E1884,#REF!,1,FALSE())),"?TYPE_IDENTIFIABLE","?REFERENTIAL"),"_")))))</f>
        <v/>
      </c>
      <c r="H1884" s="12" t="str">
        <f aca="false">IF(J1884&lt;&gt;1,"",IF(I1884="SBJ","CB","?"))</f>
        <v/>
      </c>
      <c r="I1884" s="13" t="str">
        <f aca="false">IF(OR(E1884="",E1884="!!!",F1884="NEW"),"",INDEX(B$2:B1883,-1+SUMPRODUCT(MAX(ROW(E$2:E1883)*(E1884=E$2:E1883)))))</f>
        <v/>
      </c>
      <c r="J1884" s="14" t="str">
        <f aca="true">IF(OR(E1884="",E1884="!!!",F1884="NEW"),"",COUNTBLANK(OFFSET(A$1,,,SUMPRODUCT(MAX(ROW(E$2:E1884)*(E1884=E$2:E1884)))))-COUNTBLANK(OFFSET(A$1,,,SUMPRODUCT(MAX(ROW(E$1:E1883)*(E1884=E$1:E1883))))))</f>
        <v/>
      </c>
      <c r="K1884" s="14" t="str">
        <f aca="false">IF(OR(E1884="",E1884="!!!",F1884="NEW"),"",INDEX(J$1:J1883,SUMPRODUCT(MAX(ROW(E$1:E1883)*(E1884=E$1:E1883)))))</f>
        <v/>
      </c>
      <c r="L1884" s="15"/>
    </row>
    <row r="1885" customFormat="false" ht="12.75" hidden="false" customHeight="false" outlineLevel="0" collapsed="false">
      <c r="A1885" s="0" t="s">
        <v>66</v>
      </c>
      <c r="E1885" s="9" t="str">
        <f aca="false">IF(D1885="?OLD","!!!","")</f>
        <v/>
      </c>
      <c r="F1885" s="10" t="str">
        <f aca="false">IF(OR(E1885="",E1885="!!!"),"",IF(NOT(ISNA(VLOOKUP(E1885,E$1:E1884,1,FALSE()))),"OLD",IF(AND(E1885&lt;&gt;"",E1885&lt;&gt;"!!!"),"NEW","")))</f>
        <v/>
      </c>
      <c r="G1885" s="11" t="str">
        <f aca="false">IF(OR(E1885="",E1885="!!!"),"",IF(OR(J1885=0,AND(J1885=1,K1885=1),AND(J1885=1,I1885="SBJ"),AND(J1885=1,I1885=0)),"?IN_FOCUS",IF(J1885&lt;=2,"?ACTIVATED",IF(J1885&lt;&gt;"","?FAMILIAR",IF(F1885="NEW",IF(ISNA(VLOOKUP(E1885,#REF!,1,FALSE())),"?TYPE_IDENTIFIABLE","?REFERENTIAL"),"_")))))</f>
        <v/>
      </c>
      <c r="H1885" s="12" t="str">
        <f aca="false">IF(J1885&lt;&gt;1,"",IF(I1885="SBJ","CB","?"))</f>
        <v/>
      </c>
      <c r="I1885" s="13" t="str">
        <f aca="false">IF(OR(E1885="",E1885="!!!",F1885="NEW"),"",INDEX(B$2:B1884,-1+SUMPRODUCT(MAX(ROW(E$2:E1884)*(E1885=E$2:E1884)))))</f>
        <v/>
      </c>
      <c r="J1885" s="14" t="str">
        <f aca="true">IF(OR(E1885="",E1885="!!!",F1885="NEW"),"",COUNTBLANK(OFFSET(A$1,,,SUMPRODUCT(MAX(ROW(E$2:E1885)*(E1885=E$2:E1885)))))-COUNTBLANK(OFFSET(A$1,,,SUMPRODUCT(MAX(ROW(E$1:E1884)*(E1885=E$1:E1884))))))</f>
        <v/>
      </c>
      <c r="K1885" s="14" t="str">
        <f aca="false">IF(OR(E1885="",E1885="!!!",F1885="NEW"),"",INDEX(J$1:J1884,SUMPRODUCT(MAX(ROW(E$1:E1884)*(E1885=E$1:E1884)))))</f>
        <v/>
      </c>
      <c r="L1885" s="15"/>
    </row>
    <row r="1886" customFormat="false" ht="12.75" hidden="false" customHeight="false" outlineLevel="0" collapsed="false">
      <c r="A1886" s="0" t="s">
        <v>614</v>
      </c>
      <c r="E1886" s="9" t="str">
        <f aca="false">IF(D1886="?OLD","!!!","")</f>
        <v/>
      </c>
      <c r="F1886" s="10" t="str">
        <f aca="false">IF(OR(E1886="",E1886="!!!"),"",IF(NOT(ISNA(VLOOKUP(E1886,E$1:E1885,1,FALSE()))),"OLD",IF(AND(E1886&lt;&gt;"",E1886&lt;&gt;"!!!"),"NEW","")))</f>
        <v/>
      </c>
      <c r="G1886" s="11" t="str">
        <f aca="false">IF(OR(E1886="",E1886="!!!"),"",IF(OR(J1886=0,AND(J1886=1,K1886=1),AND(J1886=1,I1886="SBJ"),AND(J1886=1,I1886=0)),"?IN_FOCUS",IF(J1886&lt;=2,"?ACTIVATED",IF(J1886&lt;&gt;"","?FAMILIAR",IF(F1886="NEW",IF(ISNA(VLOOKUP(E1886,#REF!,1,FALSE())),"?TYPE_IDENTIFIABLE","?REFERENTIAL"),"_")))))</f>
        <v/>
      </c>
      <c r="H1886" s="12" t="str">
        <f aca="false">IF(J1886&lt;&gt;1,"",IF(I1886="SBJ","CB","?"))</f>
        <v/>
      </c>
      <c r="I1886" s="13" t="str">
        <f aca="false">IF(OR(E1886="",E1886="!!!",F1886="NEW"),"",INDEX(B$2:B1885,-1+SUMPRODUCT(MAX(ROW(E$2:E1885)*(E1886=E$2:E1885)))))</f>
        <v/>
      </c>
      <c r="J1886" s="14" t="str">
        <f aca="true">IF(OR(E1886="",E1886="!!!",F1886="NEW"),"",COUNTBLANK(OFFSET(A$1,,,SUMPRODUCT(MAX(ROW(E$2:E1886)*(E1886=E$2:E1886)))))-COUNTBLANK(OFFSET(A$1,,,SUMPRODUCT(MAX(ROW(E$1:E1885)*(E1886=E$1:E1885))))))</f>
        <v/>
      </c>
      <c r="K1886" s="14" t="str">
        <f aca="false">IF(OR(E1886="",E1886="!!!",F1886="NEW"),"",INDEX(J$1:J1885,SUMPRODUCT(MAX(ROW(E$1:E1885)*(E1886=E$1:E1885)))))</f>
        <v/>
      </c>
      <c r="L1886" s="15"/>
    </row>
    <row r="1887" customFormat="false" ht="12.75" hidden="false" customHeight="false" outlineLevel="0" collapsed="false">
      <c r="A1887" s="0" t="s">
        <v>31</v>
      </c>
      <c r="E1887" s="9" t="str">
        <f aca="false">IF(D1887="?OLD","!!!","")</f>
        <v/>
      </c>
      <c r="F1887" s="10" t="str">
        <f aca="false">IF(OR(E1887="",E1887="!!!"),"",IF(NOT(ISNA(VLOOKUP(E1887,E$1:E1886,1,FALSE()))),"OLD",IF(AND(E1887&lt;&gt;"",E1887&lt;&gt;"!!!"),"NEW","")))</f>
        <v/>
      </c>
      <c r="G1887" s="11" t="str">
        <f aca="false">IF(OR(E1887="",E1887="!!!"),"",IF(OR(J1887=0,AND(J1887=1,K1887=1),AND(J1887=1,I1887="SBJ"),AND(J1887=1,I1887=0)),"?IN_FOCUS",IF(J1887&lt;=2,"?ACTIVATED",IF(J1887&lt;&gt;"","?FAMILIAR",IF(F1887="NEW",IF(ISNA(VLOOKUP(E1887,#REF!,1,FALSE())),"?TYPE_IDENTIFIABLE","?REFERENTIAL"),"_")))))</f>
        <v/>
      </c>
      <c r="H1887" s="12" t="str">
        <f aca="false">IF(J1887&lt;&gt;1,"",IF(I1887="SBJ","CB","?"))</f>
        <v/>
      </c>
      <c r="I1887" s="13" t="str">
        <f aca="false">IF(OR(E1887="",E1887="!!!",F1887="NEW"),"",INDEX(B$2:B1886,-1+SUMPRODUCT(MAX(ROW(E$2:E1886)*(E1887=E$2:E1886)))))</f>
        <v/>
      </c>
      <c r="J1887" s="14" t="str">
        <f aca="true">IF(OR(E1887="",E1887="!!!",F1887="NEW"),"",COUNTBLANK(OFFSET(A$1,,,SUMPRODUCT(MAX(ROW(E$2:E1887)*(E1887=E$2:E1887)))))-COUNTBLANK(OFFSET(A$1,,,SUMPRODUCT(MAX(ROW(E$1:E1886)*(E1887=E$1:E1886))))))</f>
        <v/>
      </c>
      <c r="K1887" s="14" t="str">
        <f aca="false">IF(OR(E1887="",E1887="!!!",F1887="NEW"),"",INDEX(J$1:J1886,SUMPRODUCT(MAX(ROW(E$1:E1886)*(E1887=E$1:E1886)))))</f>
        <v/>
      </c>
      <c r="L1887" s="15"/>
    </row>
    <row r="1888" customFormat="false" ht="12.75" hidden="false" customHeight="false" outlineLevel="0" collapsed="false">
      <c r="A1888" s="0" t="s">
        <v>768</v>
      </c>
      <c r="E1888" s="9" t="str">
        <f aca="false">IF(D1888="?OLD","!!!","")</f>
        <v/>
      </c>
      <c r="F1888" s="10" t="str">
        <f aca="false">IF(OR(E1888="",E1888="!!!"),"",IF(NOT(ISNA(VLOOKUP(E1888,E$1:E1887,1,FALSE()))),"OLD",IF(AND(E1888&lt;&gt;"",E1888&lt;&gt;"!!!"),"NEW","")))</f>
        <v/>
      </c>
      <c r="G1888" s="11" t="str">
        <f aca="false">IF(OR(E1888="",E1888="!!!"),"",IF(OR(J1888=0,AND(J1888=1,K1888=1),AND(J1888=1,I1888="SBJ"),AND(J1888=1,I1888=0)),"?IN_FOCUS",IF(J1888&lt;=2,"?ACTIVATED",IF(J1888&lt;&gt;"","?FAMILIAR",IF(F1888="NEW",IF(ISNA(VLOOKUP(E1888,#REF!,1,FALSE())),"?TYPE_IDENTIFIABLE","?REFERENTIAL"),"_")))))</f>
        <v/>
      </c>
      <c r="H1888" s="12" t="str">
        <f aca="false">IF(J1888&lt;&gt;1,"",IF(I1888="SBJ","CB","?"))</f>
        <v/>
      </c>
      <c r="I1888" s="13" t="str">
        <f aca="false">IF(OR(E1888="",E1888="!!!",F1888="NEW"),"",INDEX(B$2:B1887,-1+SUMPRODUCT(MAX(ROW(E$2:E1887)*(E1888=E$2:E1887)))))</f>
        <v/>
      </c>
      <c r="J1888" s="14" t="str">
        <f aca="true">IF(OR(E1888="",E1888="!!!",F1888="NEW"),"",COUNTBLANK(OFFSET(A$1,,,SUMPRODUCT(MAX(ROW(E$2:E1888)*(E1888=E$2:E1888)))))-COUNTBLANK(OFFSET(A$1,,,SUMPRODUCT(MAX(ROW(E$1:E1887)*(E1888=E$1:E1887))))))</f>
        <v/>
      </c>
      <c r="K1888" s="14" t="str">
        <f aca="false">IF(OR(E1888="",E1888="!!!",F1888="NEW"),"",INDEX(J$1:J1887,SUMPRODUCT(MAX(ROW(E$1:E1887)*(E1888=E$1:E1887)))))</f>
        <v/>
      </c>
      <c r="L1888" s="15"/>
    </row>
    <row r="1889" customFormat="false" ht="12.75" hidden="false" customHeight="false" outlineLevel="0" collapsed="false">
      <c r="A1889" s="0" t="s">
        <v>613</v>
      </c>
      <c r="B1889" s="0" t="s">
        <v>28</v>
      </c>
      <c r="C1889" s="0" t="s">
        <v>111</v>
      </c>
      <c r="D1889" s="0" t="s">
        <v>29</v>
      </c>
      <c r="E1889" s="9" t="str">
        <f aca="false">IF(D1889="?OLD","!!!","")</f>
        <v>!!!</v>
      </c>
      <c r="F1889" s="10" t="str">
        <f aca="false">IF(OR(E1889="",E1889="!!!"),"",IF(NOT(ISNA(VLOOKUP(E1889,E$1:E1888,1,FALSE()))),"OLD",IF(AND(E1889&lt;&gt;"",E1889&lt;&gt;"!!!"),"NEW","")))</f>
        <v/>
      </c>
      <c r="G1889" s="11" t="str">
        <f aca="false">IF(OR(E1889="",E1889="!!!"),"",IF(OR(J1889=0,AND(J1889=1,K1889=1),AND(J1889=1,I1889="SBJ"),AND(J1889=1,I1889=0)),"?IN_FOCUS",IF(J1889&lt;=2,"?ACTIVATED",IF(J1889&lt;&gt;"","?FAMILIAR",IF(F1889="NEW",IF(ISNA(VLOOKUP(E1889,#REF!,1,FALSE())),"?TYPE_IDENTIFIABLE","?REFERENTIAL"),"_")))))</f>
        <v/>
      </c>
      <c r="H1889" s="12" t="str">
        <f aca="false">IF(J1889&lt;&gt;1,"",IF(I1889="SBJ","CB","?"))</f>
        <v/>
      </c>
      <c r="I1889" s="13" t="str">
        <f aca="false">IF(OR(E1889="",E1889="!!!",F1889="NEW"),"",INDEX(B$2:B1888,-1+SUMPRODUCT(MAX(ROW(E$2:E1888)*(E1889=E$2:E1888)))))</f>
        <v/>
      </c>
      <c r="J1889" s="14" t="str">
        <f aca="true">IF(OR(E1889="",E1889="!!!",F1889="NEW"),"",COUNTBLANK(OFFSET(A$1,,,SUMPRODUCT(MAX(ROW(E$2:E1889)*(E1889=E$2:E1889)))))-COUNTBLANK(OFFSET(A$1,,,SUMPRODUCT(MAX(ROW(E$1:E1888)*(E1889=E$1:E1888))))))</f>
        <v/>
      </c>
      <c r="K1889" s="14" t="str">
        <f aca="false">IF(OR(E1889="",E1889="!!!",F1889="NEW"),"",INDEX(J$1:J1888,SUMPRODUCT(MAX(ROW(E$1:E1888)*(E1889=E$1:E1888)))))</f>
        <v/>
      </c>
      <c r="L1889" s="15"/>
    </row>
    <row r="1890" customFormat="false" ht="12.75" hidden="false" customHeight="false" outlineLevel="0" collapsed="false">
      <c r="A1890" s="0" t="s">
        <v>73</v>
      </c>
      <c r="E1890" s="9" t="str">
        <f aca="false">IF(D1890="?OLD","!!!","")</f>
        <v/>
      </c>
      <c r="F1890" s="10" t="str">
        <f aca="false">IF(OR(E1890="",E1890="!!!"),"",IF(NOT(ISNA(VLOOKUP(E1890,E$1:E1889,1,FALSE()))),"OLD",IF(AND(E1890&lt;&gt;"",E1890&lt;&gt;"!!!"),"NEW","")))</f>
        <v/>
      </c>
      <c r="G1890" s="11" t="str">
        <f aca="false">IF(OR(E1890="",E1890="!!!"),"",IF(OR(J1890=0,AND(J1890=1,K1890=1),AND(J1890=1,I1890="SBJ"),AND(J1890=1,I1890=0)),"?IN_FOCUS",IF(J1890&lt;=2,"?ACTIVATED",IF(J1890&lt;&gt;"","?FAMILIAR",IF(F1890="NEW",IF(ISNA(VLOOKUP(E1890,#REF!,1,FALSE())),"?TYPE_IDENTIFIABLE","?REFERENTIAL"),"_")))))</f>
        <v/>
      </c>
      <c r="H1890" s="12" t="str">
        <f aca="false">IF(J1890&lt;&gt;1,"",IF(I1890="SBJ","CB","?"))</f>
        <v/>
      </c>
      <c r="I1890" s="13" t="str">
        <f aca="false">IF(OR(E1890="",E1890="!!!",F1890="NEW"),"",INDEX(B$2:B1889,-1+SUMPRODUCT(MAX(ROW(E$2:E1889)*(E1890=E$2:E1889)))))</f>
        <v/>
      </c>
      <c r="J1890" s="14" t="str">
        <f aca="true">IF(OR(E1890="",E1890="!!!",F1890="NEW"),"",COUNTBLANK(OFFSET(A$1,,,SUMPRODUCT(MAX(ROW(E$2:E1890)*(E1890=E$2:E1890)))))-COUNTBLANK(OFFSET(A$1,,,SUMPRODUCT(MAX(ROW(E$1:E1889)*(E1890=E$1:E1889))))))</f>
        <v/>
      </c>
      <c r="K1890" s="14" t="str">
        <f aca="false">IF(OR(E1890="",E1890="!!!",F1890="NEW"),"",INDEX(J$1:J1889,SUMPRODUCT(MAX(ROW(E$1:E1889)*(E1890=E$1:E1889)))))</f>
        <v/>
      </c>
      <c r="L1890" s="15"/>
    </row>
    <row r="1891" customFormat="false" ht="12.75" hidden="false" customHeight="false" outlineLevel="0" collapsed="false">
      <c r="E1891" s="9" t="str">
        <f aca="false">IF(D1891="?OLD","!!!","")</f>
        <v/>
      </c>
      <c r="F1891" s="10" t="str">
        <f aca="false">IF(OR(E1891="",E1891="!!!"),"",IF(NOT(ISNA(VLOOKUP(E1891,E$1:E1890,1,FALSE()))),"OLD",IF(AND(E1891&lt;&gt;"",E1891&lt;&gt;"!!!"),"NEW","")))</f>
        <v/>
      </c>
      <c r="G1891" s="11" t="str">
        <f aca="false">IF(OR(E1891="",E1891="!!!"),"",IF(OR(J1891=0,AND(J1891=1,K1891=1),AND(J1891=1,I1891="SBJ"),AND(J1891=1,I1891=0)),"?IN_FOCUS",IF(J1891&lt;=2,"?ACTIVATED",IF(J1891&lt;&gt;"","?FAMILIAR",IF(F1891="NEW",IF(ISNA(VLOOKUP(E1891,#REF!,1,FALSE())),"?TYPE_IDENTIFIABLE","?REFERENTIAL"),"_")))))</f>
        <v/>
      </c>
      <c r="H1891" s="12" t="str">
        <f aca="false">IF(J1891&lt;&gt;1,"",IF(I1891="SBJ","CB","?"))</f>
        <v/>
      </c>
      <c r="I1891" s="13" t="str">
        <f aca="false">IF(OR(E1891="",E1891="!!!",F1891="NEW"),"",INDEX(B$2:B1890,-1+SUMPRODUCT(MAX(ROW(E$2:E1890)*(E1891=E$2:E1890)))))</f>
        <v/>
      </c>
      <c r="J1891" s="14" t="str">
        <f aca="true">IF(OR(E1891="",E1891="!!!",F1891="NEW"),"",COUNTBLANK(OFFSET(A$1,,,SUMPRODUCT(MAX(ROW(E$2:E1891)*(E1891=E$2:E1891)))))-COUNTBLANK(OFFSET(A$1,,,SUMPRODUCT(MAX(ROW(E$1:E1890)*(E1891=E$1:E1890))))))</f>
        <v/>
      </c>
      <c r="K1891" s="14" t="str">
        <f aca="false">IF(OR(E1891="",E1891="!!!",F1891="NEW"),"",INDEX(J$1:J1890,SUMPRODUCT(MAX(ROW(E$1:E1890)*(E1891=E$1:E1890)))))</f>
        <v/>
      </c>
      <c r="L1891" s="15"/>
    </row>
    <row r="1892" customFormat="false" ht="12.75" hidden="false" customHeight="false" outlineLevel="0" collapsed="false">
      <c r="A1892" s="0" t="s">
        <v>769</v>
      </c>
      <c r="E1892" s="9" t="str">
        <f aca="false">IF(D1892="?OLD","!!!","")</f>
        <v/>
      </c>
      <c r="F1892" s="10" t="str">
        <f aca="false">IF(OR(E1892="",E1892="!!!"),"",IF(NOT(ISNA(VLOOKUP(E1892,E$1:E1891,1,FALSE()))),"OLD",IF(AND(E1892&lt;&gt;"",E1892&lt;&gt;"!!!"),"NEW","")))</f>
        <v/>
      </c>
      <c r="G1892" s="11" t="str">
        <f aca="false">IF(OR(E1892="",E1892="!!!"),"",IF(OR(J1892=0,AND(J1892=1,K1892=1),AND(J1892=1,I1892="SBJ"),AND(J1892=1,I1892=0)),"?IN_FOCUS",IF(J1892&lt;=2,"?ACTIVATED",IF(J1892&lt;&gt;"","?FAMILIAR",IF(F1892="NEW",IF(ISNA(VLOOKUP(E1892,#REF!,1,FALSE())),"?TYPE_IDENTIFIABLE","?REFERENTIAL"),"_")))))</f>
        <v/>
      </c>
      <c r="H1892" s="12" t="str">
        <f aca="false">IF(J1892&lt;&gt;1,"",IF(I1892="SBJ","CB","?"))</f>
        <v/>
      </c>
      <c r="I1892" s="13" t="str">
        <f aca="false">IF(OR(E1892="",E1892="!!!",F1892="NEW"),"",INDEX(B$2:B1891,-1+SUMPRODUCT(MAX(ROW(E$2:E1891)*(E1892=E$2:E1891)))))</f>
        <v/>
      </c>
      <c r="J1892" s="14" t="str">
        <f aca="true">IF(OR(E1892="",E1892="!!!",F1892="NEW"),"",COUNTBLANK(OFFSET(A$1,,,SUMPRODUCT(MAX(ROW(E$2:E1892)*(E1892=E$2:E1892)))))-COUNTBLANK(OFFSET(A$1,,,SUMPRODUCT(MAX(ROW(E$1:E1891)*(E1892=E$1:E1891))))))</f>
        <v/>
      </c>
      <c r="K1892" s="14" t="str">
        <f aca="false">IF(OR(E1892="",E1892="!!!",F1892="NEW"),"",INDEX(J$1:J1891,SUMPRODUCT(MAX(ROW(E$1:E1891)*(E1892=E$1:E1891)))))</f>
        <v/>
      </c>
      <c r="L1892" s="15"/>
    </row>
    <row r="1893" customFormat="false" ht="12.75" hidden="false" customHeight="false" outlineLevel="0" collapsed="false">
      <c r="A1893" s="0" t="s">
        <v>770</v>
      </c>
      <c r="E1893" s="9" t="str">
        <f aca="false">IF(D1893="?OLD","!!!","")</f>
        <v/>
      </c>
      <c r="F1893" s="10" t="str">
        <f aca="false">IF(OR(E1893="",E1893="!!!"),"",IF(NOT(ISNA(VLOOKUP(E1893,E$1:E1892,1,FALSE()))),"OLD",IF(AND(E1893&lt;&gt;"",E1893&lt;&gt;"!!!"),"NEW","")))</f>
        <v/>
      </c>
      <c r="G1893" s="11" t="str">
        <f aca="false">IF(OR(E1893="",E1893="!!!"),"",IF(OR(J1893=0,AND(J1893=1,K1893=1),AND(J1893=1,I1893="SBJ"),AND(J1893=1,I1893=0)),"?IN_FOCUS",IF(J1893&lt;=2,"?ACTIVATED",IF(J1893&lt;&gt;"","?FAMILIAR",IF(F1893="NEW",IF(ISNA(VLOOKUP(E1893,#REF!,1,FALSE())),"?TYPE_IDENTIFIABLE","?REFERENTIAL"),"_")))))</f>
        <v/>
      </c>
      <c r="H1893" s="12" t="str">
        <f aca="false">IF(J1893&lt;&gt;1,"",IF(I1893="SBJ","CB","?"))</f>
        <v/>
      </c>
      <c r="I1893" s="13" t="str">
        <f aca="false">IF(OR(E1893="",E1893="!!!",F1893="NEW"),"",INDEX(B$2:B1892,-1+SUMPRODUCT(MAX(ROW(E$2:E1892)*(E1893=E$2:E1892)))))</f>
        <v/>
      </c>
      <c r="J1893" s="14" t="str">
        <f aca="true">IF(OR(E1893="",E1893="!!!",F1893="NEW"),"",COUNTBLANK(OFFSET(A$1,,,SUMPRODUCT(MAX(ROW(E$2:E1893)*(E1893=E$2:E1893)))))-COUNTBLANK(OFFSET(A$1,,,SUMPRODUCT(MAX(ROW(E$1:E1892)*(E1893=E$1:E1892))))))</f>
        <v/>
      </c>
      <c r="K1893" s="14" t="str">
        <f aca="false">IF(OR(E1893="",E1893="!!!",F1893="NEW"),"",INDEX(J$1:J1892,SUMPRODUCT(MAX(ROW(E$1:E1892)*(E1893=E$1:E1892)))))</f>
        <v/>
      </c>
      <c r="L1893" s="15"/>
    </row>
    <row r="1894" customFormat="false" ht="12.75" hidden="false" customHeight="false" outlineLevel="0" collapsed="false">
      <c r="A1894" s="0" t="s">
        <v>46</v>
      </c>
      <c r="B1894" s="0" t="s">
        <v>14</v>
      </c>
      <c r="C1894" s="0" t="s">
        <v>38</v>
      </c>
      <c r="D1894" s="0" t="s">
        <v>29</v>
      </c>
      <c r="E1894" s="9" t="str">
        <f aca="false">IF(D1894="?OLD","!!!","")</f>
        <v>!!!</v>
      </c>
      <c r="F1894" s="10" t="str">
        <f aca="false">IF(OR(E1894="",E1894="!!!"),"",IF(NOT(ISNA(VLOOKUP(E1894,E$1:E1893,1,FALSE()))),"OLD",IF(AND(E1894&lt;&gt;"",E1894&lt;&gt;"!!!"),"NEW","")))</f>
        <v/>
      </c>
      <c r="G1894" s="11" t="str">
        <f aca="false">IF(OR(E1894="",E1894="!!!"),"",IF(OR(J1894=0,AND(J1894=1,K1894=1),AND(J1894=1,I1894="SBJ"),AND(J1894=1,I1894=0)),"?IN_FOCUS",IF(J1894&lt;=2,"?ACTIVATED",IF(J1894&lt;&gt;"","?FAMILIAR",IF(F1894="NEW",IF(ISNA(VLOOKUP(E1894,#REF!,1,FALSE())),"?TYPE_IDENTIFIABLE","?REFERENTIAL"),"_")))))</f>
        <v/>
      </c>
      <c r="H1894" s="12" t="str">
        <f aca="false">IF(J1894&lt;&gt;1,"",IF(I1894="SBJ","CB","?"))</f>
        <v/>
      </c>
      <c r="I1894" s="13" t="str">
        <f aca="false">IF(OR(E1894="",E1894="!!!",F1894="NEW"),"",INDEX(B$2:B1893,-1+SUMPRODUCT(MAX(ROW(E$2:E1893)*(E1894=E$2:E1893)))))</f>
        <v/>
      </c>
      <c r="J1894" s="14" t="str">
        <f aca="true">IF(OR(E1894="",E1894="!!!",F1894="NEW"),"",COUNTBLANK(OFFSET(A$1,,,SUMPRODUCT(MAX(ROW(E$2:E1894)*(E1894=E$2:E1894)))))-COUNTBLANK(OFFSET(A$1,,,SUMPRODUCT(MAX(ROW(E$1:E1893)*(E1894=E$1:E1893))))))</f>
        <v/>
      </c>
      <c r="K1894" s="14" t="str">
        <f aca="false">IF(OR(E1894="",E1894="!!!",F1894="NEW"),"",INDEX(J$1:J1893,SUMPRODUCT(MAX(ROW(E$1:E1893)*(E1894=E$1:E1893)))))</f>
        <v/>
      </c>
      <c r="L1894" s="15"/>
    </row>
    <row r="1895" customFormat="false" ht="12.75" hidden="false" customHeight="false" outlineLevel="0" collapsed="false">
      <c r="A1895" s="0" t="s">
        <v>76</v>
      </c>
      <c r="E1895" s="9" t="str">
        <f aca="false">IF(D1895="?OLD","!!!","")</f>
        <v/>
      </c>
      <c r="F1895" s="10" t="str">
        <f aca="false">IF(OR(E1895="",E1895="!!!"),"",IF(NOT(ISNA(VLOOKUP(E1895,E$1:E1894,1,FALSE()))),"OLD",IF(AND(E1895&lt;&gt;"",E1895&lt;&gt;"!!!"),"NEW","")))</f>
        <v/>
      </c>
      <c r="G1895" s="11" t="str">
        <f aca="false">IF(OR(E1895="",E1895="!!!"),"",IF(OR(J1895=0,AND(J1895=1,K1895=1),AND(J1895=1,I1895="SBJ"),AND(J1895=1,I1895=0)),"?IN_FOCUS",IF(J1895&lt;=2,"?ACTIVATED",IF(J1895&lt;&gt;"","?FAMILIAR",IF(F1895="NEW",IF(ISNA(VLOOKUP(E1895,#REF!,1,FALSE())),"?TYPE_IDENTIFIABLE","?REFERENTIAL"),"_")))))</f>
        <v/>
      </c>
      <c r="H1895" s="12" t="str">
        <f aca="false">IF(J1895&lt;&gt;1,"",IF(I1895="SBJ","CB","?"))</f>
        <v/>
      </c>
      <c r="I1895" s="13" t="str">
        <f aca="false">IF(OR(E1895="",E1895="!!!",F1895="NEW"),"",INDEX(B$2:B1894,-1+SUMPRODUCT(MAX(ROW(E$2:E1894)*(E1895=E$2:E1894)))))</f>
        <v/>
      </c>
      <c r="J1895" s="14" t="str">
        <f aca="true">IF(OR(E1895="",E1895="!!!",F1895="NEW"),"",COUNTBLANK(OFFSET(A$1,,,SUMPRODUCT(MAX(ROW(E$2:E1895)*(E1895=E$2:E1895)))))-COUNTBLANK(OFFSET(A$1,,,SUMPRODUCT(MAX(ROW(E$1:E1894)*(E1895=E$1:E1894))))))</f>
        <v/>
      </c>
      <c r="K1895" s="14" t="str">
        <f aca="false">IF(OR(E1895="",E1895="!!!",F1895="NEW"),"",INDEX(J$1:J1894,SUMPRODUCT(MAX(ROW(E$1:E1894)*(E1895=E$1:E1894)))))</f>
        <v/>
      </c>
      <c r="L1895" s="15"/>
    </row>
    <row r="1896" customFormat="false" ht="12.75" hidden="false" customHeight="false" outlineLevel="0" collapsed="false">
      <c r="A1896" s="0" t="s">
        <v>771</v>
      </c>
      <c r="E1896" s="9" t="str">
        <f aca="false">IF(D1896="?OLD","!!!","")</f>
        <v/>
      </c>
      <c r="F1896" s="10" t="str">
        <f aca="false">IF(OR(E1896="",E1896="!!!"),"",IF(NOT(ISNA(VLOOKUP(E1896,E$1:E1895,1,FALSE()))),"OLD",IF(AND(E1896&lt;&gt;"",E1896&lt;&gt;"!!!"),"NEW","")))</f>
        <v/>
      </c>
      <c r="G1896" s="11" t="str">
        <f aca="false">IF(OR(E1896="",E1896="!!!"),"",IF(OR(J1896=0,AND(J1896=1,K1896=1),AND(J1896=1,I1896="SBJ"),AND(J1896=1,I1896=0)),"?IN_FOCUS",IF(J1896&lt;=2,"?ACTIVATED",IF(J1896&lt;&gt;"","?FAMILIAR",IF(F1896="NEW",IF(ISNA(VLOOKUP(E1896,#REF!,1,FALSE())),"?TYPE_IDENTIFIABLE","?REFERENTIAL"),"_")))))</f>
        <v/>
      </c>
      <c r="H1896" s="12" t="str">
        <f aca="false">IF(J1896&lt;&gt;1,"",IF(I1896="SBJ","CB","?"))</f>
        <v/>
      </c>
      <c r="I1896" s="13" t="str">
        <f aca="false">IF(OR(E1896="",E1896="!!!",F1896="NEW"),"",INDEX(B$2:B1895,-1+SUMPRODUCT(MAX(ROW(E$2:E1895)*(E1896=E$2:E1895)))))</f>
        <v/>
      </c>
      <c r="J1896" s="14" t="str">
        <f aca="true">IF(OR(E1896="",E1896="!!!",F1896="NEW"),"",COUNTBLANK(OFFSET(A$1,,,SUMPRODUCT(MAX(ROW(E$2:E1896)*(E1896=E$2:E1896)))))-COUNTBLANK(OFFSET(A$1,,,SUMPRODUCT(MAX(ROW(E$1:E1895)*(E1896=E$1:E1895))))))</f>
        <v/>
      </c>
      <c r="K1896" s="14" t="str">
        <f aca="false">IF(OR(E1896="",E1896="!!!",F1896="NEW"),"",INDEX(J$1:J1895,SUMPRODUCT(MAX(ROW(E$1:E1895)*(E1896=E$1:E1895)))))</f>
        <v/>
      </c>
      <c r="L1896" s="15"/>
    </row>
    <row r="1897" customFormat="false" ht="12.75" hidden="false" customHeight="false" outlineLevel="0" collapsed="false">
      <c r="A1897" s="0" t="s">
        <v>356</v>
      </c>
      <c r="E1897" s="9" t="str">
        <f aca="false">IF(D1897="?OLD","!!!","")</f>
        <v/>
      </c>
      <c r="F1897" s="10" t="str">
        <f aca="false">IF(OR(E1897="",E1897="!!!"),"",IF(NOT(ISNA(VLOOKUP(E1897,E$1:E1896,1,FALSE()))),"OLD",IF(AND(E1897&lt;&gt;"",E1897&lt;&gt;"!!!"),"NEW","")))</f>
        <v/>
      </c>
      <c r="G1897" s="11" t="str">
        <f aca="false">IF(OR(E1897="",E1897="!!!"),"",IF(OR(J1897=0,AND(J1897=1,K1897=1),AND(J1897=1,I1897="SBJ"),AND(J1897=1,I1897=0)),"?IN_FOCUS",IF(J1897&lt;=2,"?ACTIVATED",IF(J1897&lt;&gt;"","?FAMILIAR",IF(F1897="NEW",IF(ISNA(VLOOKUP(E1897,#REF!,1,FALSE())),"?TYPE_IDENTIFIABLE","?REFERENTIAL"),"_")))))</f>
        <v/>
      </c>
      <c r="H1897" s="12" t="str">
        <f aca="false">IF(J1897&lt;&gt;1,"",IF(I1897="SBJ","CB","?"))</f>
        <v/>
      </c>
      <c r="I1897" s="13" t="str">
        <f aca="false">IF(OR(E1897="",E1897="!!!",F1897="NEW"),"",INDEX(B$2:B1896,-1+SUMPRODUCT(MAX(ROW(E$2:E1896)*(E1897=E$2:E1896)))))</f>
        <v/>
      </c>
      <c r="J1897" s="14" t="str">
        <f aca="true">IF(OR(E1897="",E1897="!!!",F1897="NEW"),"",COUNTBLANK(OFFSET(A$1,,,SUMPRODUCT(MAX(ROW(E$2:E1897)*(E1897=E$2:E1897)))))-COUNTBLANK(OFFSET(A$1,,,SUMPRODUCT(MAX(ROW(E$1:E1896)*(E1897=E$1:E1896))))))</f>
        <v/>
      </c>
      <c r="K1897" s="14" t="str">
        <f aca="false">IF(OR(E1897="",E1897="!!!",F1897="NEW"),"",INDEX(J$1:J1896,SUMPRODUCT(MAX(ROW(E$1:E1896)*(E1897=E$1:E1896)))))</f>
        <v/>
      </c>
      <c r="L1897" s="15"/>
    </row>
    <row r="1898" customFormat="false" ht="12.75" hidden="false" customHeight="false" outlineLevel="0" collapsed="false">
      <c r="A1898" s="0" t="s">
        <v>66</v>
      </c>
      <c r="E1898" s="9" t="str">
        <f aca="false">IF(D1898="?OLD","!!!","")</f>
        <v/>
      </c>
      <c r="F1898" s="10" t="str">
        <f aca="false">IF(OR(E1898="",E1898="!!!"),"",IF(NOT(ISNA(VLOOKUP(E1898,E$1:E1897,1,FALSE()))),"OLD",IF(AND(E1898&lt;&gt;"",E1898&lt;&gt;"!!!"),"NEW","")))</f>
        <v/>
      </c>
      <c r="G1898" s="11" t="str">
        <f aca="false">IF(OR(E1898="",E1898="!!!"),"",IF(OR(J1898=0,AND(J1898=1,K1898=1),AND(J1898=1,I1898="SBJ"),AND(J1898=1,I1898=0)),"?IN_FOCUS",IF(J1898&lt;=2,"?ACTIVATED",IF(J1898&lt;&gt;"","?FAMILIAR",IF(F1898="NEW",IF(ISNA(VLOOKUP(E1898,#REF!,1,FALSE())),"?TYPE_IDENTIFIABLE","?REFERENTIAL"),"_")))))</f>
        <v/>
      </c>
      <c r="H1898" s="12" t="str">
        <f aca="false">IF(J1898&lt;&gt;1,"",IF(I1898="SBJ","CB","?"))</f>
        <v/>
      </c>
      <c r="I1898" s="13" t="str">
        <f aca="false">IF(OR(E1898="",E1898="!!!",F1898="NEW"),"",INDEX(B$2:B1897,-1+SUMPRODUCT(MAX(ROW(E$2:E1897)*(E1898=E$2:E1897)))))</f>
        <v/>
      </c>
      <c r="J1898" s="14" t="str">
        <f aca="true">IF(OR(E1898="",E1898="!!!",F1898="NEW"),"",COUNTBLANK(OFFSET(A$1,,,SUMPRODUCT(MAX(ROW(E$2:E1898)*(E1898=E$2:E1898)))))-COUNTBLANK(OFFSET(A$1,,,SUMPRODUCT(MAX(ROW(E$1:E1897)*(E1898=E$1:E1897))))))</f>
        <v/>
      </c>
      <c r="K1898" s="14" t="str">
        <f aca="false">IF(OR(E1898="",E1898="!!!",F1898="NEW"),"",INDEX(J$1:J1897,SUMPRODUCT(MAX(ROW(E$1:E1897)*(E1898=E$1:E1897)))))</f>
        <v/>
      </c>
      <c r="L1898" s="15"/>
    </row>
    <row r="1899" customFormat="false" ht="12.75" hidden="false" customHeight="false" outlineLevel="0" collapsed="false">
      <c r="A1899" s="0" t="s">
        <v>433</v>
      </c>
      <c r="B1899" s="0" t="s">
        <v>62</v>
      </c>
      <c r="C1899" s="0" t="s">
        <v>111</v>
      </c>
      <c r="D1899" s="0" t="s">
        <v>29</v>
      </c>
      <c r="E1899" s="9" t="str">
        <f aca="false">IF(D1899="?OLD","!!!","")</f>
        <v>!!!</v>
      </c>
      <c r="F1899" s="10" t="str">
        <f aca="false">IF(OR(E1899="",E1899="!!!"),"",IF(NOT(ISNA(VLOOKUP(E1899,E$1:E1898,1,FALSE()))),"OLD",IF(AND(E1899&lt;&gt;"",E1899&lt;&gt;"!!!"),"NEW","")))</f>
        <v/>
      </c>
      <c r="G1899" s="11" t="str">
        <f aca="false">IF(OR(E1899="",E1899="!!!"),"",IF(OR(J1899=0,AND(J1899=1,K1899=1),AND(J1899=1,I1899="SBJ"),AND(J1899=1,I1899=0)),"?IN_FOCUS",IF(J1899&lt;=2,"?ACTIVATED",IF(J1899&lt;&gt;"","?FAMILIAR",IF(F1899="NEW",IF(ISNA(VLOOKUP(E1899,#REF!,1,FALSE())),"?TYPE_IDENTIFIABLE","?REFERENTIAL"),"_")))))</f>
        <v/>
      </c>
      <c r="H1899" s="12" t="str">
        <f aca="false">IF(J1899&lt;&gt;1,"",IF(I1899="SBJ","CB","?"))</f>
        <v/>
      </c>
      <c r="I1899" s="13" t="str">
        <f aca="false">IF(OR(E1899="",E1899="!!!",F1899="NEW"),"",INDEX(B$2:B1898,-1+SUMPRODUCT(MAX(ROW(E$2:E1898)*(E1899=E$2:E1898)))))</f>
        <v/>
      </c>
      <c r="J1899" s="14" t="str">
        <f aca="true">IF(OR(E1899="",E1899="!!!",F1899="NEW"),"",COUNTBLANK(OFFSET(A$1,,,SUMPRODUCT(MAX(ROW(E$2:E1899)*(E1899=E$2:E1899)))))-COUNTBLANK(OFFSET(A$1,,,SUMPRODUCT(MAX(ROW(E$1:E1898)*(E1899=E$1:E1898))))))</f>
        <v/>
      </c>
      <c r="K1899" s="14" t="str">
        <f aca="false">IF(OR(E1899="",E1899="!!!",F1899="NEW"),"",INDEX(J$1:J1898,SUMPRODUCT(MAX(ROW(E$1:E1898)*(E1899=E$1:E1898)))))</f>
        <v/>
      </c>
      <c r="L1899" s="15"/>
    </row>
    <row r="1900" customFormat="false" ht="12.75" hidden="false" customHeight="false" outlineLevel="0" collapsed="false">
      <c r="A1900" s="0" t="s">
        <v>31</v>
      </c>
      <c r="E1900" s="9" t="str">
        <f aca="false">IF(D1900="?OLD","!!!","")</f>
        <v/>
      </c>
      <c r="F1900" s="10" t="str">
        <f aca="false">IF(OR(E1900="",E1900="!!!"),"",IF(NOT(ISNA(VLOOKUP(E1900,E$1:E1899,1,FALSE()))),"OLD",IF(AND(E1900&lt;&gt;"",E1900&lt;&gt;"!!!"),"NEW","")))</f>
        <v/>
      </c>
      <c r="G1900" s="11" t="str">
        <f aca="false">IF(OR(E1900="",E1900="!!!"),"",IF(OR(J1900=0,AND(J1900=1,K1900=1),AND(J1900=1,I1900="SBJ"),AND(J1900=1,I1900=0)),"?IN_FOCUS",IF(J1900&lt;=2,"?ACTIVATED",IF(J1900&lt;&gt;"","?FAMILIAR",IF(F1900="NEW",IF(ISNA(VLOOKUP(E1900,#REF!,1,FALSE())),"?TYPE_IDENTIFIABLE","?REFERENTIAL"),"_")))))</f>
        <v/>
      </c>
      <c r="H1900" s="12" t="str">
        <f aca="false">IF(J1900&lt;&gt;1,"",IF(I1900="SBJ","CB","?"))</f>
        <v/>
      </c>
      <c r="I1900" s="13" t="str">
        <f aca="false">IF(OR(E1900="",E1900="!!!",F1900="NEW"),"",INDEX(B$2:B1899,-1+SUMPRODUCT(MAX(ROW(E$2:E1899)*(E1900=E$2:E1899)))))</f>
        <v/>
      </c>
      <c r="J1900" s="14" t="str">
        <f aca="true">IF(OR(E1900="",E1900="!!!",F1900="NEW"),"",COUNTBLANK(OFFSET(A$1,,,SUMPRODUCT(MAX(ROW(E$2:E1900)*(E1900=E$2:E1900)))))-COUNTBLANK(OFFSET(A$1,,,SUMPRODUCT(MAX(ROW(E$1:E1899)*(E1900=E$1:E1899))))))</f>
        <v/>
      </c>
      <c r="K1900" s="14" t="str">
        <f aca="false">IF(OR(E1900="",E1900="!!!",F1900="NEW"),"",INDEX(J$1:J1899,SUMPRODUCT(MAX(ROW(E$1:E1899)*(E1900=E$1:E1899)))))</f>
        <v/>
      </c>
      <c r="L1900" s="15"/>
    </row>
    <row r="1901" customFormat="false" ht="12.75" hidden="false" customHeight="false" outlineLevel="0" collapsed="false">
      <c r="A1901" s="0" t="s">
        <v>229</v>
      </c>
      <c r="E1901" s="9" t="str">
        <f aca="false">IF(D1901="?OLD","!!!","")</f>
        <v/>
      </c>
      <c r="F1901" s="10" t="str">
        <f aca="false">IF(OR(E1901="",E1901="!!!"),"",IF(NOT(ISNA(VLOOKUP(E1901,E$1:E1900,1,FALSE()))),"OLD",IF(AND(E1901&lt;&gt;"",E1901&lt;&gt;"!!!"),"NEW","")))</f>
        <v/>
      </c>
      <c r="G1901" s="11" t="str">
        <f aca="false">IF(OR(E1901="",E1901="!!!"),"",IF(OR(J1901=0,AND(J1901=1,K1901=1),AND(J1901=1,I1901="SBJ"),AND(J1901=1,I1901=0)),"?IN_FOCUS",IF(J1901&lt;=2,"?ACTIVATED",IF(J1901&lt;&gt;"","?FAMILIAR",IF(F1901="NEW",IF(ISNA(VLOOKUP(E1901,#REF!,1,FALSE())),"?TYPE_IDENTIFIABLE","?REFERENTIAL"),"_")))))</f>
        <v/>
      </c>
      <c r="H1901" s="12" t="str">
        <f aca="false">IF(J1901&lt;&gt;1,"",IF(I1901="SBJ","CB","?"))</f>
        <v/>
      </c>
      <c r="I1901" s="13" t="str">
        <f aca="false">IF(OR(E1901="",E1901="!!!",F1901="NEW"),"",INDEX(B$2:B1900,-1+SUMPRODUCT(MAX(ROW(E$2:E1900)*(E1901=E$2:E1900)))))</f>
        <v/>
      </c>
      <c r="J1901" s="14" t="str">
        <f aca="true">IF(OR(E1901="",E1901="!!!",F1901="NEW"),"",COUNTBLANK(OFFSET(A$1,,,SUMPRODUCT(MAX(ROW(E$2:E1901)*(E1901=E$2:E1901)))))-COUNTBLANK(OFFSET(A$1,,,SUMPRODUCT(MAX(ROW(E$1:E1900)*(E1901=E$1:E1900))))))</f>
        <v/>
      </c>
      <c r="K1901" s="14" t="str">
        <f aca="false">IF(OR(E1901="",E1901="!!!",F1901="NEW"),"",INDEX(J$1:J1900,SUMPRODUCT(MAX(ROW(E$1:E1900)*(E1901=E$1:E1900)))))</f>
        <v/>
      </c>
      <c r="L1901" s="15"/>
    </row>
    <row r="1902" customFormat="false" ht="12.75" hidden="false" customHeight="false" outlineLevel="0" collapsed="false">
      <c r="A1902" s="0" t="s">
        <v>301</v>
      </c>
      <c r="E1902" s="9" t="str">
        <f aca="false">IF(D1902="?OLD","!!!","")</f>
        <v/>
      </c>
      <c r="F1902" s="10" t="str">
        <f aca="false">IF(OR(E1902="",E1902="!!!"),"",IF(NOT(ISNA(VLOOKUP(E1902,E$1:E1901,1,FALSE()))),"OLD",IF(AND(E1902&lt;&gt;"",E1902&lt;&gt;"!!!"),"NEW","")))</f>
        <v/>
      </c>
      <c r="G1902" s="11" t="str">
        <f aca="false">IF(OR(E1902="",E1902="!!!"),"",IF(OR(J1902=0,AND(J1902=1,K1902=1),AND(J1902=1,I1902="SBJ"),AND(J1902=1,I1902=0)),"?IN_FOCUS",IF(J1902&lt;=2,"?ACTIVATED",IF(J1902&lt;&gt;"","?FAMILIAR",IF(F1902="NEW",IF(ISNA(VLOOKUP(E1902,#REF!,1,FALSE())),"?TYPE_IDENTIFIABLE","?REFERENTIAL"),"_")))))</f>
        <v/>
      </c>
      <c r="H1902" s="12" t="str">
        <f aca="false">IF(J1902&lt;&gt;1,"",IF(I1902="SBJ","CB","?"))</f>
        <v/>
      </c>
      <c r="I1902" s="13" t="str">
        <f aca="false">IF(OR(E1902="",E1902="!!!",F1902="NEW"),"",INDEX(B$2:B1901,-1+SUMPRODUCT(MAX(ROW(E$2:E1901)*(E1902=E$2:E1901)))))</f>
        <v/>
      </c>
      <c r="J1902" s="14" t="str">
        <f aca="true">IF(OR(E1902="",E1902="!!!",F1902="NEW"),"",COUNTBLANK(OFFSET(A$1,,,SUMPRODUCT(MAX(ROW(E$2:E1902)*(E1902=E$2:E1902)))))-COUNTBLANK(OFFSET(A$1,,,SUMPRODUCT(MAX(ROW(E$1:E1901)*(E1902=E$1:E1901))))))</f>
        <v/>
      </c>
      <c r="K1902" s="14" t="str">
        <f aca="false">IF(OR(E1902="",E1902="!!!",F1902="NEW"),"",INDEX(J$1:J1901,SUMPRODUCT(MAX(ROW(E$1:E1901)*(E1902=E$1:E1901)))))</f>
        <v/>
      </c>
      <c r="L1902" s="15"/>
    </row>
    <row r="1903" customFormat="false" ht="12.75" hidden="false" customHeight="false" outlineLevel="0" collapsed="false">
      <c r="A1903" s="0" t="s">
        <v>51</v>
      </c>
      <c r="E1903" s="9" t="str">
        <f aca="false">IF(D1903="?OLD","!!!","")</f>
        <v/>
      </c>
      <c r="F1903" s="10" t="str">
        <f aca="false">IF(OR(E1903="",E1903="!!!"),"",IF(NOT(ISNA(VLOOKUP(E1903,E$1:E1902,1,FALSE()))),"OLD",IF(AND(E1903&lt;&gt;"",E1903&lt;&gt;"!!!"),"NEW","")))</f>
        <v/>
      </c>
      <c r="G1903" s="11" t="str">
        <f aca="false">IF(OR(E1903="",E1903="!!!"),"",IF(OR(J1903=0,AND(J1903=1,K1903=1),AND(J1903=1,I1903="SBJ"),AND(J1903=1,I1903=0)),"?IN_FOCUS",IF(J1903&lt;=2,"?ACTIVATED",IF(J1903&lt;&gt;"","?FAMILIAR",IF(F1903="NEW",IF(ISNA(VLOOKUP(E1903,#REF!,1,FALSE())),"?TYPE_IDENTIFIABLE","?REFERENTIAL"),"_")))))</f>
        <v/>
      </c>
      <c r="H1903" s="12" t="str">
        <f aca="false">IF(J1903&lt;&gt;1,"",IF(I1903="SBJ","CB","?"))</f>
        <v/>
      </c>
      <c r="I1903" s="13" t="str">
        <f aca="false">IF(OR(E1903="",E1903="!!!",F1903="NEW"),"",INDEX(B$2:B1902,-1+SUMPRODUCT(MAX(ROW(E$2:E1902)*(E1903=E$2:E1902)))))</f>
        <v/>
      </c>
      <c r="J1903" s="14" t="str">
        <f aca="true">IF(OR(E1903="",E1903="!!!",F1903="NEW"),"",COUNTBLANK(OFFSET(A$1,,,SUMPRODUCT(MAX(ROW(E$2:E1903)*(E1903=E$2:E1903)))))-COUNTBLANK(OFFSET(A$1,,,SUMPRODUCT(MAX(ROW(E$1:E1902)*(E1903=E$1:E1902))))))</f>
        <v/>
      </c>
      <c r="K1903" s="14" t="str">
        <f aca="false">IF(OR(E1903="",E1903="!!!",F1903="NEW"),"",INDEX(J$1:J1902,SUMPRODUCT(MAX(ROW(E$1:E1902)*(E1903=E$1:E1902)))))</f>
        <v/>
      </c>
      <c r="L1903" s="15"/>
    </row>
    <row r="1904" customFormat="false" ht="12.75" hidden="false" customHeight="false" outlineLevel="0" collapsed="false">
      <c r="A1904" s="0" t="s">
        <v>534</v>
      </c>
      <c r="B1904" s="0" t="s">
        <v>22</v>
      </c>
      <c r="C1904" s="0" t="s">
        <v>162</v>
      </c>
      <c r="E1904" s="9" t="str">
        <f aca="false">IF(D1904="?OLD","!!!","")</f>
        <v/>
      </c>
      <c r="F1904" s="10" t="str">
        <f aca="false">IF(OR(E1904="",E1904="!!!"),"",IF(NOT(ISNA(VLOOKUP(E1904,E$1:E1903,1,FALSE()))),"OLD",IF(AND(E1904&lt;&gt;"",E1904&lt;&gt;"!!!"),"NEW","")))</f>
        <v/>
      </c>
      <c r="G1904" s="11" t="str">
        <f aca="false">IF(OR(E1904="",E1904="!!!"),"",IF(OR(J1904=0,AND(J1904=1,K1904=1),AND(J1904=1,I1904="SBJ"),AND(J1904=1,I1904=0)),"?IN_FOCUS",IF(J1904&lt;=2,"?ACTIVATED",IF(J1904&lt;&gt;"","?FAMILIAR",IF(F1904="NEW",IF(ISNA(VLOOKUP(E1904,#REF!,1,FALSE())),"?TYPE_IDENTIFIABLE","?REFERENTIAL"),"_")))))</f>
        <v/>
      </c>
      <c r="H1904" s="12" t="str">
        <f aca="false">IF(J1904&lt;&gt;1,"",IF(I1904="SBJ","CB","?"))</f>
        <v/>
      </c>
      <c r="I1904" s="13" t="str">
        <f aca="false">IF(OR(E1904="",E1904="!!!",F1904="NEW"),"",INDEX(B$2:B1903,-1+SUMPRODUCT(MAX(ROW(E$2:E1903)*(E1904=E$2:E1903)))))</f>
        <v/>
      </c>
      <c r="J1904" s="14" t="str">
        <f aca="true">IF(OR(E1904="",E1904="!!!",F1904="NEW"),"",COUNTBLANK(OFFSET(A$1,,,SUMPRODUCT(MAX(ROW(E$2:E1904)*(E1904=E$2:E1904)))))-COUNTBLANK(OFFSET(A$1,,,SUMPRODUCT(MAX(ROW(E$1:E1903)*(E1904=E$1:E1903))))))</f>
        <v/>
      </c>
      <c r="K1904" s="14" t="str">
        <f aca="false">IF(OR(E1904="",E1904="!!!",F1904="NEW"),"",INDEX(J$1:J1903,SUMPRODUCT(MAX(ROW(E$1:E1903)*(E1904=E$1:E1903)))))</f>
        <v/>
      </c>
      <c r="L1904" s="15"/>
    </row>
    <row r="1905" customFormat="false" ht="12.75" hidden="false" customHeight="false" outlineLevel="0" collapsed="false">
      <c r="A1905" s="0" t="s">
        <v>147</v>
      </c>
      <c r="B1905" s="0" t="s">
        <v>330</v>
      </c>
      <c r="C1905" s="0" t="s">
        <v>38</v>
      </c>
      <c r="D1905" s="0" t="s">
        <v>29</v>
      </c>
      <c r="E1905" s="9" t="str">
        <f aca="false">IF(D1905="?OLD","!!!","")</f>
        <v>!!!</v>
      </c>
      <c r="F1905" s="10" t="str">
        <f aca="false">IF(OR(E1905="",E1905="!!!"),"",IF(NOT(ISNA(VLOOKUP(E1905,E$1:E1904,1,FALSE()))),"OLD",IF(AND(E1905&lt;&gt;"",E1905&lt;&gt;"!!!"),"NEW","")))</f>
        <v/>
      </c>
      <c r="G1905" s="11" t="str">
        <f aca="false">IF(OR(E1905="",E1905="!!!"),"",IF(OR(J1905=0,AND(J1905=1,K1905=1),AND(J1905=1,I1905="SBJ"),AND(J1905=1,I1905=0)),"?IN_FOCUS",IF(J1905&lt;=2,"?ACTIVATED",IF(J1905&lt;&gt;"","?FAMILIAR",IF(F1905="NEW",IF(ISNA(VLOOKUP(E1905,#REF!,1,FALSE())),"?TYPE_IDENTIFIABLE","?REFERENTIAL"),"_")))))</f>
        <v/>
      </c>
      <c r="H1905" s="12" t="str">
        <f aca="false">IF(J1905&lt;&gt;1,"",IF(I1905="SBJ","CB","?"))</f>
        <v/>
      </c>
      <c r="I1905" s="13" t="str">
        <f aca="false">IF(OR(E1905="",E1905="!!!",F1905="NEW"),"",INDEX(B$2:B1904,-1+SUMPRODUCT(MAX(ROW(E$2:E1904)*(E1905=E$2:E1904)))))</f>
        <v/>
      </c>
      <c r="J1905" s="14" t="str">
        <f aca="true">IF(OR(E1905="",E1905="!!!",F1905="NEW"),"",COUNTBLANK(OFFSET(A$1,,,SUMPRODUCT(MAX(ROW(E$2:E1905)*(E1905=E$2:E1905)))))-COUNTBLANK(OFFSET(A$1,,,SUMPRODUCT(MAX(ROW(E$1:E1904)*(E1905=E$1:E1904))))))</f>
        <v/>
      </c>
      <c r="K1905" s="14" t="str">
        <f aca="false">IF(OR(E1905="",E1905="!!!",F1905="NEW"),"",INDEX(J$1:J1904,SUMPRODUCT(MAX(ROW(E$1:E1904)*(E1905=E$1:E1904)))))</f>
        <v/>
      </c>
      <c r="L1905" s="15"/>
    </row>
    <row r="1906" customFormat="false" ht="12.75" hidden="false" customHeight="false" outlineLevel="0" collapsed="false">
      <c r="A1906" s="0" t="s">
        <v>331</v>
      </c>
      <c r="E1906" s="9" t="str">
        <f aca="false">IF(D1906="?OLD","!!!","")</f>
        <v/>
      </c>
      <c r="F1906" s="10" t="str">
        <f aca="false">IF(OR(E1906="",E1906="!!!"),"",IF(NOT(ISNA(VLOOKUP(E1906,E$1:E1905,1,FALSE()))),"OLD",IF(AND(E1906&lt;&gt;"",E1906&lt;&gt;"!!!"),"NEW","")))</f>
        <v/>
      </c>
      <c r="G1906" s="11" t="str">
        <f aca="false">IF(OR(E1906="",E1906="!!!"),"",IF(OR(J1906=0,AND(J1906=1,K1906=1),AND(J1906=1,I1906="SBJ"),AND(J1906=1,I1906=0)),"?IN_FOCUS",IF(J1906&lt;=2,"?ACTIVATED",IF(J1906&lt;&gt;"","?FAMILIAR",IF(F1906="NEW",IF(ISNA(VLOOKUP(E1906,#REF!,1,FALSE())),"?TYPE_IDENTIFIABLE","?REFERENTIAL"),"_")))))</f>
        <v/>
      </c>
      <c r="H1906" s="12" t="str">
        <f aca="false">IF(J1906&lt;&gt;1,"",IF(I1906="SBJ","CB","?"))</f>
        <v/>
      </c>
      <c r="I1906" s="13" t="str">
        <f aca="false">IF(OR(E1906="",E1906="!!!",F1906="NEW"),"",INDEX(B$2:B1905,-1+SUMPRODUCT(MAX(ROW(E$2:E1905)*(E1906=E$2:E1905)))))</f>
        <v/>
      </c>
      <c r="J1906" s="14" t="str">
        <f aca="true">IF(OR(E1906="",E1906="!!!",F1906="NEW"),"",COUNTBLANK(OFFSET(A$1,,,SUMPRODUCT(MAX(ROW(E$2:E1906)*(E1906=E$2:E1906)))))-COUNTBLANK(OFFSET(A$1,,,SUMPRODUCT(MAX(ROW(E$1:E1905)*(E1906=E$1:E1905))))))</f>
        <v/>
      </c>
      <c r="K1906" s="14" t="str">
        <f aca="false">IF(OR(E1906="",E1906="!!!",F1906="NEW"),"",INDEX(J$1:J1905,SUMPRODUCT(MAX(ROW(E$1:E1905)*(E1906=E$1:E1905)))))</f>
        <v/>
      </c>
      <c r="L1906" s="15"/>
    </row>
    <row r="1907" customFormat="false" ht="12.75" hidden="false" customHeight="false" outlineLevel="0" collapsed="false">
      <c r="A1907" s="0" t="s">
        <v>31</v>
      </c>
      <c r="E1907" s="9" t="str">
        <f aca="false">IF(D1907="?OLD","!!!","")</f>
        <v/>
      </c>
      <c r="F1907" s="10" t="str">
        <f aca="false">IF(OR(E1907="",E1907="!!!"),"",IF(NOT(ISNA(VLOOKUP(E1907,E$1:E1906,1,FALSE()))),"OLD",IF(AND(E1907&lt;&gt;"",E1907&lt;&gt;"!!!"),"NEW","")))</f>
        <v/>
      </c>
      <c r="G1907" s="11" t="str">
        <f aca="false">IF(OR(E1907="",E1907="!!!"),"",IF(OR(J1907=0,AND(J1907=1,K1907=1),AND(J1907=1,I1907="SBJ"),AND(J1907=1,I1907=0)),"?IN_FOCUS",IF(J1907&lt;=2,"?ACTIVATED",IF(J1907&lt;&gt;"","?FAMILIAR",IF(F1907="NEW",IF(ISNA(VLOOKUP(E1907,#REF!,1,FALSE())),"?TYPE_IDENTIFIABLE","?REFERENTIAL"),"_")))))</f>
        <v/>
      </c>
      <c r="H1907" s="12" t="str">
        <f aca="false">IF(J1907&lt;&gt;1,"",IF(I1907="SBJ","CB","?"))</f>
        <v/>
      </c>
      <c r="I1907" s="13" t="str">
        <f aca="false">IF(OR(E1907="",E1907="!!!",F1907="NEW"),"",INDEX(B$2:B1906,-1+SUMPRODUCT(MAX(ROW(E$2:E1906)*(E1907=E$2:E1906)))))</f>
        <v/>
      </c>
      <c r="J1907" s="14" t="str">
        <f aca="true">IF(OR(E1907="",E1907="!!!",F1907="NEW"),"",COUNTBLANK(OFFSET(A$1,,,SUMPRODUCT(MAX(ROW(E$2:E1907)*(E1907=E$2:E1907)))))-COUNTBLANK(OFFSET(A$1,,,SUMPRODUCT(MAX(ROW(E$1:E1906)*(E1907=E$1:E1906))))))</f>
        <v/>
      </c>
      <c r="K1907" s="14" t="str">
        <f aca="false">IF(OR(E1907="",E1907="!!!",F1907="NEW"),"",INDEX(J$1:J1906,SUMPRODUCT(MAX(ROW(E$1:E1906)*(E1907=E$1:E1906)))))</f>
        <v/>
      </c>
      <c r="L1907" s="15"/>
    </row>
    <row r="1908" customFormat="false" ht="12.75" hidden="false" customHeight="false" outlineLevel="0" collapsed="false">
      <c r="A1908" s="0" t="s">
        <v>88</v>
      </c>
      <c r="E1908" s="9" t="str">
        <f aca="false">IF(D1908="?OLD","!!!","")</f>
        <v/>
      </c>
      <c r="F1908" s="10" t="str">
        <f aca="false">IF(OR(E1908="",E1908="!!!"),"",IF(NOT(ISNA(VLOOKUP(E1908,E$1:E1907,1,FALSE()))),"OLD",IF(AND(E1908&lt;&gt;"",E1908&lt;&gt;"!!!"),"NEW","")))</f>
        <v/>
      </c>
      <c r="G1908" s="11" t="str">
        <f aca="false">IF(OR(E1908="",E1908="!!!"),"",IF(OR(J1908=0,AND(J1908=1,K1908=1),AND(J1908=1,I1908="SBJ"),AND(J1908=1,I1908=0)),"?IN_FOCUS",IF(J1908&lt;=2,"?ACTIVATED",IF(J1908&lt;&gt;"","?FAMILIAR",IF(F1908="NEW",IF(ISNA(VLOOKUP(E1908,#REF!,1,FALSE())),"?TYPE_IDENTIFIABLE","?REFERENTIAL"),"_")))))</f>
        <v/>
      </c>
      <c r="H1908" s="12" t="str">
        <f aca="false">IF(J1908&lt;&gt;1,"",IF(I1908="SBJ","CB","?"))</f>
        <v/>
      </c>
      <c r="I1908" s="13" t="str">
        <f aca="false">IF(OR(E1908="",E1908="!!!",F1908="NEW"),"",INDEX(B$2:B1907,-1+SUMPRODUCT(MAX(ROW(E$2:E1907)*(E1908=E$2:E1907)))))</f>
        <v/>
      </c>
      <c r="J1908" s="14" t="str">
        <f aca="true">IF(OR(E1908="",E1908="!!!",F1908="NEW"),"",COUNTBLANK(OFFSET(A$1,,,SUMPRODUCT(MAX(ROW(E$2:E1908)*(E1908=E$2:E1908)))))-COUNTBLANK(OFFSET(A$1,,,SUMPRODUCT(MAX(ROW(E$1:E1907)*(E1908=E$1:E1907))))))</f>
        <v/>
      </c>
      <c r="K1908" s="14" t="str">
        <f aca="false">IF(OR(E1908="",E1908="!!!",F1908="NEW"),"",INDEX(J$1:J1907,SUMPRODUCT(MAX(ROW(E$1:E1907)*(E1908=E$1:E1907)))))</f>
        <v/>
      </c>
      <c r="L1908" s="15"/>
    </row>
    <row r="1909" customFormat="false" ht="12.75" hidden="false" customHeight="false" outlineLevel="0" collapsed="false">
      <c r="A1909" s="0" t="s">
        <v>772</v>
      </c>
      <c r="E1909" s="9" t="str">
        <f aca="false">IF(D1909="?OLD","!!!","")</f>
        <v/>
      </c>
      <c r="F1909" s="10" t="str">
        <f aca="false">IF(OR(E1909="",E1909="!!!"),"",IF(NOT(ISNA(VLOOKUP(E1909,E$1:E1908,1,FALSE()))),"OLD",IF(AND(E1909&lt;&gt;"",E1909&lt;&gt;"!!!"),"NEW","")))</f>
        <v/>
      </c>
      <c r="G1909" s="11" t="str">
        <f aca="false">IF(OR(E1909="",E1909="!!!"),"",IF(OR(J1909=0,AND(J1909=1,K1909=1),AND(J1909=1,I1909="SBJ"),AND(J1909=1,I1909=0)),"?IN_FOCUS",IF(J1909&lt;=2,"?ACTIVATED",IF(J1909&lt;&gt;"","?FAMILIAR",IF(F1909="NEW",IF(ISNA(VLOOKUP(E1909,#REF!,1,FALSE())),"?TYPE_IDENTIFIABLE","?REFERENTIAL"),"_")))))</f>
        <v/>
      </c>
      <c r="H1909" s="12" t="str">
        <f aca="false">IF(J1909&lt;&gt;1,"",IF(I1909="SBJ","CB","?"))</f>
        <v/>
      </c>
      <c r="I1909" s="13" t="str">
        <f aca="false">IF(OR(E1909="",E1909="!!!",F1909="NEW"),"",INDEX(B$2:B1908,-1+SUMPRODUCT(MAX(ROW(E$2:E1908)*(E1909=E$2:E1908)))))</f>
        <v/>
      </c>
      <c r="J1909" s="14" t="str">
        <f aca="true">IF(OR(E1909="",E1909="!!!",F1909="NEW"),"",COUNTBLANK(OFFSET(A$1,,,SUMPRODUCT(MAX(ROW(E$2:E1909)*(E1909=E$2:E1909)))))-COUNTBLANK(OFFSET(A$1,,,SUMPRODUCT(MAX(ROW(E$1:E1908)*(E1909=E$1:E1908))))))</f>
        <v/>
      </c>
      <c r="K1909" s="14" t="str">
        <f aca="false">IF(OR(E1909="",E1909="!!!",F1909="NEW"),"",INDEX(J$1:J1908,SUMPRODUCT(MAX(ROW(E$1:E1908)*(E1909=E$1:E1908)))))</f>
        <v/>
      </c>
      <c r="L1909" s="15"/>
    </row>
    <row r="1910" customFormat="false" ht="12.75" hidden="false" customHeight="false" outlineLevel="0" collapsed="false">
      <c r="A1910" s="0" t="s">
        <v>183</v>
      </c>
      <c r="E1910" s="9" t="str">
        <f aca="false">IF(D1910="?OLD","!!!","")</f>
        <v/>
      </c>
      <c r="F1910" s="10" t="str">
        <f aca="false">IF(OR(E1910="",E1910="!!!"),"",IF(NOT(ISNA(VLOOKUP(E1910,E$1:E1909,1,FALSE()))),"OLD",IF(AND(E1910&lt;&gt;"",E1910&lt;&gt;"!!!"),"NEW","")))</f>
        <v/>
      </c>
      <c r="G1910" s="11" t="str">
        <f aca="false">IF(OR(E1910="",E1910="!!!"),"",IF(OR(J1910=0,AND(J1910=1,K1910=1),AND(J1910=1,I1910="SBJ"),AND(J1910=1,I1910=0)),"?IN_FOCUS",IF(J1910&lt;=2,"?ACTIVATED",IF(J1910&lt;&gt;"","?FAMILIAR",IF(F1910="NEW",IF(ISNA(VLOOKUP(E1910,#REF!,1,FALSE())),"?TYPE_IDENTIFIABLE","?REFERENTIAL"),"_")))))</f>
        <v/>
      </c>
      <c r="H1910" s="12" t="str">
        <f aca="false">IF(J1910&lt;&gt;1,"",IF(I1910="SBJ","CB","?"))</f>
        <v/>
      </c>
      <c r="I1910" s="13" t="str">
        <f aca="false">IF(OR(E1910="",E1910="!!!",F1910="NEW"),"",INDEX(B$2:B1909,-1+SUMPRODUCT(MAX(ROW(E$2:E1909)*(E1910=E$2:E1909)))))</f>
        <v/>
      </c>
      <c r="J1910" s="14" t="str">
        <f aca="true">IF(OR(E1910="",E1910="!!!",F1910="NEW"),"",COUNTBLANK(OFFSET(A$1,,,SUMPRODUCT(MAX(ROW(E$2:E1910)*(E1910=E$2:E1910)))))-COUNTBLANK(OFFSET(A$1,,,SUMPRODUCT(MAX(ROW(E$1:E1909)*(E1910=E$1:E1909))))))</f>
        <v/>
      </c>
      <c r="K1910" s="14" t="str">
        <f aca="false">IF(OR(E1910="",E1910="!!!",F1910="NEW"),"",INDEX(J$1:J1909,SUMPRODUCT(MAX(ROW(E$1:E1909)*(E1910=E$1:E1909)))))</f>
        <v/>
      </c>
      <c r="L1910" s="15"/>
    </row>
    <row r="1911" customFormat="false" ht="12.75" hidden="false" customHeight="false" outlineLevel="0" collapsed="false">
      <c r="A1911" s="0" t="s">
        <v>241</v>
      </c>
      <c r="E1911" s="9" t="str">
        <f aca="false">IF(D1911="?OLD","!!!","")</f>
        <v/>
      </c>
      <c r="F1911" s="10" t="str">
        <f aca="false">IF(OR(E1911="",E1911="!!!"),"",IF(NOT(ISNA(VLOOKUP(E1911,E$1:E1910,1,FALSE()))),"OLD",IF(AND(E1911&lt;&gt;"",E1911&lt;&gt;"!!!"),"NEW","")))</f>
        <v/>
      </c>
      <c r="G1911" s="11" t="str">
        <f aca="false">IF(OR(E1911="",E1911="!!!"),"",IF(OR(J1911=0,AND(J1911=1,K1911=1),AND(J1911=1,I1911="SBJ"),AND(J1911=1,I1911=0)),"?IN_FOCUS",IF(J1911&lt;=2,"?ACTIVATED",IF(J1911&lt;&gt;"","?FAMILIAR",IF(F1911="NEW",IF(ISNA(VLOOKUP(E1911,#REF!,1,FALSE())),"?TYPE_IDENTIFIABLE","?REFERENTIAL"),"_")))))</f>
        <v/>
      </c>
      <c r="H1911" s="12" t="str">
        <f aca="false">IF(J1911&lt;&gt;1,"",IF(I1911="SBJ","CB","?"))</f>
        <v/>
      </c>
      <c r="I1911" s="13" t="str">
        <f aca="false">IF(OR(E1911="",E1911="!!!",F1911="NEW"),"",INDEX(B$2:B1910,-1+SUMPRODUCT(MAX(ROW(E$2:E1910)*(E1911=E$2:E1910)))))</f>
        <v/>
      </c>
      <c r="J1911" s="14" t="str">
        <f aca="true">IF(OR(E1911="",E1911="!!!",F1911="NEW"),"",COUNTBLANK(OFFSET(A$1,,,SUMPRODUCT(MAX(ROW(E$2:E1911)*(E1911=E$2:E1911)))))-COUNTBLANK(OFFSET(A$1,,,SUMPRODUCT(MAX(ROW(E$1:E1910)*(E1911=E$1:E1910))))))</f>
        <v/>
      </c>
      <c r="K1911" s="14" t="str">
        <f aca="false">IF(OR(E1911="",E1911="!!!",F1911="NEW"),"",INDEX(J$1:J1910,SUMPRODUCT(MAX(ROW(E$1:E1910)*(E1911=E$1:E1910)))))</f>
        <v/>
      </c>
      <c r="L1911" s="15"/>
    </row>
    <row r="1912" customFormat="false" ht="12.75" hidden="false" customHeight="false" outlineLevel="0" collapsed="false">
      <c r="A1912" s="0" t="s">
        <v>66</v>
      </c>
      <c r="E1912" s="9" t="str">
        <f aca="false">IF(D1912="?OLD","!!!","")</f>
        <v/>
      </c>
      <c r="F1912" s="10" t="str">
        <f aca="false">IF(OR(E1912="",E1912="!!!"),"",IF(NOT(ISNA(VLOOKUP(E1912,E$1:E1911,1,FALSE()))),"OLD",IF(AND(E1912&lt;&gt;"",E1912&lt;&gt;"!!!"),"NEW","")))</f>
        <v/>
      </c>
      <c r="G1912" s="11" t="str">
        <f aca="false">IF(OR(E1912="",E1912="!!!"),"",IF(OR(J1912=0,AND(J1912=1,K1912=1),AND(J1912=1,I1912="SBJ"),AND(J1912=1,I1912=0)),"?IN_FOCUS",IF(J1912&lt;=2,"?ACTIVATED",IF(J1912&lt;&gt;"","?FAMILIAR",IF(F1912="NEW",IF(ISNA(VLOOKUP(E1912,#REF!,1,FALSE())),"?TYPE_IDENTIFIABLE","?REFERENTIAL"),"_")))))</f>
        <v/>
      </c>
      <c r="H1912" s="12" t="str">
        <f aca="false">IF(J1912&lt;&gt;1,"",IF(I1912="SBJ","CB","?"))</f>
        <v/>
      </c>
      <c r="I1912" s="13" t="str">
        <f aca="false">IF(OR(E1912="",E1912="!!!",F1912="NEW"),"",INDEX(B$2:B1911,-1+SUMPRODUCT(MAX(ROW(E$2:E1911)*(E1912=E$2:E1911)))))</f>
        <v/>
      </c>
      <c r="J1912" s="14" t="str">
        <f aca="true">IF(OR(E1912="",E1912="!!!",F1912="NEW"),"",COUNTBLANK(OFFSET(A$1,,,SUMPRODUCT(MAX(ROW(E$2:E1912)*(E1912=E$2:E1912)))))-COUNTBLANK(OFFSET(A$1,,,SUMPRODUCT(MAX(ROW(E$1:E1911)*(E1912=E$1:E1911))))))</f>
        <v/>
      </c>
      <c r="K1912" s="14" t="str">
        <f aca="false">IF(OR(E1912="",E1912="!!!",F1912="NEW"),"",INDEX(J$1:J1911,SUMPRODUCT(MAX(ROW(E$1:E1911)*(E1912=E$1:E1911)))))</f>
        <v/>
      </c>
      <c r="L1912" s="15"/>
    </row>
    <row r="1913" customFormat="false" ht="12.75" hidden="false" customHeight="false" outlineLevel="0" collapsed="false">
      <c r="A1913" s="0" t="s">
        <v>133</v>
      </c>
      <c r="E1913" s="9" t="str">
        <f aca="false">IF(D1913="?OLD","!!!","")</f>
        <v/>
      </c>
      <c r="F1913" s="10" t="str">
        <f aca="false">IF(OR(E1913="",E1913="!!!"),"",IF(NOT(ISNA(VLOOKUP(E1913,E$1:E1912,1,FALSE()))),"OLD",IF(AND(E1913&lt;&gt;"",E1913&lt;&gt;"!!!"),"NEW","")))</f>
        <v/>
      </c>
      <c r="G1913" s="11" t="str">
        <f aca="false">IF(OR(E1913="",E1913="!!!"),"",IF(OR(J1913=0,AND(J1913=1,K1913=1),AND(J1913=1,I1913="SBJ"),AND(J1913=1,I1913=0)),"?IN_FOCUS",IF(J1913&lt;=2,"?ACTIVATED",IF(J1913&lt;&gt;"","?FAMILIAR",IF(F1913="NEW",IF(ISNA(VLOOKUP(E1913,#REF!,1,FALSE())),"?TYPE_IDENTIFIABLE","?REFERENTIAL"),"_")))))</f>
        <v/>
      </c>
      <c r="H1913" s="12" t="str">
        <f aca="false">IF(J1913&lt;&gt;1,"",IF(I1913="SBJ","CB","?"))</f>
        <v/>
      </c>
      <c r="I1913" s="13" t="str">
        <f aca="false">IF(OR(E1913="",E1913="!!!",F1913="NEW"),"",INDEX(B$2:B1912,-1+SUMPRODUCT(MAX(ROW(E$2:E1912)*(E1913=E$2:E1912)))))</f>
        <v/>
      </c>
      <c r="J1913" s="14" t="str">
        <f aca="true">IF(OR(E1913="",E1913="!!!",F1913="NEW"),"",COUNTBLANK(OFFSET(A$1,,,SUMPRODUCT(MAX(ROW(E$2:E1913)*(E1913=E$2:E1913)))))-COUNTBLANK(OFFSET(A$1,,,SUMPRODUCT(MAX(ROW(E$1:E1912)*(E1913=E$1:E1912))))))</f>
        <v/>
      </c>
      <c r="K1913" s="14" t="str">
        <f aca="false">IF(OR(E1913="",E1913="!!!",F1913="NEW"),"",INDEX(J$1:J1912,SUMPRODUCT(MAX(ROW(E$1:E1912)*(E1913=E$1:E1912)))))</f>
        <v/>
      </c>
      <c r="L1913" s="15"/>
    </row>
    <row r="1914" customFormat="false" ht="12.75" hidden="false" customHeight="false" outlineLevel="0" collapsed="false">
      <c r="A1914" s="0" t="s">
        <v>773</v>
      </c>
      <c r="B1914" s="0" t="s">
        <v>103</v>
      </c>
      <c r="C1914" s="0" t="s">
        <v>111</v>
      </c>
      <c r="D1914" s="0" t="s">
        <v>29</v>
      </c>
      <c r="E1914" s="9" t="str">
        <f aca="false">IF(D1914="?OLD","!!!","")</f>
        <v>!!!</v>
      </c>
      <c r="F1914" s="10" t="str">
        <f aca="false">IF(OR(E1914="",E1914="!!!"),"",IF(NOT(ISNA(VLOOKUP(E1914,E$1:E1913,1,FALSE()))),"OLD",IF(AND(E1914&lt;&gt;"",E1914&lt;&gt;"!!!"),"NEW","")))</f>
        <v/>
      </c>
      <c r="G1914" s="11" t="str">
        <f aca="false">IF(OR(E1914="",E1914="!!!"),"",IF(OR(J1914=0,AND(J1914=1,K1914=1),AND(J1914=1,I1914="SBJ"),AND(J1914=1,I1914=0)),"?IN_FOCUS",IF(J1914&lt;=2,"?ACTIVATED",IF(J1914&lt;&gt;"","?FAMILIAR",IF(F1914="NEW",IF(ISNA(VLOOKUP(E1914,#REF!,1,FALSE())),"?TYPE_IDENTIFIABLE","?REFERENTIAL"),"_")))))</f>
        <v/>
      </c>
      <c r="H1914" s="12" t="str">
        <f aca="false">IF(J1914&lt;&gt;1,"",IF(I1914="SBJ","CB","?"))</f>
        <v/>
      </c>
      <c r="I1914" s="13" t="str">
        <f aca="false">IF(OR(E1914="",E1914="!!!",F1914="NEW"),"",INDEX(B$2:B1913,-1+SUMPRODUCT(MAX(ROW(E$2:E1913)*(E1914=E$2:E1913)))))</f>
        <v/>
      </c>
      <c r="J1914" s="14" t="str">
        <f aca="true">IF(OR(E1914="",E1914="!!!",F1914="NEW"),"",COUNTBLANK(OFFSET(A$1,,,SUMPRODUCT(MAX(ROW(E$2:E1914)*(E1914=E$2:E1914)))))-COUNTBLANK(OFFSET(A$1,,,SUMPRODUCT(MAX(ROW(E$1:E1913)*(E1914=E$1:E1913))))))</f>
        <v/>
      </c>
      <c r="K1914" s="14" t="str">
        <f aca="false">IF(OR(E1914="",E1914="!!!",F1914="NEW"),"",INDEX(J$1:J1913,SUMPRODUCT(MAX(ROW(E$1:E1913)*(E1914=E$1:E1913)))))</f>
        <v/>
      </c>
      <c r="L1914" s="15"/>
    </row>
    <row r="1915" customFormat="false" ht="12.75" hidden="false" customHeight="false" outlineLevel="0" collapsed="false">
      <c r="A1915" s="0" t="s">
        <v>435</v>
      </c>
      <c r="E1915" s="9" t="str">
        <f aca="false">IF(D1915="?OLD","!!!","")</f>
        <v/>
      </c>
      <c r="F1915" s="10" t="str">
        <f aca="false">IF(OR(E1915="",E1915="!!!"),"",IF(NOT(ISNA(VLOOKUP(E1915,E$1:E1914,1,FALSE()))),"OLD",IF(AND(E1915&lt;&gt;"",E1915&lt;&gt;"!!!"),"NEW","")))</f>
        <v/>
      </c>
      <c r="G1915" s="11" t="str">
        <f aca="false">IF(OR(E1915="",E1915="!!!"),"",IF(OR(J1915=0,AND(J1915=1,K1915=1),AND(J1915=1,I1915="SBJ"),AND(J1915=1,I1915=0)),"?IN_FOCUS",IF(J1915&lt;=2,"?ACTIVATED",IF(J1915&lt;&gt;"","?FAMILIAR",IF(F1915="NEW",IF(ISNA(VLOOKUP(E1915,#REF!,1,FALSE())),"?TYPE_IDENTIFIABLE","?REFERENTIAL"),"_")))))</f>
        <v/>
      </c>
      <c r="H1915" s="12" t="str">
        <f aca="false">IF(J1915&lt;&gt;1,"",IF(I1915="SBJ","CB","?"))</f>
        <v/>
      </c>
      <c r="I1915" s="13" t="str">
        <f aca="false">IF(OR(E1915="",E1915="!!!",F1915="NEW"),"",INDEX(B$2:B1914,-1+SUMPRODUCT(MAX(ROW(E$2:E1914)*(E1915=E$2:E1914)))))</f>
        <v/>
      </c>
      <c r="J1915" s="14" t="str">
        <f aca="true">IF(OR(E1915="",E1915="!!!",F1915="NEW"),"",COUNTBLANK(OFFSET(A$1,,,SUMPRODUCT(MAX(ROW(E$2:E1915)*(E1915=E$2:E1915)))))-COUNTBLANK(OFFSET(A$1,,,SUMPRODUCT(MAX(ROW(E$1:E1914)*(E1915=E$1:E1914))))))</f>
        <v/>
      </c>
      <c r="K1915" s="14" t="str">
        <f aca="false">IF(OR(E1915="",E1915="!!!",F1915="NEW"),"",INDEX(J$1:J1914,SUMPRODUCT(MAX(ROW(E$1:E1914)*(E1915=E$1:E1914)))))</f>
        <v/>
      </c>
      <c r="L1915" s="15"/>
    </row>
    <row r="1916" customFormat="false" ht="12.75" hidden="false" customHeight="false" outlineLevel="0" collapsed="false">
      <c r="A1916" s="0" t="s">
        <v>142</v>
      </c>
      <c r="B1916" s="0" t="s">
        <v>22</v>
      </c>
      <c r="C1916" s="0" t="s">
        <v>38</v>
      </c>
      <c r="D1916" s="0" t="s">
        <v>29</v>
      </c>
      <c r="E1916" s="9" t="str">
        <f aca="false">IF(D1916="?OLD","!!!","")</f>
        <v>!!!</v>
      </c>
      <c r="F1916" s="10" t="str">
        <f aca="false">IF(OR(E1916="",E1916="!!!"),"",IF(NOT(ISNA(VLOOKUP(E1916,E$1:E1915,1,FALSE()))),"OLD",IF(AND(E1916&lt;&gt;"",E1916&lt;&gt;"!!!"),"NEW","")))</f>
        <v/>
      </c>
      <c r="G1916" s="11" t="str">
        <f aca="false">IF(OR(E1916="",E1916="!!!"),"",IF(OR(J1916=0,AND(J1916=1,K1916=1),AND(J1916=1,I1916="SBJ"),AND(J1916=1,I1916=0)),"?IN_FOCUS",IF(J1916&lt;=2,"?ACTIVATED",IF(J1916&lt;&gt;"","?FAMILIAR",IF(F1916="NEW",IF(ISNA(VLOOKUP(E1916,#REF!,1,FALSE())),"?TYPE_IDENTIFIABLE","?REFERENTIAL"),"_")))))</f>
        <v/>
      </c>
      <c r="H1916" s="12" t="str">
        <f aca="false">IF(J1916&lt;&gt;1,"",IF(I1916="SBJ","CB","?"))</f>
        <v/>
      </c>
      <c r="I1916" s="13" t="str">
        <f aca="false">IF(OR(E1916="",E1916="!!!",F1916="NEW"),"",INDEX(B$2:B1915,-1+SUMPRODUCT(MAX(ROW(E$2:E1915)*(E1916=E$2:E1915)))))</f>
        <v/>
      </c>
      <c r="J1916" s="14" t="str">
        <f aca="true">IF(OR(E1916="",E1916="!!!",F1916="NEW"),"",COUNTBLANK(OFFSET(A$1,,,SUMPRODUCT(MAX(ROW(E$2:E1916)*(E1916=E$2:E1916)))))-COUNTBLANK(OFFSET(A$1,,,SUMPRODUCT(MAX(ROW(E$1:E1915)*(E1916=E$1:E1915))))))</f>
        <v/>
      </c>
      <c r="K1916" s="14" t="str">
        <f aca="false">IF(OR(E1916="",E1916="!!!",F1916="NEW"),"",INDEX(J$1:J1915,SUMPRODUCT(MAX(ROW(E$1:E1915)*(E1916=E$1:E1915)))))</f>
        <v/>
      </c>
      <c r="L1916" s="15"/>
    </row>
    <row r="1917" customFormat="false" ht="12.75" hidden="false" customHeight="false" outlineLevel="0" collapsed="false">
      <c r="A1917" s="0" t="s">
        <v>73</v>
      </c>
      <c r="E1917" s="9" t="str">
        <f aca="false">IF(D1917="?OLD","!!!","")</f>
        <v/>
      </c>
      <c r="F1917" s="10" t="str">
        <f aca="false">IF(OR(E1917="",E1917="!!!"),"",IF(NOT(ISNA(VLOOKUP(E1917,E$1:E1916,1,FALSE()))),"OLD",IF(AND(E1917&lt;&gt;"",E1917&lt;&gt;"!!!"),"NEW","")))</f>
        <v/>
      </c>
      <c r="G1917" s="11" t="str">
        <f aca="false">IF(OR(E1917="",E1917="!!!"),"",IF(OR(J1917=0,AND(J1917=1,K1917=1),AND(J1917=1,I1917="SBJ"),AND(J1917=1,I1917=0)),"?IN_FOCUS",IF(J1917&lt;=2,"?ACTIVATED",IF(J1917&lt;&gt;"","?FAMILIAR",IF(F1917="NEW",IF(ISNA(VLOOKUP(E1917,#REF!,1,FALSE())),"?TYPE_IDENTIFIABLE","?REFERENTIAL"),"_")))))</f>
        <v/>
      </c>
      <c r="H1917" s="12" t="str">
        <f aca="false">IF(J1917&lt;&gt;1,"",IF(I1917="SBJ","CB","?"))</f>
        <v/>
      </c>
      <c r="I1917" s="13" t="str">
        <f aca="false">IF(OR(E1917="",E1917="!!!",F1917="NEW"),"",INDEX(B$2:B1916,-1+SUMPRODUCT(MAX(ROW(E$2:E1916)*(E1917=E$2:E1916)))))</f>
        <v/>
      </c>
      <c r="J1917" s="14" t="str">
        <f aca="true">IF(OR(E1917="",E1917="!!!",F1917="NEW"),"",COUNTBLANK(OFFSET(A$1,,,SUMPRODUCT(MAX(ROW(E$2:E1917)*(E1917=E$2:E1917)))))-COUNTBLANK(OFFSET(A$1,,,SUMPRODUCT(MAX(ROW(E$1:E1916)*(E1917=E$1:E1916))))))</f>
        <v/>
      </c>
      <c r="K1917" s="14" t="str">
        <f aca="false">IF(OR(E1917="",E1917="!!!",F1917="NEW"),"",INDEX(J$1:J1916,SUMPRODUCT(MAX(ROW(E$1:E1916)*(E1917=E$1:E1916)))))</f>
        <v/>
      </c>
      <c r="L1917" s="15"/>
    </row>
    <row r="1918" customFormat="false" ht="12.75" hidden="false" customHeight="false" outlineLevel="0" collapsed="false">
      <c r="E1918" s="9" t="str">
        <f aca="false">IF(D1918="?OLD","!!!","")</f>
        <v/>
      </c>
      <c r="F1918" s="10" t="str">
        <f aca="false">IF(OR(E1918="",E1918="!!!"),"",IF(NOT(ISNA(VLOOKUP(E1918,E$1:E1917,1,FALSE()))),"OLD",IF(AND(E1918&lt;&gt;"",E1918&lt;&gt;"!!!"),"NEW","")))</f>
        <v/>
      </c>
      <c r="G1918" s="11" t="str">
        <f aca="false">IF(OR(E1918="",E1918="!!!"),"",IF(OR(J1918=0,AND(J1918=1,K1918=1),AND(J1918=1,I1918="SBJ"),AND(J1918=1,I1918=0)),"?IN_FOCUS",IF(J1918&lt;=2,"?ACTIVATED",IF(J1918&lt;&gt;"","?FAMILIAR",IF(F1918="NEW",IF(ISNA(VLOOKUP(E1918,#REF!,1,FALSE())),"?TYPE_IDENTIFIABLE","?REFERENTIAL"),"_")))))</f>
        <v/>
      </c>
      <c r="H1918" s="12" t="str">
        <f aca="false">IF(J1918&lt;&gt;1,"",IF(I1918="SBJ","CB","?"))</f>
        <v/>
      </c>
      <c r="I1918" s="13" t="str">
        <f aca="false">IF(OR(E1918="",E1918="!!!",F1918="NEW"),"",INDEX(B$2:B1917,-1+SUMPRODUCT(MAX(ROW(E$2:E1917)*(E1918=E$2:E1917)))))</f>
        <v/>
      </c>
      <c r="J1918" s="14" t="str">
        <f aca="true">IF(OR(E1918="",E1918="!!!",F1918="NEW"),"",COUNTBLANK(OFFSET(A$1,,,SUMPRODUCT(MAX(ROW(E$2:E1918)*(E1918=E$2:E1918)))))-COUNTBLANK(OFFSET(A$1,,,SUMPRODUCT(MAX(ROW(E$1:E1917)*(E1918=E$1:E1917))))))</f>
        <v/>
      </c>
      <c r="K1918" s="14" t="str">
        <f aca="false">IF(OR(E1918="",E1918="!!!",F1918="NEW"),"",INDEX(J$1:J1917,SUMPRODUCT(MAX(ROW(E$1:E1917)*(E1918=E$1:E1917)))))</f>
        <v/>
      </c>
      <c r="L1918" s="15"/>
    </row>
    <row r="1919" customFormat="false" ht="12.75" hidden="false" customHeight="false" outlineLevel="0" collapsed="false">
      <c r="A1919" s="0" t="s">
        <v>774</v>
      </c>
      <c r="E1919" s="9" t="str">
        <f aca="false">IF(D1919="?OLD","!!!","")</f>
        <v/>
      </c>
      <c r="F1919" s="10" t="str">
        <f aca="false">IF(OR(E1919="",E1919="!!!"),"",IF(NOT(ISNA(VLOOKUP(E1919,E$1:E1918,1,FALSE()))),"OLD",IF(AND(E1919&lt;&gt;"",E1919&lt;&gt;"!!!"),"NEW","")))</f>
        <v/>
      </c>
      <c r="G1919" s="11" t="str">
        <f aca="false">IF(OR(E1919="",E1919="!!!"),"",IF(OR(J1919=0,AND(J1919=1,K1919=1),AND(J1919=1,I1919="SBJ"),AND(J1919=1,I1919=0)),"?IN_FOCUS",IF(J1919&lt;=2,"?ACTIVATED",IF(J1919&lt;&gt;"","?FAMILIAR",IF(F1919="NEW",IF(ISNA(VLOOKUP(E1919,#REF!,1,FALSE())),"?TYPE_IDENTIFIABLE","?REFERENTIAL"),"_")))))</f>
        <v/>
      </c>
      <c r="H1919" s="12" t="str">
        <f aca="false">IF(J1919&lt;&gt;1,"",IF(I1919="SBJ","CB","?"))</f>
        <v/>
      </c>
      <c r="I1919" s="13" t="str">
        <f aca="false">IF(OR(E1919="",E1919="!!!",F1919="NEW"),"",INDEX(B$2:B1918,-1+SUMPRODUCT(MAX(ROW(E$2:E1918)*(E1919=E$2:E1918)))))</f>
        <v/>
      </c>
      <c r="J1919" s="14" t="str">
        <f aca="true">IF(OR(E1919="",E1919="!!!",F1919="NEW"),"",COUNTBLANK(OFFSET(A$1,,,SUMPRODUCT(MAX(ROW(E$2:E1919)*(E1919=E$2:E1919)))))-COUNTBLANK(OFFSET(A$1,,,SUMPRODUCT(MAX(ROW(E$1:E1918)*(E1919=E$1:E1918))))))</f>
        <v/>
      </c>
      <c r="K1919" s="14" t="str">
        <f aca="false">IF(OR(E1919="",E1919="!!!",F1919="NEW"),"",INDEX(J$1:J1918,SUMPRODUCT(MAX(ROW(E$1:E1918)*(E1919=E$1:E1918)))))</f>
        <v/>
      </c>
      <c r="L1919" s="15"/>
    </row>
    <row r="1920" customFormat="false" ht="12.75" hidden="false" customHeight="false" outlineLevel="0" collapsed="false">
      <c r="A1920" s="0" t="s">
        <v>275</v>
      </c>
      <c r="E1920" s="9" t="str">
        <f aca="false">IF(D1920="?OLD","!!!","")</f>
        <v/>
      </c>
      <c r="F1920" s="10" t="str">
        <f aca="false">IF(OR(E1920="",E1920="!!!"),"",IF(NOT(ISNA(VLOOKUP(E1920,E$1:E1919,1,FALSE()))),"OLD",IF(AND(E1920&lt;&gt;"",E1920&lt;&gt;"!!!"),"NEW","")))</f>
        <v/>
      </c>
      <c r="G1920" s="11" t="str">
        <f aca="false">IF(OR(E1920="",E1920="!!!"),"",IF(OR(J1920=0,AND(J1920=1,K1920=1),AND(J1920=1,I1920="SBJ"),AND(J1920=1,I1920=0)),"?IN_FOCUS",IF(J1920&lt;=2,"?ACTIVATED",IF(J1920&lt;&gt;"","?FAMILIAR",IF(F1920="NEW",IF(ISNA(VLOOKUP(E1920,#REF!,1,FALSE())),"?TYPE_IDENTIFIABLE","?REFERENTIAL"),"_")))))</f>
        <v/>
      </c>
      <c r="H1920" s="12" t="str">
        <f aca="false">IF(J1920&lt;&gt;1,"",IF(I1920="SBJ","CB","?"))</f>
        <v/>
      </c>
      <c r="I1920" s="13" t="str">
        <f aca="false">IF(OR(E1920="",E1920="!!!",F1920="NEW"),"",INDEX(B$2:B1919,-1+SUMPRODUCT(MAX(ROW(E$2:E1919)*(E1920=E$2:E1919)))))</f>
        <v/>
      </c>
      <c r="J1920" s="14" t="str">
        <f aca="true">IF(OR(E1920="",E1920="!!!",F1920="NEW"),"",COUNTBLANK(OFFSET(A$1,,,SUMPRODUCT(MAX(ROW(E$2:E1920)*(E1920=E$2:E1920)))))-COUNTBLANK(OFFSET(A$1,,,SUMPRODUCT(MAX(ROW(E$1:E1919)*(E1920=E$1:E1919))))))</f>
        <v/>
      </c>
      <c r="K1920" s="14" t="str">
        <f aca="false">IF(OR(E1920="",E1920="!!!",F1920="NEW"),"",INDEX(J$1:J1919,SUMPRODUCT(MAX(ROW(E$1:E1919)*(E1920=E$1:E1919)))))</f>
        <v/>
      </c>
      <c r="L1920" s="15"/>
    </row>
    <row r="1921" customFormat="false" ht="12.75" hidden="false" customHeight="false" outlineLevel="0" collapsed="false">
      <c r="A1921" s="0" t="s">
        <v>46</v>
      </c>
      <c r="B1921" s="0" t="s">
        <v>42</v>
      </c>
      <c r="C1921" s="0" t="s">
        <v>38</v>
      </c>
      <c r="D1921" s="0" t="s">
        <v>29</v>
      </c>
      <c r="E1921" s="9" t="str">
        <f aca="false">IF(D1921="?OLD","!!!","")</f>
        <v>!!!</v>
      </c>
      <c r="F1921" s="10" t="str">
        <f aca="false">IF(OR(E1921="",E1921="!!!"),"",IF(NOT(ISNA(VLOOKUP(E1921,E$1:E1920,1,FALSE()))),"OLD",IF(AND(E1921&lt;&gt;"",E1921&lt;&gt;"!!!"),"NEW","")))</f>
        <v/>
      </c>
      <c r="G1921" s="11" t="str">
        <f aca="false">IF(OR(E1921="",E1921="!!!"),"",IF(OR(J1921=0,AND(J1921=1,K1921=1),AND(J1921=1,I1921="SBJ"),AND(J1921=1,I1921=0)),"?IN_FOCUS",IF(J1921&lt;=2,"?ACTIVATED",IF(J1921&lt;&gt;"","?FAMILIAR",IF(F1921="NEW",IF(ISNA(VLOOKUP(E1921,#REF!,1,FALSE())),"?TYPE_IDENTIFIABLE","?REFERENTIAL"),"_")))))</f>
        <v/>
      </c>
      <c r="H1921" s="12" t="str">
        <f aca="false">IF(J1921&lt;&gt;1,"",IF(I1921="SBJ","CB","?"))</f>
        <v/>
      </c>
      <c r="I1921" s="13" t="str">
        <f aca="false">IF(OR(E1921="",E1921="!!!",F1921="NEW"),"",INDEX(B$2:B1920,-1+SUMPRODUCT(MAX(ROW(E$2:E1920)*(E1921=E$2:E1920)))))</f>
        <v/>
      </c>
      <c r="J1921" s="14" t="str">
        <f aca="true">IF(OR(E1921="",E1921="!!!",F1921="NEW"),"",COUNTBLANK(OFFSET(A$1,,,SUMPRODUCT(MAX(ROW(E$2:E1921)*(E1921=E$2:E1921)))))-COUNTBLANK(OFFSET(A$1,,,SUMPRODUCT(MAX(ROW(E$1:E1920)*(E1921=E$1:E1920))))))</f>
        <v/>
      </c>
      <c r="K1921" s="14" t="str">
        <f aca="false">IF(OR(E1921="",E1921="!!!",F1921="NEW"),"",INDEX(J$1:J1920,SUMPRODUCT(MAX(ROW(E$1:E1920)*(E1921=E$1:E1920)))))</f>
        <v/>
      </c>
      <c r="L1921" s="15"/>
    </row>
    <row r="1922" customFormat="false" ht="12.75" hidden="false" customHeight="false" outlineLevel="0" collapsed="false">
      <c r="A1922" s="0" t="s">
        <v>775</v>
      </c>
      <c r="E1922" s="9" t="str">
        <f aca="false">IF(D1922="?OLD","!!!","")</f>
        <v/>
      </c>
      <c r="F1922" s="10" t="str">
        <f aca="false">IF(OR(E1922="",E1922="!!!"),"",IF(NOT(ISNA(VLOOKUP(E1922,E$1:E1921,1,FALSE()))),"OLD",IF(AND(E1922&lt;&gt;"",E1922&lt;&gt;"!!!"),"NEW","")))</f>
        <v/>
      </c>
      <c r="G1922" s="11" t="str">
        <f aca="false">IF(OR(E1922="",E1922="!!!"),"",IF(OR(J1922=0,AND(J1922=1,K1922=1),AND(J1922=1,I1922="SBJ"),AND(J1922=1,I1922=0)),"?IN_FOCUS",IF(J1922&lt;=2,"?ACTIVATED",IF(J1922&lt;&gt;"","?FAMILIAR",IF(F1922="NEW",IF(ISNA(VLOOKUP(E1922,#REF!,1,FALSE())),"?TYPE_IDENTIFIABLE","?REFERENTIAL"),"_")))))</f>
        <v/>
      </c>
      <c r="H1922" s="12" t="str">
        <f aca="false">IF(J1922&lt;&gt;1,"",IF(I1922="SBJ","CB","?"))</f>
        <v/>
      </c>
      <c r="I1922" s="13" t="str">
        <f aca="false">IF(OR(E1922="",E1922="!!!",F1922="NEW"),"",INDEX(B$2:B1921,-1+SUMPRODUCT(MAX(ROW(E$2:E1921)*(E1922=E$2:E1921)))))</f>
        <v/>
      </c>
      <c r="J1922" s="14" t="str">
        <f aca="true">IF(OR(E1922="",E1922="!!!",F1922="NEW"),"",COUNTBLANK(OFFSET(A$1,,,SUMPRODUCT(MAX(ROW(E$2:E1922)*(E1922=E$2:E1922)))))-COUNTBLANK(OFFSET(A$1,,,SUMPRODUCT(MAX(ROW(E$1:E1921)*(E1922=E$1:E1921))))))</f>
        <v/>
      </c>
      <c r="K1922" s="14" t="str">
        <f aca="false">IF(OR(E1922="",E1922="!!!",F1922="NEW"),"",INDEX(J$1:J1921,SUMPRODUCT(MAX(ROW(E$1:E1921)*(E1922=E$1:E1921)))))</f>
        <v/>
      </c>
      <c r="L1922" s="15"/>
    </row>
    <row r="1923" customFormat="false" ht="12.75" hidden="false" customHeight="false" outlineLevel="0" collapsed="false">
      <c r="A1923" s="0" t="s">
        <v>46</v>
      </c>
      <c r="B1923" s="0" t="s">
        <v>14</v>
      </c>
      <c r="C1923" s="0" t="s">
        <v>38</v>
      </c>
      <c r="D1923" s="0" t="s">
        <v>29</v>
      </c>
      <c r="E1923" s="9" t="str">
        <f aca="false">IF(D1923="?OLD","!!!","")</f>
        <v>!!!</v>
      </c>
      <c r="F1923" s="10" t="str">
        <f aca="false">IF(OR(E1923="",E1923="!!!"),"",IF(NOT(ISNA(VLOOKUP(E1923,E$1:E1922,1,FALSE()))),"OLD",IF(AND(E1923&lt;&gt;"",E1923&lt;&gt;"!!!"),"NEW","")))</f>
        <v/>
      </c>
      <c r="G1923" s="11" t="str">
        <f aca="false">IF(OR(E1923="",E1923="!!!"),"",IF(OR(J1923=0,AND(J1923=1,K1923=1),AND(J1923=1,I1923="SBJ"),AND(J1923=1,I1923=0)),"?IN_FOCUS",IF(J1923&lt;=2,"?ACTIVATED",IF(J1923&lt;&gt;"","?FAMILIAR",IF(F1923="NEW",IF(ISNA(VLOOKUP(E1923,#REF!,1,FALSE())),"?TYPE_IDENTIFIABLE","?REFERENTIAL"),"_")))))</f>
        <v/>
      </c>
      <c r="H1923" s="12" t="str">
        <f aca="false">IF(J1923&lt;&gt;1,"",IF(I1923="SBJ","CB","?"))</f>
        <v/>
      </c>
      <c r="I1923" s="13" t="str">
        <f aca="false">IF(OR(E1923="",E1923="!!!",F1923="NEW"),"",INDEX(B$2:B1922,-1+SUMPRODUCT(MAX(ROW(E$2:E1922)*(E1923=E$2:E1922)))))</f>
        <v/>
      </c>
      <c r="J1923" s="14" t="str">
        <f aca="true">IF(OR(E1923="",E1923="!!!",F1923="NEW"),"",COUNTBLANK(OFFSET(A$1,,,SUMPRODUCT(MAX(ROW(E$2:E1923)*(E1923=E$2:E1923)))))-COUNTBLANK(OFFSET(A$1,,,SUMPRODUCT(MAX(ROW(E$1:E1922)*(E1923=E$1:E1922))))))</f>
        <v/>
      </c>
      <c r="K1923" s="14" t="str">
        <f aca="false">IF(OR(E1923="",E1923="!!!",F1923="NEW"),"",INDEX(J$1:J1922,SUMPRODUCT(MAX(ROW(E$1:E1922)*(E1923=E$1:E1922)))))</f>
        <v/>
      </c>
      <c r="L1923" s="15"/>
    </row>
    <row r="1924" customFormat="false" ht="12.75" hidden="false" customHeight="false" outlineLevel="0" collapsed="false">
      <c r="A1924" s="0" t="s">
        <v>776</v>
      </c>
      <c r="E1924" s="9" t="str">
        <f aca="false">IF(D1924="?OLD","!!!","")</f>
        <v/>
      </c>
      <c r="F1924" s="10" t="str">
        <f aca="false">IF(OR(E1924="",E1924="!!!"),"",IF(NOT(ISNA(VLOOKUP(E1924,E$1:E1923,1,FALSE()))),"OLD",IF(AND(E1924&lt;&gt;"",E1924&lt;&gt;"!!!"),"NEW","")))</f>
        <v/>
      </c>
      <c r="G1924" s="11" t="str">
        <f aca="false">IF(OR(E1924="",E1924="!!!"),"",IF(OR(J1924=0,AND(J1924=1,K1924=1),AND(J1924=1,I1924="SBJ"),AND(J1924=1,I1924=0)),"?IN_FOCUS",IF(J1924&lt;=2,"?ACTIVATED",IF(J1924&lt;&gt;"","?FAMILIAR",IF(F1924="NEW",IF(ISNA(VLOOKUP(E1924,#REF!,1,FALSE())),"?TYPE_IDENTIFIABLE","?REFERENTIAL"),"_")))))</f>
        <v/>
      </c>
      <c r="H1924" s="12" t="str">
        <f aca="false">IF(J1924&lt;&gt;1,"",IF(I1924="SBJ","CB","?"))</f>
        <v/>
      </c>
      <c r="I1924" s="13" t="str">
        <f aca="false">IF(OR(E1924="",E1924="!!!",F1924="NEW"),"",INDEX(B$2:B1923,-1+SUMPRODUCT(MAX(ROW(E$2:E1923)*(E1924=E$2:E1923)))))</f>
        <v/>
      </c>
      <c r="J1924" s="14" t="str">
        <f aca="true">IF(OR(E1924="",E1924="!!!",F1924="NEW"),"",COUNTBLANK(OFFSET(A$1,,,SUMPRODUCT(MAX(ROW(E$2:E1924)*(E1924=E$2:E1924)))))-COUNTBLANK(OFFSET(A$1,,,SUMPRODUCT(MAX(ROW(E$1:E1923)*(E1924=E$1:E1923))))))</f>
        <v/>
      </c>
      <c r="K1924" s="14" t="str">
        <f aca="false">IF(OR(E1924="",E1924="!!!",F1924="NEW"),"",INDEX(J$1:J1923,SUMPRODUCT(MAX(ROW(E$1:E1923)*(E1924=E$1:E1923)))))</f>
        <v/>
      </c>
      <c r="L1924" s="15"/>
    </row>
    <row r="1925" customFormat="false" ht="12.75" hidden="false" customHeight="false" outlineLevel="0" collapsed="false">
      <c r="A1925" s="0" t="s">
        <v>777</v>
      </c>
      <c r="E1925" s="9" t="str">
        <f aca="false">IF(D1925="?OLD","!!!","")</f>
        <v/>
      </c>
      <c r="F1925" s="10" t="str">
        <f aca="false">IF(OR(E1925="",E1925="!!!"),"",IF(NOT(ISNA(VLOOKUP(E1925,E$1:E1924,1,FALSE()))),"OLD",IF(AND(E1925&lt;&gt;"",E1925&lt;&gt;"!!!"),"NEW","")))</f>
        <v/>
      </c>
      <c r="G1925" s="11" t="str">
        <f aca="false">IF(OR(E1925="",E1925="!!!"),"",IF(OR(J1925=0,AND(J1925=1,K1925=1),AND(J1925=1,I1925="SBJ"),AND(J1925=1,I1925=0)),"?IN_FOCUS",IF(J1925&lt;=2,"?ACTIVATED",IF(J1925&lt;&gt;"","?FAMILIAR",IF(F1925="NEW",IF(ISNA(VLOOKUP(E1925,#REF!,1,FALSE())),"?TYPE_IDENTIFIABLE","?REFERENTIAL"),"_")))))</f>
        <v/>
      </c>
      <c r="H1925" s="12" t="str">
        <f aca="false">IF(J1925&lt;&gt;1,"",IF(I1925="SBJ","CB","?"))</f>
        <v/>
      </c>
      <c r="I1925" s="13" t="str">
        <f aca="false">IF(OR(E1925="",E1925="!!!",F1925="NEW"),"",INDEX(B$2:B1924,-1+SUMPRODUCT(MAX(ROW(E$2:E1924)*(E1925=E$2:E1924)))))</f>
        <v/>
      </c>
      <c r="J1925" s="14" t="str">
        <f aca="true">IF(OR(E1925="",E1925="!!!",F1925="NEW"),"",COUNTBLANK(OFFSET(A$1,,,SUMPRODUCT(MAX(ROW(E$2:E1925)*(E1925=E$2:E1925)))))-COUNTBLANK(OFFSET(A$1,,,SUMPRODUCT(MAX(ROW(E$1:E1924)*(E1925=E$1:E1924))))))</f>
        <v/>
      </c>
      <c r="K1925" s="14" t="str">
        <f aca="false">IF(OR(E1925="",E1925="!!!",F1925="NEW"),"",INDEX(J$1:J1924,SUMPRODUCT(MAX(ROW(E$1:E1924)*(E1925=E$1:E1924)))))</f>
        <v/>
      </c>
      <c r="L1925" s="15"/>
    </row>
    <row r="1926" customFormat="false" ht="12.75" hidden="false" customHeight="false" outlineLevel="0" collapsed="false">
      <c r="A1926" s="0" t="s">
        <v>332</v>
      </c>
      <c r="E1926" s="9" t="str">
        <f aca="false">IF(D1926="?OLD","!!!","")</f>
        <v/>
      </c>
      <c r="F1926" s="10" t="str">
        <f aca="false">IF(OR(E1926="",E1926="!!!"),"",IF(NOT(ISNA(VLOOKUP(E1926,E$1:E1925,1,FALSE()))),"OLD",IF(AND(E1926&lt;&gt;"",E1926&lt;&gt;"!!!"),"NEW","")))</f>
        <v/>
      </c>
      <c r="G1926" s="11" t="str">
        <f aca="false">IF(OR(E1926="",E1926="!!!"),"",IF(OR(J1926=0,AND(J1926=1,K1926=1),AND(J1926=1,I1926="SBJ"),AND(J1926=1,I1926=0)),"?IN_FOCUS",IF(J1926&lt;=2,"?ACTIVATED",IF(J1926&lt;&gt;"","?FAMILIAR",IF(F1926="NEW",IF(ISNA(VLOOKUP(E1926,#REF!,1,FALSE())),"?TYPE_IDENTIFIABLE","?REFERENTIAL"),"_")))))</f>
        <v/>
      </c>
      <c r="H1926" s="12" t="str">
        <f aca="false">IF(J1926&lt;&gt;1,"",IF(I1926="SBJ","CB","?"))</f>
        <v/>
      </c>
      <c r="I1926" s="13" t="str">
        <f aca="false">IF(OR(E1926="",E1926="!!!",F1926="NEW"),"",INDEX(B$2:B1925,-1+SUMPRODUCT(MAX(ROW(E$2:E1925)*(E1926=E$2:E1925)))))</f>
        <v/>
      </c>
      <c r="J1926" s="14" t="str">
        <f aca="true">IF(OR(E1926="",E1926="!!!",F1926="NEW"),"",COUNTBLANK(OFFSET(A$1,,,SUMPRODUCT(MAX(ROW(E$2:E1926)*(E1926=E$2:E1926)))))-COUNTBLANK(OFFSET(A$1,,,SUMPRODUCT(MAX(ROW(E$1:E1925)*(E1926=E$1:E1925))))))</f>
        <v/>
      </c>
      <c r="K1926" s="14" t="str">
        <f aca="false">IF(OR(E1926="",E1926="!!!",F1926="NEW"),"",INDEX(J$1:J1925,SUMPRODUCT(MAX(ROW(E$1:E1925)*(E1926=E$1:E1925)))))</f>
        <v/>
      </c>
      <c r="L1926" s="15"/>
    </row>
    <row r="1927" customFormat="false" ht="12.75" hidden="false" customHeight="false" outlineLevel="0" collapsed="false">
      <c r="A1927" s="0" t="s">
        <v>184</v>
      </c>
      <c r="E1927" s="9" t="str">
        <f aca="false">IF(D1927="?OLD","!!!","")</f>
        <v/>
      </c>
      <c r="F1927" s="10" t="str">
        <f aca="false">IF(OR(E1927="",E1927="!!!"),"",IF(NOT(ISNA(VLOOKUP(E1927,E$1:E1926,1,FALSE()))),"OLD",IF(AND(E1927&lt;&gt;"",E1927&lt;&gt;"!!!"),"NEW","")))</f>
        <v/>
      </c>
      <c r="G1927" s="11" t="str">
        <f aca="false">IF(OR(E1927="",E1927="!!!"),"",IF(OR(J1927=0,AND(J1927=1,K1927=1),AND(J1927=1,I1927="SBJ"),AND(J1927=1,I1927=0)),"?IN_FOCUS",IF(J1927&lt;=2,"?ACTIVATED",IF(J1927&lt;&gt;"","?FAMILIAR",IF(F1927="NEW",IF(ISNA(VLOOKUP(E1927,#REF!,1,FALSE())),"?TYPE_IDENTIFIABLE","?REFERENTIAL"),"_")))))</f>
        <v/>
      </c>
      <c r="H1927" s="12" t="str">
        <f aca="false">IF(J1927&lt;&gt;1,"",IF(I1927="SBJ","CB","?"))</f>
        <v/>
      </c>
      <c r="I1927" s="13" t="str">
        <f aca="false">IF(OR(E1927="",E1927="!!!",F1927="NEW"),"",INDEX(B$2:B1926,-1+SUMPRODUCT(MAX(ROW(E$2:E1926)*(E1927=E$2:E1926)))))</f>
        <v/>
      </c>
      <c r="J1927" s="14" t="str">
        <f aca="true">IF(OR(E1927="",E1927="!!!",F1927="NEW"),"",COUNTBLANK(OFFSET(A$1,,,SUMPRODUCT(MAX(ROW(E$2:E1927)*(E1927=E$2:E1927)))))-COUNTBLANK(OFFSET(A$1,,,SUMPRODUCT(MAX(ROW(E$1:E1926)*(E1927=E$1:E1926))))))</f>
        <v/>
      </c>
      <c r="K1927" s="14" t="str">
        <f aca="false">IF(OR(E1927="",E1927="!!!",F1927="NEW"),"",INDEX(J$1:J1926,SUMPRODUCT(MAX(ROW(E$1:E1926)*(E1927=E$1:E1926)))))</f>
        <v/>
      </c>
      <c r="L1927" s="15"/>
    </row>
    <row r="1928" customFormat="false" ht="12.75" hidden="false" customHeight="false" outlineLevel="0" collapsed="false">
      <c r="A1928" s="0" t="s">
        <v>778</v>
      </c>
      <c r="B1928" s="0" t="s">
        <v>62</v>
      </c>
      <c r="C1928" s="0" t="s">
        <v>186</v>
      </c>
      <c r="E1928" s="9" t="str">
        <f aca="false">IF(D1928="?OLD","!!!","")</f>
        <v/>
      </c>
      <c r="F1928" s="10" t="str">
        <f aca="false">IF(OR(E1928="",E1928="!!!"),"",IF(NOT(ISNA(VLOOKUP(E1928,E$1:E1927,1,FALSE()))),"OLD",IF(AND(E1928&lt;&gt;"",E1928&lt;&gt;"!!!"),"NEW","")))</f>
        <v/>
      </c>
      <c r="G1928" s="11" t="str">
        <f aca="false">IF(OR(E1928="",E1928="!!!"),"",IF(OR(J1928=0,AND(J1928=1,K1928=1),AND(J1928=1,I1928="SBJ"),AND(J1928=1,I1928=0)),"?IN_FOCUS",IF(J1928&lt;=2,"?ACTIVATED",IF(J1928&lt;&gt;"","?FAMILIAR",IF(F1928="NEW",IF(ISNA(VLOOKUP(E1928,#REF!,1,FALSE())),"?TYPE_IDENTIFIABLE","?REFERENTIAL"),"_")))))</f>
        <v/>
      </c>
      <c r="H1928" s="12" t="str">
        <f aca="false">IF(J1928&lt;&gt;1,"",IF(I1928="SBJ","CB","?"))</f>
        <v/>
      </c>
      <c r="I1928" s="13" t="str">
        <f aca="false">IF(OR(E1928="",E1928="!!!",F1928="NEW"),"",INDEX(B$2:B1927,-1+SUMPRODUCT(MAX(ROW(E$2:E1927)*(E1928=E$2:E1927)))))</f>
        <v/>
      </c>
      <c r="J1928" s="14" t="str">
        <f aca="true">IF(OR(E1928="",E1928="!!!",F1928="NEW"),"",COUNTBLANK(OFFSET(A$1,,,SUMPRODUCT(MAX(ROW(E$2:E1928)*(E1928=E$2:E1928)))))-COUNTBLANK(OFFSET(A$1,,,SUMPRODUCT(MAX(ROW(E$1:E1927)*(E1928=E$1:E1927))))))</f>
        <v/>
      </c>
      <c r="K1928" s="14" t="str">
        <f aca="false">IF(OR(E1928="",E1928="!!!",F1928="NEW"),"",INDEX(J$1:J1927,SUMPRODUCT(MAX(ROW(E$1:E1927)*(E1928=E$1:E1927)))))</f>
        <v/>
      </c>
      <c r="L1928" s="15"/>
    </row>
    <row r="1929" customFormat="false" ht="12.75" hidden="false" customHeight="false" outlineLevel="0" collapsed="false">
      <c r="A1929" s="0" t="s">
        <v>31</v>
      </c>
      <c r="E1929" s="9" t="str">
        <f aca="false">IF(D1929="?OLD","!!!","")</f>
        <v/>
      </c>
      <c r="F1929" s="10" t="str">
        <f aca="false">IF(OR(E1929="",E1929="!!!"),"",IF(NOT(ISNA(VLOOKUP(E1929,E$1:E1928,1,FALSE()))),"OLD",IF(AND(E1929&lt;&gt;"",E1929&lt;&gt;"!!!"),"NEW","")))</f>
        <v/>
      </c>
      <c r="G1929" s="11" t="str">
        <f aca="false">IF(OR(E1929="",E1929="!!!"),"",IF(OR(J1929=0,AND(J1929=1,K1929=1),AND(J1929=1,I1929="SBJ"),AND(J1929=1,I1929=0)),"?IN_FOCUS",IF(J1929&lt;=2,"?ACTIVATED",IF(J1929&lt;&gt;"","?FAMILIAR",IF(F1929="NEW",IF(ISNA(VLOOKUP(E1929,#REF!,1,FALSE())),"?TYPE_IDENTIFIABLE","?REFERENTIAL"),"_")))))</f>
        <v/>
      </c>
      <c r="H1929" s="12" t="str">
        <f aca="false">IF(J1929&lt;&gt;1,"",IF(I1929="SBJ","CB","?"))</f>
        <v/>
      </c>
      <c r="I1929" s="13" t="str">
        <f aca="false">IF(OR(E1929="",E1929="!!!",F1929="NEW"),"",INDEX(B$2:B1928,-1+SUMPRODUCT(MAX(ROW(E$2:E1928)*(E1929=E$2:E1928)))))</f>
        <v/>
      </c>
      <c r="J1929" s="14" t="str">
        <f aca="true">IF(OR(E1929="",E1929="!!!",F1929="NEW"),"",COUNTBLANK(OFFSET(A$1,,,SUMPRODUCT(MAX(ROW(E$2:E1929)*(E1929=E$2:E1929)))))-COUNTBLANK(OFFSET(A$1,,,SUMPRODUCT(MAX(ROW(E$1:E1928)*(E1929=E$1:E1928))))))</f>
        <v/>
      </c>
      <c r="K1929" s="14" t="str">
        <f aca="false">IF(OR(E1929="",E1929="!!!",F1929="NEW"),"",INDEX(J$1:J1928,SUMPRODUCT(MAX(ROW(E$1:E1928)*(E1929=E$1:E1928)))))</f>
        <v/>
      </c>
      <c r="L1929" s="15"/>
    </row>
    <row r="1930" customFormat="false" ht="12.75" hidden="false" customHeight="false" outlineLevel="0" collapsed="false">
      <c r="A1930" s="0" t="s">
        <v>565</v>
      </c>
      <c r="E1930" s="9" t="str">
        <f aca="false">IF(D1930="?OLD","!!!","")</f>
        <v/>
      </c>
      <c r="F1930" s="10" t="str">
        <f aca="false">IF(OR(E1930="",E1930="!!!"),"",IF(NOT(ISNA(VLOOKUP(E1930,E$1:E1929,1,FALSE()))),"OLD",IF(AND(E1930&lt;&gt;"",E1930&lt;&gt;"!!!"),"NEW","")))</f>
        <v/>
      </c>
      <c r="G1930" s="11" t="str">
        <f aca="false">IF(OR(E1930="",E1930="!!!"),"",IF(OR(J1930=0,AND(J1930=1,K1930=1),AND(J1930=1,I1930="SBJ"),AND(J1930=1,I1930=0)),"?IN_FOCUS",IF(J1930&lt;=2,"?ACTIVATED",IF(J1930&lt;&gt;"","?FAMILIAR",IF(F1930="NEW",IF(ISNA(VLOOKUP(E1930,#REF!,1,FALSE())),"?TYPE_IDENTIFIABLE","?REFERENTIAL"),"_")))))</f>
        <v/>
      </c>
      <c r="H1930" s="12" t="str">
        <f aca="false">IF(J1930&lt;&gt;1,"",IF(I1930="SBJ","CB","?"))</f>
        <v/>
      </c>
      <c r="I1930" s="13" t="str">
        <f aca="false">IF(OR(E1930="",E1930="!!!",F1930="NEW"),"",INDEX(B$2:B1929,-1+SUMPRODUCT(MAX(ROW(E$2:E1929)*(E1930=E$2:E1929)))))</f>
        <v/>
      </c>
      <c r="J1930" s="14" t="str">
        <f aca="true">IF(OR(E1930="",E1930="!!!",F1930="NEW"),"",COUNTBLANK(OFFSET(A$1,,,SUMPRODUCT(MAX(ROW(E$2:E1930)*(E1930=E$2:E1930)))))-COUNTBLANK(OFFSET(A$1,,,SUMPRODUCT(MAX(ROW(E$1:E1929)*(E1930=E$1:E1929))))))</f>
        <v/>
      </c>
      <c r="K1930" s="14" t="str">
        <f aca="false">IF(OR(E1930="",E1930="!!!",F1930="NEW"),"",INDEX(J$1:J1929,SUMPRODUCT(MAX(ROW(E$1:E1929)*(E1930=E$1:E1929)))))</f>
        <v/>
      </c>
      <c r="L1930" s="15"/>
    </row>
    <row r="1931" customFormat="false" ht="12.75" hidden="false" customHeight="false" outlineLevel="0" collapsed="false">
      <c r="A1931" s="0" t="s">
        <v>40</v>
      </c>
      <c r="E1931" s="9" t="str">
        <f aca="false">IF(D1931="?OLD","!!!","")</f>
        <v/>
      </c>
      <c r="F1931" s="10" t="str">
        <f aca="false">IF(OR(E1931="",E1931="!!!"),"",IF(NOT(ISNA(VLOOKUP(E1931,E$1:E1930,1,FALSE()))),"OLD",IF(AND(E1931&lt;&gt;"",E1931&lt;&gt;"!!!"),"NEW","")))</f>
        <v/>
      </c>
      <c r="G1931" s="11" t="str">
        <f aca="false">IF(OR(E1931="",E1931="!!!"),"",IF(OR(J1931=0,AND(J1931=1,K1931=1),AND(J1931=1,I1931="SBJ"),AND(J1931=1,I1931=0)),"?IN_FOCUS",IF(J1931&lt;=2,"?ACTIVATED",IF(J1931&lt;&gt;"","?FAMILIAR",IF(F1931="NEW",IF(ISNA(VLOOKUP(E1931,#REF!,1,FALSE())),"?TYPE_IDENTIFIABLE","?REFERENTIAL"),"_")))))</f>
        <v/>
      </c>
      <c r="H1931" s="12" t="str">
        <f aca="false">IF(J1931&lt;&gt;1,"",IF(I1931="SBJ","CB","?"))</f>
        <v/>
      </c>
      <c r="I1931" s="13" t="str">
        <f aca="false">IF(OR(E1931="",E1931="!!!",F1931="NEW"),"",INDEX(B$2:B1930,-1+SUMPRODUCT(MAX(ROW(E$2:E1930)*(E1931=E$2:E1930)))))</f>
        <v/>
      </c>
      <c r="J1931" s="14" t="str">
        <f aca="true">IF(OR(E1931="",E1931="!!!",F1931="NEW"),"",COUNTBLANK(OFFSET(A$1,,,SUMPRODUCT(MAX(ROW(E$2:E1931)*(E1931=E$2:E1931)))))-COUNTBLANK(OFFSET(A$1,,,SUMPRODUCT(MAX(ROW(E$1:E1930)*(E1931=E$1:E1930))))))</f>
        <v/>
      </c>
      <c r="K1931" s="14" t="str">
        <f aca="false">IF(OR(E1931="",E1931="!!!",F1931="NEW"),"",INDEX(J$1:J1930,SUMPRODUCT(MAX(ROW(E$1:E1930)*(E1931=E$1:E1930)))))</f>
        <v/>
      </c>
      <c r="L1931" s="15"/>
    </row>
    <row r="1932" customFormat="false" ht="12.75" hidden="false" customHeight="false" outlineLevel="0" collapsed="false">
      <c r="A1932" s="0" t="s">
        <v>763</v>
      </c>
      <c r="B1932" s="0" t="s">
        <v>28</v>
      </c>
      <c r="C1932" s="0" t="s">
        <v>43</v>
      </c>
      <c r="E1932" s="9" t="str">
        <f aca="false">IF(D1932="?OLD","!!!","")</f>
        <v/>
      </c>
      <c r="F1932" s="10" t="str">
        <f aca="false">IF(OR(E1932="",E1932="!!!"),"",IF(NOT(ISNA(VLOOKUP(E1932,E$1:E1931,1,FALSE()))),"OLD",IF(AND(E1932&lt;&gt;"",E1932&lt;&gt;"!!!"),"NEW","")))</f>
        <v/>
      </c>
      <c r="G1932" s="11" t="str">
        <f aca="false">IF(OR(E1932="",E1932="!!!"),"",IF(OR(J1932=0,AND(J1932=1,K1932=1),AND(J1932=1,I1932="SBJ"),AND(J1932=1,I1932=0)),"?IN_FOCUS",IF(J1932&lt;=2,"?ACTIVATED",IF(J1932&lt;&gt;"","?FAMILIAR",IF(F1932="NEW",IF(ISNA(VLOOKUP(E1932,#REF!,1,FALSE())),"?TYPE_IDENTIFIABLE","?REFERENTIAL"),"_")))))</f>
        <v/>
      </c>
      <c r="H1932" s="12" t="str">
        <f aca="false">IF(J1932&lt;&gt;1,"",IF(I1932="SBJ","CB","?"))</f>
        <v/>
      </c>
      <c r="I1932" s="13" t="str">
        <f aca="false">IF(OR(E1932="",E1932="!!!",F1932="NEW"),"",INDEX(B$2:B1931,-1+SUMPRODUCT(MAX(ROW(E$2:E1931)*(E1932=E$2:E1931)))))</f>
        <v/>
      </c>
      <c r="J1932" s="14" t="str">
        <f aca="true">IF(OR(E1932="",E1932="!!!",F1932="NEW"),"",COUNTBLANK(OFFSET(A$1,,,SUMPRODUCT(MAX(ROW(E$2:E1932)*(E1932=E$2:E1932)))))-COUNTBLANK(OFFSET(A$1,,,SUMPRODUCT(MAX(ROW(E$1:E1931)*(E1932=E$1:E1931))))))</f>
        <v/>
      </c>
      <c r="K1932" s="14" t="str">
        <f aca="false">IF(OR(E1932="",E1932="!!!",F1932="NEW"),"",INDEX(J$1:J1931,SUMPRODUCT(MAX(ROW(E$1:E1931)*(E1932=E$1:E1931)))))</f>
        <v/>
      </c>
      <c r="L1932" s="15"/>
    </row>
    <row r="1933" customFormat="false" ht="12.75" hidden="false" customHeight="false" outlineLevel="0" collapsed="false">
      <c r="A1933" s="0" t="s">
        <v>93</v>
      </c>
      <c r="B1933" s="0" t="s">
        <v>157</v>
      </c>
      <c r="E1933" s="9" t="str">
        <f aca="false">IF(D1933="?OLD","!!!","")</f>
        <v/>
      </c>
      <c r="F1933" s="10" t="str">
        <f aca="false">IF(OR(E1933="",E1933="!!!"),"",IF(NOT(ISNA(VLOOKUP(E1933,E$1:E1932,1,FALSE()))),"OLD",IF(AND(E1933&lt;&gt;"",E1933&lt;&gt;"!!!"),"NEW","")))</f>
        <v/>
      </c>
      <c r="G1933" s="11" t="str">
        <f aca="false">IF(OR(E1933="",E1933="!!!"),"",IF(OR(J1933=0,AND(J1933=1,K1933=1),AND(J1933=1,I1933="SBJ"),AND(J1933=1,I1933=0)),"?IN_FOCUS",IF(J1933&lt;=2,"?ACTIVATED",IF(J1933&lt;&gt;"","?FAMILIAR",IF(F1933="NEW",IF(ISNA(VLOOKUP(E1933,#REF!,1,FALSE())),"?TYPE_IDENTIFIABLE","?REFERENTIAL"),"_")))))</f>
        <v/>
      </c>
      <c r="H1933" s="12" t="str">
        <f aca="false">IF(J1933&lt;&gt;1,"",IF(I1933="SBJ","CB","?"))</f>
        <v/>
      </c>
      <c r="I1933" s="13" t="str">
        <f aca="false">IF(OR(E1933="",E1933="!!!",F1933="NEW"),"",INDEX(B$2:B1932,-1+SUMPRODUCT(MAX(ROW(E$2:E1932)*(E1933=E$2:E1932)))))</f>
        <v/>
      </c>
      <c r="J1933" s="14" t="str">
        <f aca="true">IF(OR(E1933="",E1933="!!!",F1933="NEW"),"",COUNTBLANK(OFFSET(A$1,,,SUMPRODUCT(MAX(ROW(E$2:E1933)*(E1933=E$2:E1933)))))-COUNTBLANK(OFFSET(A$1,,,SUMPRODUCT(MAX(ROW(E$1:E1932)*(E1933=E$1:E1932))))))</f>
        <v/>
      </c>
      <c r="K1933" s="14" t="str">
        <f aca="false">IF(OR(E1933="",E1933="!!!",F1933="NEW"),"",INDEX(J$1:J1932,SUMPRODUCT(MAX(ROW(E$1:E1932)*(E1933=E$1:E1932)))))</f>
        <v/>
      </c>
      <c r="L1933" s="15"/>
    </row>
    <row r="1934" customFormat="false" ht="12.75" hidden="false" customHeight="false" outlineLevel="0" collapsed="false">
      <c r="A1934" s="0" t="s">
        <v>343</v>
      </c>
      <c r="E1934" s="9" t="str">
        <f aca="false">IF(D1934="?OLD","!!!","")</f>
        <v/>
      </c>
      <c r="F1934" s="10" t="str">
        <f aca="false">IF(OR(E1934="",E1934="!!!"),"",IF(NOT(ISNA(VLOOKUP(E1934,E$1:E1933,1,FALSE()))),"OLD",IF(AND(E1934&lt;&gt;"",E1934&lt;&gt;"!!!"),"NEW","")))</f>
        <v/>
      </c>
      <c r="G1934" s="11" t="str">
        <f aca="false">IF(OR(E1934="",E1934="!!!"),"",IF(OR(J1934=0,AND(J1934=1,K1934=1),AND(J1934=1,I1934="SBJ"),AND(J1934=1,I1934=0)),"?IN_FOCUS",IF(J1934&lt;=2,"?ACTIVATED",IF(J1934&lt;&gt;"","?FAMILIAR",IF(F1934="NEW",IF(ISNA(VLOOKUP(E1934,#REF!,1,FALSE())),"?TYPE_IDENTIFIABLE","?REFERENTIAL"),"_")))))</f>
        <v/>
      </c>
      <c r="H1934" s="12" t="str">
        <f aca="false">IF(J1934&lt;&gt;1,"",IF(I1934="SBJ","CB","?"))</f>
        <v/>
      </c>
      <c r="I1934" s="13" t="str">
        <f aca="false">IF(OR(E1934="",E1934="!!!",F1934="NEW"),"",INDEX(B$2:B1933,-1+SUMPRODUCT(MAX(ROW(E$2:E1933)*(E1934=E$2:E1933)))))</f>
        <v/>
      </c>
      <c r="J1934" s="14" t="str">
        <f aca="true">IF(OR(E1934="",E1934="!!!",F1934="NEW"),"",COUNTBLANK(OFFSET(A$1,,,SUMPRODUCT(MAX(ROW(E$2:E1934)*(E1934=E$2:E1934)))))-COUNTBLANK(OFFSET(A$1,,,SUMPRODUCT(MAX(ROW(E$1:E1933)*(E1934=E$1:E1933))))))</f>
        <v/>
      </c>
      <c r="K1934" s="14" t="str">
        <f aca="false">IF(OR(E1934="",E1934="!!!",F1934="NEW"),"",INDEX(J$1:J1933,SUMPRODUCT(MAX(ROW(E$1:E1933)*(E1934=E$1:E1933)))))</f>
        <v/>
      </c>
      <c r="L1934" s="15"/>
    </row>
    <row r="1935" customFormat="false" ht="12.75" hidden="false" customHeight="false" outlineLevel="0" collapsed="false">
      <c r="A1935" s="0" t="s">
        <v>483</v>
      </c>
      <c r="E1935" s="9" t="str">
        <f aca="false">IF(D1935="?OLD","!!!","")</f>
        <v/>
      </c>
      <c r="F1935" s="10" t="str">
        <f aca="false">IF(OR(E1935="",E1935="!!!"),"",IF(NOT(ISNA(VLOOKUP(E1935,E$1:E1934,1,FALSE()))),"OLD",IF(AND(E1935&lt;&gt;"",E1935&lt;&gt;"!!!"),"NEW","")))</f>
        <v/>
      </c>
      <c r="G1935" s="11" t="str">
        <f aca="false">IF(OR(E1935="",E1935="!!!"),"",IF(OR(J1935=0,AND(J1935=1,K1935=1),AND(J1935=1,I1935="SBJ"),AND(J1935=1,I1935=0)),"?IN_FOCUS",IF(J1935&lt;=2,"?ACTIVATED",IF(J1935&lt;&gt;"","?FAMILIAR",IF(F1935="NEW",IF(ISNA(VLOOKUP(E1935,#REF!,1,FALSE())),"?TYPE_IDENTIFIABLE","?REFERENTIAL"),"_")))))</f>
        <v/>
      </c>
      <c r="H1935" s="12" t="str">
        <f aca="false">IF(J1935&lt;&gt;1,"",IF(I1935="SBJ","CB","?"))</f>
        <v/>
      </c>
      <c r="I1935" s="13" t="str">
        <f aca="false">IF(OR(E1935="",E1935="!!!",F1935="NEW"),"",INDEX(B$2:B1934,-1+SUMPRODUCT(MAX(ROW(E$2:E1934)*(E1935=E$2:E1934)))))</f>
        <v/>
      </c>
      <c r="J1935" s="14" t="str">
        <f aca="true">IF(OR(E1935="",E1935="!!!",F1935="NEW"),"",COUNTBLANK(OFFSET(A$1,,,SUMPRODUCT(MAX(ROW(E$2:E1935)*(E1935=E$2:E1935)))))-COUNTBLANK(OFFSET(A$1,,,SUMPRODUCT(MAX(ROW(E$1:E1934)*(E1935=E$1:E1934))))))</f>
        <v/>
      </c>
      <c r="K1935" s="14" t="str">
        <f aca="false">IF(OR(E1935="",E1935="!!!",F1935="NEW"),"",INDEX(J$1:J1934,SUMPRODUCT(MAX(ROW(E$1:E1934)*(E1935=E$1:E1934)))))</f>
        <v/>
      </c>
      <c r="L1935" s="15"/>
    </row>
    <row r="1936" customFormat="false" ht="12.75" hidden="false" customHeight="false" outlineLevel="0" collapsed="false">
      <c r="A1936" s="0" t="s">
        <v>145</v>
      </c>
      <c r="E1936" s="9" t="str">
        <f aca="false">IF(D1936="?OLD","!!!","")</f>
        <v/>
      </c>
      <c r="F1936" s="10" t="str">
        <f aca="false">IF(OR(E1936="",E1936="!!!"),"",IF(NOT(ISNA(VLOOKUP(E1936,E$1:E1935,1,FALSE()))),"OLD",IF(AND(E1936&lt;&gt;"",E1936&lt;&gt;"!!!"),"NEW","")))</f>
        <v/>
      </c>
      <c r="G1936" s="11" t="str">
        <f aca="false">IF(OR(E1936="",E1936="!!!"),"",IF(OR(J1936=0,AND(J1936=1,K1936=1),AND(J1936=1,I1936="SBJ"),AND(J1936=1,I1936=0)),"?IN_FOCUS",IF(J1936&lt;=2,"?ACTIVATED",IF(J1936&lt;&gt;"","?FAMILIAR",IF(F1936="NEW",IF(ISNA(VLOOKUP(E1936,#REF!,1,FALSE())),"?TYPE_IDENTIFIABLE","?REFERENTIAL"),"_")))))</f>
        <v/>
      </c>
      <c r="H1936" s="12" t="str">
        <f aca="false">IF(J1936&lt;&gt;1,"",IF(I1936="SBJ","CB","?"))</f>
        <v/>
      </c>
      <c r="I1936" s="13" t="str">
        <f aca="false">IF(OR(E1936="",E1936="!!!",F1936="NEW"),"",INDEX(B$2:B1935,-1+SUMPRODUCT(MAX(ROW(E$2:E1935)*(E1936=E$2:E1935)))))</f>
        <v/>
      </c>
      <c r="J1936" s="14" t="str">
        <f aca="true">IF(OR(E1936="",E1936="!!!",F1936="NEW"),"",COUNTBLANK(OFFSET(A$1,,,SUMPRODUCT(MAX(ROW(E$2:E1936)*(E1936=E$2:E1936)))))-COUNTBLANK(OFFSET(A$1,,,SUMPRODUCT(MAX(ROW(E$1:E1935)*(E1936=E$1:E1935))))))</f>
        <v/>
      </c>
      <c r="K1936" s="14" t="str">
        <f aca="false">IF(OR(E1936="",E1936="!!!",F1936="NEW"),"",INDEX(J$1:J1935,SUMPRODUCT(MAX(ROW(E$1:E1935)*(E1936=E$1:E1935)))))</f>
        <v/>
      </c>
      <c r="L1936" s="15"/>
    </row>
    <row r="1937" customFormat="false" ht="12.75" hidden="false" customHeight="false" outlineLevel="0" collapsed="false">
      <c r="A1937" s="0" t="s">
        <v>779</v>
      </c>
      <c r="B1937" s="0" t="s">
        <v>64</v>
      </c>
      <c r="C1937" s="0" t="s">
        <v>120</v>
      </c>
      <c r="E1937" s="9" t="str">
        <f aca="false">IF(D1937="?OLD","!!!","")</f>
        <v/>
      </c>
      <c r="F1937" s="10" t="str">
        <f aca="false">IF(OR(E1937="",E1937="!!!"),"",IF(NOT(ISNA(VLOOKUP(E1937,E$1:E1936,1,FALSE()))),"OLD",IF(AND(E1937&lt;&gt;"",E1937&lt;&gt;"!!!"),"NEW","")))</f>
        <v/>
      </c>
      <c r="G1937" s="11" t="str">
        <f aca="false">IF(OR(E1937="",E1937="!!!"),"",IF(OR(J1937=0,AND(J1937=1,K1937=1),AND(J1937=1,I1937="SBJ"),AND(J1937=1,I1937=0)),"?IN_FOCUS",IF(J1937&lt;=2,"?ACTIVATED",IF(J1937&lt;&gt;"","?FAMILIAR",IF(F1937="NEW",IF(ISNA(VLOOKUP(E1937,#REF!,1,FALSE())),"?TYPE_IDENTIFIABLE","?REFERENTIAL"),"_")))))</f>
        <v/>
      </c>
      <c r="H1937" s="12" t="str">
        <f aca="false">IF(J1937&lt;&gt;1,"",IF(I1937="SBJ","CB","?"))</f>
        <v/>
      </c>
      <c r="I1937" s="13" t="str">
        <f aca="false">IF(OR(E1937="",E1937="!!!",F1937="NEW"),"",INDEX(B$2:B1936,-1+SUMPRODUCT(MAX(ROW(E$2:E1936)*(E1937=E$2:E1936)))))</f>
        <v/>
      </c>
      <c r="J1937" s="14" t="str">
        <f aca="true">IF(OR(E1937="",E1937="!!!",F1937="NEW"),"",COUNTBLANK(OFFSET(A$1,,,SUMPRODUCT(MAX(ROW(E$2:E1937)*(E1937=E$2:E1937)))))-COUNTBLANK(OFFSET(A$1,,,SUMPRODUCT(MAX(ROW(E$1:E1936)*(E1937=E$1:E1936))))))</f>
        <v/>
      </c>
      <c r="K1937" s="14" t="str">
        <f aca="false">IF(OR(E1937="",E1937="!!!",F1937="NEW"),"",INDEX(J$1:J1936,SUMPRODUCT(MAX(ROW(E$1:E1936)*(E1937=E$1:E1936)))))</f>
        <v/>
      </c>
      <c r="L1937" s="15"/>
    </row>
    <row r="1938" customFormat="false" ht="12.75" hidden="false" customHeight="false" outlineLevel="0" collapsed="false">
      <c r="A1938" s="0" t="s">
        <v>73</v>
      </c>
      <c r="E1938" s="9" t="str">
        <f aca="false">IF(D1938="?OLD","!!!","")</f>
        <v/>
      </c>
      <c r="F1938" s="10" t="str">
        <f aca="false">IF(OR(E1938="",E1938="!!!"),"",IF(NOT(ISNA(VLOOKUP(E1938,E$1:E1937,1,FALSE()))),"OLD",IF(AND(E1938&lt;&gt;"",E1938&lt;&gt;"!!!"),"NEW","")))</f>
        <v/>
      </c>
      <c r="G1938" s="11" t="str">
        <f aca="false">IF(OR(E1938="",E1938="!!!"),"",IF(OR(J1938=0,AND(J1938=1,K1938=1),AND(J1938=1,I1938="SBJ"),AND(J1938=1,I1938=0)),"?IN_FOCUS",IF(J1938&lt;=2,"?ACTIVATED",IF(J1938&lt;&gt;"","?FAMILIAR",IF(F1938="NEW",IF(ISNA(VLOOKUP(E1938,#REF!,1,FALSE())),"?TYPE_IDENTIFIABLE","?REFERENTIAL"),"_")))))</f>
        <v/>
      </c>
      <c r="H1938" s="12" t="str">
        <f aca="false">IF(J1938&lt;&gt;1,"",IF(I1938="SBJ","CB","?"))</f>
        <v/>
      </c>
      <c r="I1938" s="13" t="str">
        <f aca="false">IF(OR(E1938="",E1938="!!!",F1938="NEW"),"",INDEX(B$2:B1937,-1+SUMPRODUCT(MAX(ROW(E$2:E1937)*(E1938=E$2:E1937)))))</f>
        <v/>
      </c>
      <c r="J1938" s="14" t="str">
        <f aca="true">IF(OR(E1938="",E1938="!!!",F1938="NEW"),"",COUNTBLANK(OFFSET(A$1,,,SUMPRODUCT(MAX(ROW(E$2:E1938)*(E1938=E$2:E1938)))))-COUNTBLANK(OFFSET(A$1,,,SUMPRODUCT(MAX(ROW(E$1:E1937)*(E1938=E$1:E1937))))))</f>
        <v/>
      </c>
      <c r="K1938" s="14" t="str">
        <f aca="false">IF(OR(E1938="",E1938="!!!",F1938="NEW"),"",INDEX(J$1:J1937,SUMPRODUCT(MAX(ROW(E$1:E1937)*(E1938=E$1:E1937)))))</f>
        <v/>
      </c>
      <c r="L1938" s="15"/>
    </row>
    <row r="1939" customFormat="false" ht="12.75" hidden="false" customHeight="false" outlineLevel="0" collapsed="false">
      <c r="E1939" s="9" t="str">
        <f aca="false">IF(D1939="?OLD","!!!","")</f>
        <v/>
      </c>
      <c r="F1939" s="10" t="str">
        <f aca="false">IF(OR(E1939="",E1939="!!!"),"",IF(NOT(ISNA(VLOOKUP(E1939,E$1:E1938,1,FALSE()))),"OLD",IF(AND(E1939&lt;&gt;"",E1939&lt;&gt;"!!!"),"NEW","")))</f>
        <v/>
      </c>
      <c r="G1939" s="11" t="str">
        <f aca="false">IF(OR(E1939="",E1939="!!!"),"",IF(OR(J1939=0,AND(J1939=1,K1939=1),AND(J1939=1,I1939="SBJ"),AND(J1939=1,I1939=0)),"?IN_FOCUS",IF(J1939&lt;=2,"?ACTIVATED",IF(J1939&lt;&gt;"","?FAMILIAR",IF(F1939="NEW",IF(ISNA(VLOOKUP(E1939,#REF!,1,FALSE())),"?TYPE_IDENTIFIABLE","?REFERENTIAL"),"_")))))</f>
        <v/>
      </c>
      <c r="H1939" s="12" t="str">
        <f aca="false">IF(J1939&lt;&gt;1,"",IF(I1939="SBJ","CB","?"))</f>
        <v/>
      </c>
      <c r="I1939" s="13" t="str">
        <f aca="false">IF(OR(E1939="",E1939="!!!",F1939="NEW"),"",INDEX(B$2:B1938,-1+SUMPRODUCT(MAX(ROW(E$2:E1938)*(E1939=E$2:E1938)))))</f>
        <v/>
      </c>
      <c r="J1939" s="14" t="str">
        <f aca="true">IF(OR(E1939="",E1939="!!!",F1939="NEW"),"",COUNTBLANK(OFFSET(A$1,,,SUMPRODUCT(MAX(ROW(E$2:E1939)*(E1939=E$2:E1939)))))-COUNTBLANK(OFFSET(A$1,,,SUMPRODUCT(MAX(ROW(E$1:E1938)*(E1939=E$1:E1938))))))</f>
        <v/>
      </c>
      <c r="K1939" s="14" t="str">
        <f aca="false">IF(OR(E1939="",E1939="!!!",F1939="NEW"),"",INDEX(J$1:J1938,SUMPRODUCT(MAX(ROW(E$1:E1938)*(E1939=E$1:E1938)))))</f>
        <v/>
      </c>
      <c r="L1939" s="15"/>
    </row>
    <row r="1940" customFormat="false" ht="12.75" hidden="false" customHeight="false" outlineLevel="0" collapsed="false">
      <c r="A1940" s="0" t="s">
        <v>260</v>
      </c>
      <c r="E1940" s="9" t="str">
        <f aca="false">IF(D1940="?OLD","!!!","")</f>
        <v/>
      </c>
      <c r="F1940" s="10" t="str">
        <f aca="false">IF(OR(E1940="",E1940="!!!"),"",IF(NOT(ISNA(VLOOKUP(E1940,E$1:E1939,1,FALSE()))),"OLD",IF(AND(E1940&lt;&gt;"",E1940&lt;&gt;"!!!"),"NEW","")))</f>
        <v/>
      </c>
      <c r="G1940" s="11" t="str">
        <f aca="false">IF(OR(E1940="",E1940="!!!"),"",IF(OR(J1940=0,AND(J1940=1,K1940=1),AND(J1940=1,I1940="SBJ"),AND(J1940=1,I1940=0)),"?IN_FOCUS",IF(J1940&lt;=2,"?ACTIVATED",IF(J1940&lt;&gt;"","?FAMILIAR",IF(F1940="NEW",IF(ISNA(VLOOKUP(E1940,#REF!,1,FALSE())),"?TYPE_IDENTIFIABLE","?REFERENTIAL"),"_")))))</f>
        <v/>
      </c>
      <c r="H1940" s="12" t="str">
        <f aca="false">IF(J1940&lt;&gt;1,"",IF(I1940="SBJ","CB","?"))</f>
        <v/>
      </c>
      <c r="I1940" s="13" t="str">
        <f aca="false">IF(OR(E1940="",E1940="!!!",F1940="NEW"),"",INDEX(B$2:B1939,-1+SUMPRODUCT(MAX(ROW(E$2:E1939)*(E1940=E$2:E1939)))))</f>
        <v/>
      </c>
      <c r="J1940" s="14" t="str">
        <f aca="true">IF(OR(E1940="",E1940="!!!",F1940="NEW"),"",COUNTBLANK(OFFSET(A$1,,,SUMPRODUCT(MAX(ROW(E$2:E1940)*(E1940=E$2:E1940)))))-COUNTBLANK(OFFSET(A$1,,,SUMPRODUCT(MAX(ROW(E$1:E1939)*(E1940=E$1:E1939))))))</f>
        <v/>
      </c>
      <c r="K1940" s="14" t="str">
        <f aca="false">IF(OR(E1940="",E1940="!!!",F1940="NEW"),"",INDEX(J$1:J1939,SUMPRODUCT(MAX(ROW(E$1:E1939)*(E1940=E$1:E1939)))))</f>
        <v/>
      </c>
      <c r="L1940" s="15"/>
    </row>
    <row r="1941" customFormat="false" ht="12.75" hidden="false" customHeight="false" outlineLevel="0" collapsed="false">
      <c r="A1941" s="0" t="s">
        <v>780</v>
      </c>
      <c r="E1941" s="9" t="str">
        <f aca="false">IF(D1941="?OLD","!!!","")</f>
        <v/>
      </c>
      <c r="F1941" s="10" t="str">
        <f aca="false">IF(OR(E1941="",E1941="!!!"),"",IF(NOT(ISNA(VLOOKUP(E1941,E$1:E1940,1,FALSE()))),"OLD",IF(AND(E1941&lt;&gt;"",E1941&lt;&gt;"!!!"),"NEW","")))</f>
        <v/>
      </c>
      <c r="G1941" s="11" t="str">
        <f aca="false">IF(OR(E1941="",E1941="!!!"),"",IF(OR(J1941=0,AND(J1941=1,K1941=1),AND(J1941=1,I1941="SBJ"),AND(J1941=1,I1941=0)),"?IN_FOCUS",IF(J1941&lt;=2,"?ACTIVATED",IF(J1941&lt;&gt;"","?FAMILIAR",IF(F1941="NEW",IF(ISNA(VLOOKUP(E1941,#REF!,1,FALSE())),"?TYPE_IDENTIFIABLE","?REFERENTIAL"),"_")))))</f>
        <v/>
      </c>
      <c r="H1941" s="12" t="str">
        <f aca="false">IF(J1941&lt;&gt;1,"",IF(I1941="SBJ","CB","?"))</f>
        <v/>
      </c>
      <c r="I1941" s="13" t="str">
        <f aca="false">IF(OR(E1941="",E1941="!!!",F1941="NEW"),"",INDEX(B$2:B1940,-1+SUMPRODUCT(MAX(ROW(E$2:E1940)*(E1941=E$2:E1940)))))</f>
        <v/>
      </c>
      <c r="J1941" s="14" t="str">
        <f aca="true">IF(OR(E1941="",E1941="!!!",F1941="NEW"),"",COUNTBLANK(OFFSET(A$1,,,SUMPRODUCT(MAX(ROW(E$2:E1941)*(E1941=E$2:E1941)))))-COUNTBLANK(OFFSET(A$1,,,SUMPRODUCT(MAX(ROW(E$1:E1940)*(E1941=E$1:E1940))))))</f>
        <v/>
      </c>
      <c r="K1941" s="14" t="str">
        <f aca="false">IF(OR(E1941="",E1941="!!!",F1941="NEW"),"",INDEX(J$1:J1940,SUMPRODUCT(MAX(ROW(E$1:E1940)*(E1941=E$1:E1940)))))</f>
        <v/>
      </c>
      <c r="L1941" s="15"/>
    </row>
    <row r="1942" customFormat="false" ht="12.75" hidden="false" customHeight="false" outlineLevel="0" collapsed="false">
      <c r="A1942" s="0" t="s">
        <v>262</v>
      </c>
      <c r="E1942" s="9" t="str">
        <f aca="false">IF(D1942="?OLD","!!!","")</f>
        <v/>
      </c>
      <c r="F1942" s="10" t="str">
        <f aca="false">IF(OR(E1942="",E1942="!!!"),"",IF(NOT(ISNA(VLOOKUP(E1942,E$1:E1941,1,FALSE()))),"OLD",IF(AND(E1942&lt;&gt;"",E1942&lt;&gt;"!!!"),"NEW","")))</f>
        <v/>
      </c>
      <c r="G1942" s="11" t="str">
        <f aca="false">IF(OR(E1942="",E1942="!!!"),"",IF(OR(J1942=0,AND(J1942=1,K1942=1),AND(J1942=1,I1942="SBJ"),AND(J1942=1,I1942=0)),"?IN_FOCUS",IF(J1942&lt;=2,"?ACTIVATED",IF(J1942&lt;&gt;"","?FAMILIAR",IF(F1942="NEW",IF(ISNA(VLOOKUP(E1942,#REF!,1,FALSE())),"?TYPE_IDENTIFIABLE","?REFERENTIAL"),"_")))))</f>
        <v/>
      </c>
      <c r="H1942" s="12" t="str">
        <f aca="false">IF(J1942&lt;&gt;1,"",IF(I1942="SBJ","CB","?"))</f>
        <v/>
      </c>
      <c r="I1942" s="13" t="str">
        <f aca="false">IF(OR(E1942="",E1942="!!!",F1942="NEW"),"",INDEX(B$2:B1941,-1+SUMPRODUCT(MAX(ROW(E$2:E1941)*(E1942=E$2:E1941)))))</f>
        <v/>
      </c>
      <c r="J1942" s="14" t="str">
        <f aca="true">IF(OR(E1942="",E1942="!!!",F1942="NEW"),"",COUNTBLANK(OFFSET(A$1,,,SUMPRODUCT(MAX(ROW(E$2:E1942)*(E1942=E$2:E1942)))))-COUNTBLANK(OFFSET(A$1,,,SUMPRODUCT(MAX(ROW(E$1:E1941)*(E1942=E$1:E1941))))))</f>
        <v/>
      </c>
      <c r="K1942" s="14" t="str">
        <f aca="false">IF(OR(E1942="",E1942="!!!",F1942="NEW"),"",INDEX(J$1:J1941,SUMPRODUCT(MAX(ROW(E$1:E1941)*(E1942=E$1:E1941)))))</f>
        <v/>
      </c>
      <c r="L1942" s="15"/>
    </row>
    <row r="1943" customFormat="false" ht="12.75" hidden="false" customHeight="false" outlineLevel="0" collapsed="false">
      <c r="A1943" s="0" t="s">
        <v>781</v>
      </c>
      <c r="E1943" s="9" t="str">
        <f aca="false">IF(D1943="?OLD","!!!","")</f>
        <v/>
      </c>
      <c r="F1943" s="10" t="str">
        <f aca="false">IF(OR(E1943="",E1943="!!!"),"",IF(NOT(ISNA(VLOOKUP(E1943,E$1:E1942,1,FALSE()))),"OLD",IF(AND(E1943&lt;&gt;"",E1943&lt;&gt;"!!!"),"NEW","")))</f>
        <v/>
      </c>
      <c r="G1943" s="11" t="str">
        <f aca="false">IF(OR(E1943="",E1943="!!!"),"",IF(OR(J1943=0,AND(J1943=1,K1943=1),AND(J1943=1,I1943="SBJ"),AND(J1943=1,I1943=0)),"?IN_FOCUS",IF(J1943&lt;=2,"?ACTIVATED",IF(J1943&lt;&gt;"","?FAMILIAR",IF(F1943="NEW",IF(ISNA(VLOOKUP(E1943,#REF!,1,FALSE())),"?TYPE_IDENTIFIABLE","?REFERENTIAL"),"_")))))</f>
        <v/>
      </c>
      <c r="H1943" s="12" t="str">
        <f aca="false">IF(J1943&lt;&gt;1,"",IF(I1943="SBJ","CB","?"))</f>
        <v/>
      </c>
      <c r="I1943" s="13" t="str">
        <f aca="false">IF(OR(E1943="",E1943="!!!",F1943="NEW"),"",INDEX(B$2:B1942,-1+SUMPRODUCT(MAX(ROW(E$2:E1942)*(E1943=E$2:E1942)))))</f>
        <v/>
      </c>
      <c r="J1943" s="14" t="str">
        <f aca="true">IF(OR(E1943="",E1943="!!!",F1943="NEW"),"",COUNTBLANK(OFFSET(A$1,,,SUMPRODUCT(MAX(ROW(E$2:E1943)*(E1943=E$2:E1943)))))-COUNTBLANK(OFFSET(A$1,,,SUMPRODUCT(MAX(ROW(E$1:E1942)*(E1943=E$1:E1942))))))</f>
        <v/>
      </c>
      <c r="K1943" s="14" t="str">
        <f aca="false">IF(OR(E1943="",E1943="!!!",F1943="NEW"),"",INDEX(J$1:J1942,SUMPRODUCT(MAX(ROW(E$1:E1942)*(E1943=E$1:E1942)))))</f>
        <v/>
      </c>
      <c r="L1943" s="15"/>
    </row>
    <row r="1944" customFormat="false" ht="12.75" hidden="false" customHeight="false" outlineLevel="0" collapsed="false">
      <c r="A1944" s="0" t="s">
        <v>291</v>
      </c>
      <c r="E1944" s="9" t="str">
        <f aca="false">IF(D1944="?OLD","!!!","")</f>
        <v/>
      </c>
      <c r="F1944" s="10" t="str">
        <f aca="false">IF(OR(E1944="",E1944="!!!"),"",IF(NOT(ISNA(VLOOKUP(E1944,E$1:E1943,1,FALSE()))),"OLD",IF(AND(E1944&lt;&gt;"",E1944&lt;&gt;"!!!"),"NEW","")))</f>
        <v/>
      </c>
      <c r="G1944" s="11" t="str">
        <f aca="false">IF(OR(E1944="",E1944="!!!"),"",IF(OR(J1944=0,AND(J1944=1,K1944=1),AND(J1944=1,I1944="SBJ"),AND(J1944=1,I1944=0)),"?IN_FOCUS",IF(J1944&lt;=2,"?ACTIVATED",IF(J1944&lt;&gt;"","?FAMILIAR",IF(F1944="NEW",IF(ISNA(VLOOKUP(E1944,#REF!,1,FALSE())),"?TYPE_IDENTIFIABLE","?REFERENTIAL"),"_")))))</f>
        <v/>
      </c>
      <c r="H1944" s="12" t="str">
        <f aca="false">IF(J1944&lt;&gt;1,"",IF(I1944="SBJ","CB","?"))</f>
        <v/>
      </c>
      <c r="I1944" s="13" t="str">
        <f aca="false">IF(OR(E1944="",E1944="!!!",F1944="NEW"),"",INDEX(B$2:B1943,-1+SUMPRODUCT(MAX(ROW(E$2:E1943)*(E1944=E$2:E1943)))))</f>
        <v/>
      </c>
      <c r="J1944" s="14" t="str">
        <f aca="true">IF(OR(E1944="",E1944="!!!",F1944="NEW"),"",COUNTBLANK(OFFSET(A$1,,,SUMPRODUCT(MAX(ROW(E$2:E1944)*(E1944=E$2:E1944)))))-COUNTBLANK(OFFSET(A$1,,,SUMPRODUCT(MAX(ROW(E$1:E1943)*(E1944=E$1:E1943))))))</f>
        <v/>
      </c>
      <c r="K1944" s="14" t="str">
        <f aca="false">IF(OR(E1944="",E1944="!!!",F1944="NEW"),"",INDEX(J$1:J1943,SUMPRODUCT(MAX(ROW(E$1:E1943)*(E1944=E$1:E1943)))))</f>
        <v/>
      </c>
      <c r="L1944" s="15"/>
    </row>
    <row r="1945" customFormat="false" ht="12.75" hidden="false" customHeight="false" outlineLevel="0" collapsed="false">
      <c r="A1945" s="0" t="s">
        <v>262</v>
      </c>
      <c r="E1945" s="9" t="str">
        <f aca="false">IF(D1945="?OLD","!!!","")</f>
        <v/>
      </c>
      <c r="F1945" s="10" t="str">
        <f aca="false">IF(OR(E1945="",E1945="!!!"),"",IF(NOT(ISNA(VLOOKUP(E1945,E$1:E1944,1,FALSE()))),"OLD",IF(AND(E1945&lt;&gt;"",E1945&lt;&gt;"!!!"),"NEW","")))</f>
        <v/>
      </c>
      <c r="G1945" s="11" t="str">
        <f aca="false">IF(OR(E1945="",E1945="!!!"),"",IF(OR(J1945=0,AND(J1945=1,K1945=1),AND(J1945=1,I1945="SBJ"),AND(J1945=1,I1945=0)),"?IN_FOCUS",IF(J1945&lt;=2,"?ACTIVATED",IF(J1945&lt;&gt;"","?FAMILIAR",IF(F1945="NEW",IF(ISNA(VLOOKUP(E1945,#REF!,1,FALSE())),"?TYPE_IDENTIFIABLE","?REFERENTIAL"),"_")))))</f>
        <v/>
      </c>
      <c r="H1945" s="12" t="str">
        <f aca="false">IF(J1945&lt;&gt;1,"",IF(I1945="SBJ","CB","?"))</f>
        <v/>
      </c>
      <c r="I1945" s="13" t="str">
        <f aca="false">IF(OR(E1945="",E1945="!!!",F1945="NEW"),"",INDEX(B$2:B1944,-1+SUMPRODUCT(MAX(ROW(E$2:E1944)*(E1945=E$2:E1944)))))</f>
        <v/>
      </c>
      <c r="J1945" s="14" t="str">
        <f aca="true">IF(OR(E1945="",E1945="!!!",F1945="NEW"),"",COUNTBLANK(OFFSET(A$1,,,SUMPRODUCT(MAX(ROW(E$2:E1945)*(E1945=E$2:E1945)))))-COUNTBLANK(OFFSET(A$1,,,SUMPRODUCT(MAX(ROW(E$1:E1944)*(E1945=E$1:E1944))))))</f>
        <v/>
      </c>
      <c r="K1945" s="14" t="str">
        <f aca="false">IF(OR(E1945="",E1945="!!!",F1945="NEW"),"",INDEX(J$1:J1944,SUMPRODUCT(MAX(ROW(E$1:E1944)*(E1945=E$1:E1944)))))</f>
        <v/>
      </c>
      <c r="L1945" s="15"/>
    </row>
    <row r="1946" customFormat="false" ht="12.75" hidden="false" customHeight="false" outlineLevel="0" collapsed="false">
      <c r="A1946" s="0" t="s">
        <v>782</v>
      </c>
      <c r="E1946" s="9" t="str">
        <f aca="false">IF(D1946="?OLD","!!!","")</f>
        <v/>
      </c>
      <c r="F1946" s="10" t="str">
        <f aca="false">IF(OR(E1946="",E1946="!!!"),"",IF(NOT(ISNA(VLOOKUP(E1946,E$1:E1945,1,FALSE()))),"OLD",IF(AND(E1946&lt;&gt;"",E1946&lt;&gt;"!!!"),"NEW","")))</f>
        <v/>
      </c>
      <c r="G1946" s="11" t="str">
        <f aca="false">IF(OR(E1946="",E1946="!!!"),"",IF(OR(J1946=0,AND(J1946=1,K1946=1),AND(J1946=1,I1946="SBJ"),AND(J1946=1,I1946=0)),"?IN_FOCUS",IF(J1946&lt;=2,"?ACTIVATED",IF(J1946&lt;&gt;"","?FAMILIAR",IF(F1946="NEW",IF(ISNA(VLOOKUP(E1946,#REF!,1,FALSE())),"?TYPE_IDENTIFIABLE","?REFERENTIAL"),"_")))))</f>
        <v/>
      </c>
      <c r="H1946" s="12" t="str">
        <f aca="false">IF(J1946&lt;&gt;1,"",IF(I1946="SBJ","CB","?"))</f>
        <v/>
      </c>
      <c r="I1946" s="13" t="str">
        <f aca="false">IF(OR(E1946="",E1946="!!!",F1946="NEW"),"",INDEX(B$2:B1945,-1+SUMPRODUCT(MAX(ROW(E$2:E1945)*(E1946=E$2:E1945)))))</f>
        <v/>
      </c>
      <c r="J1946" s="14" t="str">
        <f aca="true">IF(OR(E1946="",E1946="!!!",F1946="NEW"),"",COUNTBLANK(OFFSET(A$1,,,SUMPRODUCT(MAX(ROW(E$2:E1946)*(E1946=E$2:E1946)))))-COUNTBLANK(OFFSET(A$1,,,SUMPRODUCT(MAX(ROW(E$1:E1945)*(E1946=E$1:E1945))))))</f>
        <v/>
      </c>
      <c r="K1946" s="14" t="str">
        <f aca="false">IF(OR(E1946="",E1946="!!!",F1946="NEW"),"",INDEX(J$1:J1945,SUMPRODUCT(MAX(ROW(E$1:E1945)*(E1946=E$1:E1945)))))</f>
        <v/>
      </c>
      <c r="L1946" s="15"/>
    </row>
    <row r="1947" customFormat="false" ht="12.75" hidden="false" customHeight="false" outlineLevel="0" collapsed="false">
      <c r="A1947" s="0" t="s">
        <v>21</v>
      </c>
      <c r="B1947" s="0" t="s">
        <v>37</v>
      </c>
      <c r="C1947" s="0" t="s">
        <v>23</v>
      </c>
      <c r="D1947" s="0" t="s">
        <v>29</v>
      </c>
      <c r="E1947" s="9" t="str">
        <f aca="false">IF(D1947="?OLD","!!!","")</f>
        <v>!!!</v>
      </c>
      <c r="F1947" s="10" t="str">
        <f aca="false">IF(OR(E1947="",E1947="!!!"),"",IF(NOT(ISNA(VLOOKUP(E1947,E$1:E1946,1,FALSE()))),"OLD",IF(AND(E1947&lt;&gt;"",E1947&lt;&gt;"!!!"),"NEW","")))</f>
        <v/>
      </c>
      <c r="G1947" s="11" t="str">
        <f aca="false">IF(OR(E1947="",E1947="!!!"),"",IF(OR(J1947=0,AND(J1947=1,K1947=1),AND(J1947=1,I1947="SBJ"),AND(J1947=1,I1947=0)),"?IN_FOCUS",IF(J1947&lt;=2,"?ACTIVATED",IF(J1947&lt;&gt;"","?FAMILIAR",IF(F1947="NEW",IF(ISNA(VLOOKUP(E1947,#REF!,1,FALSE())),"?TYPE_IDENTIFIABLE","?REFERENTIAL"),"_")))))</f>
        <v/>
      </c>
      <c r="H1947" s="12" t="str">
        <f aca="false">IF(J1947&lt;&gt;1,"",IF(I1947="SBJ","CB","?"))</f>
        <v/>
      </c>
      <c r="I1947" s="13" t="str">
        <f aca="false">IF(OR(E1947="",E1947="!!!",F1947="NEW"),"",INDEX(B$2:B1946,-1+SUMPRODUCT(MAX(ROW(E$2:E1946)*(E1947=E$2:E1946)))))</f>
        <v/>
      </c>
      <c r="J1947" s="14" t="str">
        <f aca="true">IF(OR(E1947="",E1947="!!!",F1947="NEW"),"",COUNTBLANK(OFFSET(A$1,,,SUMPRODUCT(MAX(ROW(E$2:E1947)*(E1947=E$2:E1947)))))-COUNTBLANK(OFFSET(A$1,,,SUMPRODUCT(MAX(ROW(E$1:E1946)*(E1947=E$1:E1946))))))</f>
        <v/>
      </c>
      <c r="K1947" s="14" t="str">
        <f aca="false">IF(OR(E1947="",E1947="!!!",F1947="NEW"),"",INDEX(J$1:J1946,SUMPRODUCT(MAX(ROW(E$1:E1946)*(E1947=E$1:E1946)))))</f>
        <v/>
      </c>
      <c r="L1947" s="15"/>
    </row>
    <row r="1948" customFormat="false" ht="12.75" hidden="false" customHeight="false" outlineLevel="0" collapsed="false">
      <c r="A1948" s="0" t="s">
        <v>31</v>
      </c>
      <c r="E1948" s="9" t="str">
        <f aca="false">IF(D1948="?OLD","!!!","")</f>
        <v/>
      </c>
      <c r="F1948" s="10" t="str">
        <f aca="false">IF(OR(E1948="",E1948="!!!"),"",IF(NOT(ISNA(VLOOKUP(E1948,E$1:E1947,1,FALSE()))),"OLD",IF(AND(E1948&lt;&gt;"",E1948&lt;&gt;"!!!"),"NEW","")))</f>
        <v/>
      </c>
      <c r="G1948" s="11" t="str">
        <f aca="false">IF(OR(E1948="",E1948="!!!"),"",IF(OR(J1948=0,AND(J1948=1,K1948=1),AND(J1948=1,I1948="SBJ"),AND(J1948=1,I1948=0)),"?IN_FOCUS",IF(J1948&lt;=2,"?ACTIVATED",IF(J1948&lt;&gt;"","?FAMILIAR",IF(F1948="NEW",IF(ISNA(VLOOKUP(E1948,#REF!,1,FALSE())),"?TYPE_IDENTIFIABLE","?REFERENTIAL"),"_")))))</f>
        <v/>
      </c>
      <c r="H1948" s="12" t="str">
        <f aca="false">IF(J1948&lt;&gt;1,"",IF(I1948="SBJ","CB","?"))</f>
        <v/>
      </c>
      <c r="I1948" s="13" t="str">
        <f aca="false">IF(OR(E1948="",E1948="!!!",F1948="NEW"),"",INDEX(B$2:B1947,-1+SUMPRODUCT(MAX(ROW(E$2:E1947)*(E1948=E$2:E1947)))))</f>
        <v/>
      </c>
      <c r="J1948" s="14" t="str">
        <f aca="true">IF(OR(E1948="",E1948="!!!",F1948="NEW"),"",COUNTBLANK(OFFSET(A$1,,,SUMPRODUCT(MAX(ROW(E$2:E1948)*(E1948=E$2:E1948)))))-COUNTBLANK(OFFSET(A$1,,,SUMPRODUCT(MAX(ROW(E$1:E1947)*(E1948=E$1:E1947))))))</f>
        <v/>
      </c>
      <c r="K1948" s="14" t="str">
        <f aca="false">IF(OR(E1948="",E1948="!!!",F1948="NEW"),"",INDEX(J$1:J1947,SUMPRODUCT(MAX(ROW(E$1:E1947)*(E1948=E$1:E1947)))))</f>
        <v/>
      </c>
      <c r="L1948" s="15"/>
    </row>
    <row r="1949" customFormat="false" ht="12.75" hidden="false" customHeight="false" outlineLevel="0" collapsed="false">
      <c r="A1949" s="0" t="s">
        <v>88</v>
      </c>
      <c r="E1949" s="9" t="str">
        <f aca="false">IF(D1949="?OLD","!!!","")</f>
        <v/>
      </c>
      <c r="F1949" s="10" t="str">
        <f aca="false">IF(OR(E1949="",E1949="!!!"),"",IF(NOT(ISNA(VLOOKUP(E1949,E$1:E1948,1,FALSE()))),"OLD",IF(AND(E1949&lt;&gt;"",E1949&lt;&gt;"!!!"),"NEW","")))</f>
        <v/>
      </c>
      <c r="G1949" s="11" t="str">
        <f aca="false">IF(OR(E1949="",E1949="!!!"),"",IF(OR(J1949=0,AND(J1949=1,K1949=1),AND(J1949=1,I1949="SBJ"),AND(J1949=1,I1949=0)),"?IN_FOCUS",IF(J1949&lt;=2,"?ACTIVATED",IF(J1949&lt;&gt;"","?FAMILIAR",IF(F1949="NEW",IF(ISNA(VLOOKUP(E1949,#REF!,1,FALSE())),"?TYPE_IDENTIFIABLE","?REFERENTIAL"),"_")))))</f>
        <v/>
      </c>
      <c r="H1949" s="12" t="str">
        <f aca="false">IF(J1949&lt;&gt;1,"",IF(I1949="SBJ","CB","?"))</f>
        <v/>
      </c>
      <c r="I1949" s="13" t="str">
        <f aca="false">IF(OR(E1949="",E1949="!!!",F1949="NEW"),"",INDEX(B$2:B1948,-1+SUMPRODUCT(MAX(ROW(E$2:E1948)*(E1949=E$2:E1948)))))</f>
        <v/>
      </c>
      <c r="J1949" s="14" t="str">
        <f aca="true">IF(OR(E1949="",E1949="!!!",F1949="NEW"),"",COUNTBLANK(OFFSET(A$1,,,SUMPRODUCT(MAX(ROW(E$2:E1949)*(E1949=E$2:E1949)))))-COUNTBLANK(OFFSET(A$1,,,SUMPRODUCT(MAX(ROW(E$1:E1948)*(E1949=E$1:E1948))))))</f>
        <v/>
      </c>
      <c r="K1949" s="14" t="str">
        <f aca="false">IF(OR(E1949="",E1949="!!!",F1949="NEW"),"",INDEX(J$1:J1948,SUMPRODUCT(MAX(ROW(E$1:E1948)*(E1949=E$1:E1948)))))</f>
        <v/>
      </c>
      <c r="L1949" s="15"/>
    </row>
    <row r="1950" customFormat="false" ht="12.75" hidden="false" customHeight="false" outlineLevel="0" collapsed="false">
      <c r="A1950" s="0" t="s">
        <v>122</v>
      </c>
      <c r="B1950" s="0" t="s">
        <v>42</v>
      </c>
      <c r="C1950" s="0" t="s">
        <v>38</v>
      </c>
      <c r="D1950" s="0" t="s">
        <v>29</v>
      </c>
      <c r="E1950" s="9" t="str">
        <f aca="false">IF(D1950="?OLD","!!!","")</f>
        <v>!!!</v>
      </c>
      <c r="F1950" s="10" t="str">
        <f aca="false">IF(OR(E1950="",E1950="!!!"),"",IF(NOT(ISNA(VLOOKUP(E1950,E$1:E1949,1,FALSE()))),"OLD",IF(AND(E1950&lt;&gt;"",E1950&lt;&gt;"!!!"),"NEW","")))</f>
        <v/>
      </c>
      <c r="G1950" s="11" t="str">
        <f aca="false">IF(OR(E1950="",E1950="!!!"),"",IF(OR(J1950=0,AND(J1950=1,K1950=1),AND(J1950=1,I1950="SBJ"),AND(J1950=1,I1950=0)),"?IN_FOCUS",IF(J1950&lt;=2,"?ACTIVATED",IF(J1950&lt;&gt;"","?FAMILIAR",IF(F1950="NEW",IF(ISNA(VLOOKUP(E1950,#REF!,1,FALSE())),"?TYPE_IDENTIFIABLE","?REFERENTIAL"),"_")))))</f>
        <v/>
      </c>
      <c r="H1950" s="12" t="str">
        <f aca="false">IF(J1950&lt;&gt;1,"",IF(I1950="SBJ","CB","?"))</f>
        <v/>
      </c>
      <c r="I1950" s="13" t="str">
        <f aca="false">IF(OR(E1950="",E1950="!!!",F1950="NEW"),"",INDEX(B$2:B1949,-1+SUMPRODUCT(MAX(ROW(E$2:E1949)*(E1950=E$2:E1949)))))</f>
        <v/>
      </c>
      <c r="J1950" s="14" t="str">
        <f aca="true">IF(OR(E1950="",E1950="!!!",F1950="NEW"),"",COUNTBLANK(OFFSET(A$1,,,SUMPRODUCT(MAX(ROW(E$2:E1950)*(E1950=E$2:E1950)))))-COUNTBLANK(OFFSET(A$1,,,SUMPRODUCT(MAX(ROW(E$1:E1949)*(E1950=E$1:E1949))))))</f>
        <v/>
      </c>
      <c r="K1950" s="14" t="str">
        <f aca="false">IF(OR(E1950="",E1950="!!!",F1950="NEW"),"",INDEX(J$1:J1949,SUMPRODUCT(MAX(ROW(E$1:E1949)*(E1950=E$1:E1949)))))</f>
        <v/>
      </c>
      <c r="L1950" s="15"/>
    </row>
    <row r="1951" customFormat="false" ht="12.75" hidden="false" customHeight="false" outlineLevel="0" collapsed="false">
      <c r="A1951" s="0" t="s">
        <v>498</v>
      </c>
      <c r="E1951" s="9" t="str">
        <f aca="false">IF(D1951="?OLD","!!!","")</f>
        <v/>
      </c>
      <c r="F1951" s="10" t="str">
        <f aca="false">IF(OR(E1951="",E1951="!!!"),"",IF(NOT(ISNA(VLOOKUP(E1951,E$1:E1950,1,FALSE()))),"OLD",IF(AND(E1951&lt;&gt;"",E1951&lt;&gt;"!!!"),"NEW","")))</f>
        <v/>
      </c>
      <c r="G1951" s="11" t="str">
        <f aca="false">IF(OR(E1951="",E1951="!!!"),"",IF(OR(J1951=0,AND(J1951=1,K1951=1),AND(J1951=1,I1951="SBJ"),AND(J1951=1,I1951=0)),"?IN_FOCUS",IF(J1951&lt;=2,"?ACTIVATED",IF(J1951&lt;&gt;"","?FAMILIAR",IF(F1951="NEW",IF(ISNA(VLOOKUP(E1951,#REF!,1,FALSE())),"?TYPE_IDENTIFIABLE","?REFERENTIAL"),"_")))))</f>
        <v/>
      </c>
      <c r="H1951" s="12" t="str">
        <f aca="false">IF(J1951&lt;&gt;1,"",IF(I1951="SBJ","CB","?"))</f>
        <v/>
      </c>
      <c r="I1951" s="13" t="str">
        <f aca="false">IF(OR(E1951="",E1951="!!!",F1951="NEW"),"",INDEX(B$2:B1950,-1+SUMPRODUCT(MAX(ROW(E$2:E1950)*(E1951=E$2:E1950)))))</f>
        <v/>
      </c>
      <c r="J1951" s="14" t="str">
        <f aca="true">IF(OR(E1951="",E1951="!!!",F1951="NEW"),"",COUNTBLANK(OFFSET(A$1,,,SUMPRODUCT(MAX(ROW(E$2:E1951)*(E1951=E$2:E1951)))))-COUNTBLANK(OFFSET(A$1,,,SUMPRODUCT(MAX(ROW(E$1:E1950)*(E1951=E$1:E1950))))))</f>
        <v/>
      </c>
      <c r="K1951" s="14" t="str">
        <f aca="false">IF(OR(E1951="",E1951="!!!",F1951="NEW"),"",INDEX(J$1:J1950,SUMPRODUCT(MAX(ROW(E$1:E1950)*(E1951=E$1:E1950)))))</f>
        <v/>
      </c>
      <c r="L1951" s="15"/>
    </row>
    <row r="1952" customFormat="false" ht="12.75" hidden="false" customHeight="false" outlineLevel="0" collapsed="false">
      <c r="A1952" s="0" t="s">
        <v>66</v>
      </c>
      <c r="E1952" s="9" t="str">
        <f aca="false">IF(D1952="?OLD","!!!","")</f>
        <v/>
      </c>
      <c r="F1952" s="10" t="str">
        <f aca="false">IF(OR(E1952="",E1952="!!!"),"",IF(NOT(ISNA(VLOOKUP(E1952,E$1:E1951,1,FALSE()))),"OLD",IF(AND(E1952&lt;&gt;"",E1952&lt;&gt;"!!!"),"NEW","")))</f>
        <v/>
      </c>
      <c r="G1952" s="11" t="str">
        <f aca="false">IF(OR(E1952="",E1952="!!!"),"",IF(OR(J1952=0,AND(J1952=1,K1952=1),AND(J1952=1,I1952="SBJ"),AND(J1952=1,I1952=0)),"?IN_FOCUS",IF(J1952&lt;=2,"?ACTIVATED",IF(J1952&lt;&gt;"","?FAMILIAR",IF(F1952="NEW",IF(ISNA(VLOOKUP(E1952,#REF!,1,FALSE())),"?TYPE_IDENTIFIABLE","?REFERENTIAL"),"_")))))</f>
        <v/>
      </c>
      <c r="H1952" s="12" t="str">
        <f aca="false">IF(J1952&lt;&gt;1,"",IF(I1952="SBJ","CB","?"))</f>
        <v/>
      </c>
      <c r="I1952" s="13" t="str">
        <f aca="false">IF(OR(E1952="",E1952="!!!",F1952="NEW"),"",INDEX(B$2:B1951,-1+SUMPRODUCT(MAX(ROW(E$2:E1951)*(E1952=E$2:E1951)))))</f>
        <v/>
      </c>
      <c r="J1952" s="14" t="str">
        <f aca="true">IF(OR(E1952="",E1952="!!!",F1952="NEW"),"",COUNTBLANK(OFFSET(A$1,,,SUMPRODUCT(MAX(ROW(E$2:E1952)*(E1952=E$2:E1952)))))-COUNTBLANK(OFFSET(A$1,,,SUMPRODUCT(MAX(ROW(E$1:E1951)*(E1952=E$1:E1951))))))</f>
        <v/>
      </c>
      <c r="K1952" s="14" t="str">
        <f aca="false">IF(OR(E1952="",E1952="!!!",F1952="NEW"),"",INDEX(J$1:J1951,SUMPRODUCT(MAX(ROW(E$1:E1951)*(E1952=E$1:E1951)))))</f>
        <v/>
      </c>
      <c r="L1952" s="15"/>
    </row>
    <row r="1953" customFormat="false" ht="12.75" hidden="false" customHeight="false" outlineLevel="0" collapsed="false">
      <c r="A1953" s="0" t="s">
        <v>783</v>
      </c>
      <c r="E1953" s="9" t="str">
        <f aca="false">IF(D1953="?OLD","!!!","")</f>
        <v/>
      </c>
      <c r="F1953" s="10" t="str">
        <f aca="false">IF(OR(E1953="",E1953="!!!"),"",IF(NOT(ISNA(VLOOKUP(E1953,E$1:E1952,1,FALSE()))),"OLD",IF(AND(E1953&lt;&gt;"",E1953&lt;&gt;"!!!"),"NEW","")))</f>
        <v/>
      </c>
      <c r="G1953" s="11" t="str">
        <f aca="false">IF(OR(E1953="",E1953="!!!"),"",IF(OR(J1953=0,AND(J1953=1,K1953=1),AND(J1953=1,I1953="SBJ"),AND(J1953=1,I1953=0)),"?IN_FOCUS",IF(J1953&lt;=2,"?ACTIVATED",IF(J1953&lt;&gt;"","?FAMILIAR",IF(F1953="NEW",IF(ISNA(VLOOKUP(E1953,#REF!,1,FALSE())),"?TYPE_IDENTIFIABLE","?REFERENTIAL"),"_")))))</f>
        <v/>
      </c>
      <c r="H1953" s="12" t="str">
        <f aca="false">IF(J1953&lt;&gt;1,"",IF(I1953="SBJ","CB","?"))</f>
        <v/>
      </c>
      <c r="I1953" s="13" t="str">
        <f aca="false">IF(OR(E1953="",E1953="!!!",F1953="NEW"),"",INDEX(B$2:B1952,-1+SUMPRODUCT(MAX(ROW(E$2:E1952)*(E1953=E$2:E1952)))))</f>
        <v/>
      </c>
      <c r="J1953" s="14" t="str">
        <f aca="true">IF(OR(E1953="",E1953="!!!",F1953="NEW"),"",COUNTBLANK(OFFSET(A$1,,,SUMPRODUCT(MAX(ROW(E$2:E1953)*(E1953=E$2:E1953)))))-COUNTBLANK(OFFSET(A$1,,,SUMPRODUCT(MAX(ROW(E$1:E1952)*(E1953=E$1:E1952))))))</f>
        <v/>
      </c>
      <c r="K1953" s="14" t="str">
        <f aca="false">IF(OR(E1953="",E1953="!!!",F1953="NEW"),"",INDEX(J$1:J1952,SUMPRODUCT(MAX(ROW(E$1:E1952)*(E1953=E$1:E1952)))))</f>
        <v/>
      </c>
      <c r="L1953" s="15"/>
    </row>
    <row r="1954" customFormat="false" ht="12.75" hidden="false" customHeight="false" outlineLevel="0" collapsed="false">
      <c r="A1954" s="0" t="s">
        <v>784</v>
      </c>
      <c r="B1954" s="0" t="s">
        <v>103</v>
      </c>
      <c r="C1954" s="0" t="s">
        <v>111</v>
      </c>
      <c r="D1954" s="0" t="s">
        <v>29</v>
      </c>
      <c r="E1954" s="9" t="str">
        <f aca="false">IF(D1954="?OLD","!!!","")</f>
        <v>!!!</v>
      </c>
      <c r="F1954" s="10" t="str">
        <f aca="false">IF(OR(E1954="",E1954="!!!"),"",IF(NOT(ISNA(VLOOKUP(E1954,E$1:E1953,1,FALSE()))),"OLD",IF(AND(E1954&lt;&gt;"",E1954&lt;&gt;"!!!"),"NEW","")))</f>
        <v/>
      </c>
      <c r="G1954" s="11" t="str">
        <f aca="false">IF(OR(E1954="",E1954="!!!"),"",IF(OR(J1954=0,AND(J1954=1,K1954=1),AND(J1954=1,I1954="SBJ"),AND(J1954=1,I1954=0)),"?IN_FOCUS",IF(J1954&lt;=2,"?ACTIVATED",IF(J1954&lt;&gt;"","?FAMILIAR",IF(F1954="NEW",IF(ISNA(VLOOKUP(E1954,#REF!,1,FALSE())),"?TYPE_IDENTIFIABLE","?REFERENTIAL"),"_")))))</f>
        <v/>
      </c>
      <c r="H1954" s="12" t="str">
        <f aca="false">IF(J1954&lt;&gt;1,"",IF(I1954="SBJ","CB","?"))</f>
        <v/>
      </c>
      <c r="I1954" s="13" t="str">
        <f aca="false">IF(OR(E1954="",E1954="!!!",F1954="NEW"),"",INDEX(B$2:B1953,-1+SUMPRODUCT(MAX(ROW(E$2:E1953)*(E1954=E$2:E1953)))))</f>
        <v/>
      </c>
      <c r="J1954" s="14" t="str">
        <f aca="true">IF(OR(E1954="",E1954="!!!",F1954="NEW"),"",COUNTBLANK(OFFSET(A$1,,,SUMPRODUCT(MAX(ROW(E$2:E1954)*(E1954=E$2:E1954)))))-COUNTBLANK(OFFSET(A$1,,,SUMPRODUCT(MAX(ROW(E$1:E1953)*(E1954=E$1:E1953))))))</f>
        <v/>
      </c>
      <c r="K1954" s="14" t="str">
        <f aca="false">IF(OR(E1954="",E1954="!!!",F1954="NEW"),"",INDEX(J$1:J1953,SUMPRODUCT(MAX(ROW(E$1:E1953)*(E1954=E$1:E1953)))))</f>
        <v/>
      </c>
      <c r="L1954" s="15"/>
    </row>
    <row r="1955" customFormat="false" ht="12.75" hidden="false" customHeight="false" outlineLevel="0" collapsed="false">
      <c r="A1955" s="0" t="s">
        <v>19</v>
      </c>
      <c r="E1955" s="9" t="str">
        <f aca="false">IF(D1955="?OLD","!!!","")</f>
        <v/>
      </c>
      <c r="F1955" s="10" t="str">
        <f aca="false">IF(OR(E1955="",E1955="!!!"),"",IF(NOT(ISNA(VLOOKUP(E1955,E$1:E1954,1,FALSE()))),"OLD",IF(AND(E1955&lt;&gt;"",E1955&lt;&gt;"!!!"),"NEW","")))</f>
        <v/>
      </c>
      <c r="G1955" s="11" t="str">
        <f aca="false">IF(OR(E1955="",E1955="!!!"),"",IF(OR(J1955=0,AND(J1955=1,K1955=1),AND(J1955=1,I1955="SBJ"),AND(J1955=1,I1955=0)),"?IN_FOCUS",IF(J1955&lt;=2,"?ACTIVATED",IF(J1955&lt;&gt;"","?FAMILIAR",IF(F1955="NEW",IF(ISNA(VLOOKUP(E1955,#REF!,1,FALSE())),"?TYPE_IDENTIFIABLE","?REFERENTIAL"),"_")))))</f>
        <v/>
      </c>
      <c r="H1955" s="12" t="str">
        <f aca="false">IF(J1955&lt;&gt;1,"",IF(I1955="SBJ","CB","?"))</f>
        <v/>
      </c>
      <c r="I1955" s="13" t="str">
        <f aca="false">IF(OR(E1955="",E1955="!!!",F1955="NEW"),"",INDEX(B$2:B1954,-1+SUMPRODUCT(MAX(ROW(E$2:E1954)*(E1955=E$2:E1954)))))</f>
        <v/>
      </c>
      <c r="J1955" s="14" t="str">
        <f aca="true">IF(OR(E1955="",E1955="!!!",F1955="NEW"),"",COUNTBLANK(OFFSET(A$1,,,SUMPRODUCT(MAX(ROW(E$2:E1955)*(E1955=E$2:E1955)))))-COUNTBLANK(OFFSET(A$1,,,SUMPRODUCT(MAX(ROW(E$1:E1954)*(E1955=E$1:E1954))))))</f>
        <v/>
      </c>
      <c r="K1955" s="14" t="str">
        <f aca="false">IF(OR(E1955="",E1955="!!!",F1955="NEW"),"",INDEX(J$1:J1954,SUMPRODUCT(MAX(ROW(E$1:E1954)*(E1955=E$1:E1954)))))</f>
        <v/>
      </c>
      <c r="L1955" s="15"/>
    </row>
    <row r="1956" customFormat="false" ht="12.75" hidden="false" customHeight="false" outlineLevel="0" collapsed="false">
      <c r="A1956" s="0" t="s">
        <v>40</v>
      </c>
      <c r="E1956" s="9" t="str">
        <f aca="false">IF(D1956="?OLD","!!!","")</f>
        <v/>
      </c>
      <c r="F1956" s="10" t="str">
        <f aca="false">IF(OR(E1956="",E1956="!!!"),"",IF(NOT(ISNA(VLOOKUP(E1956,E$1:E1955,1,FALSE()))),"OLD",IF(AND(E1956&lt;&gt;"",E1956&lt;&gt;"!!!"),"NEW","")))</f>
        <v/>
      </c>
      <c r="G1956" s="11" t="str">
        <f aca="false">IF(OR(E1956="",E1956="!!!"),"",IF(OR(J1956=0,AND(J1956=1,K1956=1),AND(J1956=1,I1956="SBJ"),AND(J1956=1,I1956=0)),"?IN_FOCUS",IF(J1956&lt;=2,"?ACTIVATED",IF(J1956&lt;&gt;"","?FAMILIAR",IF(F1956="NEW",IF(ISNA(VLOOKUP(E1956,#REF!,1,FALSE())),"?TYPE_IDENTIFIABLE","?REFERENTIAL"),"_")))))</f>
        <v/>
      </c>
      <c r="H1956" s="12" t="str">
        <f aca="false">IF(J1956&lt;&gt;1,"",IF(I1956="SBJ","CB","?"))</f>
        <v/>
      </c>
      <c r="I1956" s="13" t="str">
        <f aca="false">IF(OR(E1956="",E1956="!!!",F1956="NEW"),"",INDEX(B$2:B1955,-1+SUMPRODUCT(MAX(ROW(E$2:E1955)*(E1956=E$2:E1955)))))</f>
        <v/>
      </c>
      <c r="J1956" s="14" t="str">
        <f aca="true">IF(OR(E1956="",E1956="!!!",F1956="NEW"),"",COUNTBLANK(OFFSET(A$1,,,SUMPRODUCT(MAX(ROW(E$2:E1956)*(E1956=E$2:E1956)))))-COUNTBLANK(OFFSET(A$1,,,SUMPRODUCT(MAX(ROW(E$1:E1955)*(E1956=E$1:E1955))))))</f>
        <v/>
      </c>
      <c r="K1956" s="14" t="str">
        <f aca="false">IF(OR(E1956="",E1956="!!!",F1956="NEW"),"",INDEX(J$1:J1955,SUMPRODUCT(MAX(ROW(E$1:E1955)*(E1956=E$1:E1955)))))</f>
        <v/>
      </c>
      <c r="L1956" s="15"/>
    </row>
    <row r="1957" customFormat="false" ht="12.75" hidden="false" customHeight="false" outlineLevel="0" collapsed="false">
      <c r="A1957" s="0" t="s">
        <v>785</v>
      </c>
      <c r="E1957" s="9" t="str">
        <f aca="false">IF(D1957="?OLD","!!!","")</f>
        <v/>
      </c>
      <c r="F1957" s="10" t="str">
        <f aca="false">IF(OR(E1957="",E1957="!!!"),"",IF(NOT(ISNA(VLOOKUP(E1957,E$1:E1956,1,FALSE()))),"OLD",IF(AND(E1957&lt;&gt;"",E1957&lt;&gt;"!!!"),"NEW","")))</f>
        <v/>
      </c>
      <c r="G1957" s="11" t="str">
        <f aca="false">IF(OR(E1957="",E1957="!!!"),"",IF(OR(J1957=0,AND(J1957=1,K1957=1),AND(J1957=1,I1957="SBJ"),AND(J1957=1,I1957=0)),"?IN_FOCUS",IF(J1957&lt;=2,"?ACTIVATED",IF(J1957&lt;&gt;"","?FAMILIAR",IF(F1957="NEW",IF(ISNA(VLOOKUP(E1957,#REF!,1,FALSE())),"?TYPE_IDENTIFIABLE","?REFERENTIAL"),"_")))))</f>
        <v/>
      </c>
      <c r="H1957" s="12" t="str">
        <f aca="false">IF(J1957&lt;&gt;1,"",IF(I1957="SBJ","CB","?"))</f>
        <v/>
      </c>
      <c r="I1957" s="13" t="str">
        <f aca="false">IF(OR(E1957="",E1957="!!!",F1957="NEW"),"",INDEX(B$2:B1956,-1+SUMPRODUCT(MAX(ROW(E$2:E1956)*(E1957=E$2:E1956)))))</f>
        <v/>
      </c>
      <c r="J1957" s="14" t="str">
        <f aca="true">IF(OR(E1957="",E1957="!!!",F1957="NEW"),"",COUNTBLANK(OFFSET(A$1,,,SUMPRODUCT(MAX(ROW(E$2:E1957)*(E1957=E$2:E1957)))))-COUNTBLANK(OFFSET(A$1,,,SUMPRODUCT(MAX(ROW(E$1:E1956)*(E1957=E$1:E1956))))))</f>
        <v/>
      </c>
      <c r="K1957" s="14" t="str">
        <f aca="false">IF(OR(E1957="",E1957="!!!",F1957="NEW"),"",INDEX(J$1:J1956,SUMPRODUCT(MAX(ROW(E$1:E1956)*(E1957=E$1:E1956)))))</f>
        <v/>
      </c>
      <c r="L1957" s="15"/>
    </row>
    <row r="1958" customFormat="false" ht="12.75" hidden="false" customHeight="false" outlineLevel="0" collapsed="false">
      <c r="A1958" s="0" t="s">
        <v>786</v>
      </c>
      <c r="B1958" s="0" t="s">
        <v>22</v>
      </c>
      <c r="C1958" s="0" t="s">
        <v>43</v>
      </c>
      <c r="E1958" s="9" t="str">
        <f aca="false">IF(D1958="?OLD","!!!","")</f>
        <v/>
      </c>
      <c r="F1958" s="10" t="str">
        <f aca="false">IF(OR(E1958="",E1958="!!!"),"",IF(NOT(ISNA(VLOOKUP(E1958,E$1:E1957,1,FALSE()))),"OLD",IF(AND(E1958&lt;&gt;"",E1958&lt;&gt;"!!!"),"NEW","")))</f>
        <v/>
      </c>
      <c r="G1958" s="11" t="str">
        <f aca="false">IF(OR(E1958="",E1958="!!!"),"",IF(OR(J1958=0,AND(J1958=1,K1958=1),AND(J1958=1,I1958="SBJ"),AND(J1958=1,I1958=0)),"?IN_FOCUS",IF(J1958&lt;=2,"?ACTIVATED",IF(J1958&lt;&gt;"","?FAMILIAR",IF(F1958="NEW",IF(ISNA(VLOOKUP(E1958,#REF!,1,FALSE())),"?TYPE_IDENTIFIABLE","?REFERENTIAL"),"_")))))</f>
        <v/>
      </c>
      <c r="H1958" s="12" t="str">
        <f aca="false">IF(J1958&lt;&gt;1,"",IF(I1958="SBJ","CB","?"))</f>
        <v/>
      </c>
      <c r="I1958" s="13" t="str">
        <f aca="false">IF(OR(E1958="",E1958="!!!",F1958="NEW"),"",INDEX(B$2:B1957,-1+SUMPRODUCT(MAX(ROW(E$2:E1957)*(E1958=E$2:E1957)))))</f>
        <v/>
      </c>
      <c r="J1958" s="14" t="str">
        <f aca="true">IF(OR(E1958="",E1958="!!!",F1958="NEW"),"",COUNTBLANK(OFFSET(A$1,,,SUMPRODUCT(MAX(ROW(E$2:E1958)*(E1958=E$2:E1958)))))-COUNTBLANK(OFFSET(A$1,,,SUMPRODUCT(MAX(ROW(E$1:E1957)*(E1958=E$1:E1957))))))</f>
        <v/>
      </c>
      <c r="K1958" s="14" t="str">
        <f aca="false">IF(OR(E1958="",E1958="!!!",F1958="NEW"),"",INDEX(J$1:J1957,SUMPRODUCT(MAX(ROW(E$1:E1957)*(E1958=E$1:E1957)))))</f>
        <v/>
      </c>
      <c r="L1958" s="15"/>
    </row>
    <row r="1959" customFormat="false" ht="12.75" hidden="false" customHeight="false" outlineLevel="0" collapsed="false">
      <c r="A1959" s="0" t="s">
        <v>73</v>
      </c>
      <c r="E1959" s="9" t="str">
        <f aca="false">IF(D1959="?OLD","!!!","")</f>
        <v/>
      </c>
      <c r="F1959" s="10" t="str">
        <f aca="false">IF(OR(E1959="",E1959="!!!"),"",IF(NOT(ISNA(VLOOKUP(E1959,E$1:E1958,1,FALSE()))),"OLD",IF(AND(E1959&lt;&gt;"",E1959&lt;&gt;"!!!"),"NEW","")))</f>
        <v/>
      </c>
      <c r="G1959" s="11" t="str">
        <f aca="false">IF(OR(E1959="",E1959="!!!"),"",IF(OR(J1959=0,AND(J1959=1,K1959=1),AND(J1959=1,I1959="SBJ"),AND(J1959=1,I1959=0)),"?IN_FOCUS",IF(J1959&lt;=2,"?ACTIVATED",IF(J1959&lt;&gt;"","?FAMILIAR",IF(F1959="NEW",IF(ISNA(VLOOKUP(E1959,#REF!,1,FALSE())),"?TYPE_IDENTIFIABLE","?REFERENTIAL"),"_")))))</f>
        <v/>
      </c>
      <c r="H1959" s="12" t="str">
        <f aca="false">IF(J1959&lt;&gt;1,"",IF(I1959="SBJ","CB","?"))</f>
        <v/>
      </c>
      <c r="I1959" s="13" t="str">
        <f aca="false">IF(OR(E1959="",E1959="!!!",F1959="NEW"),"",INDEX(B$2:B1958,-1+SUMPRODUCT(MAX(ROW(E$2:E1958)*(E1959=E$2:E1958)))))</f>
        <v/>
      </c>
      <c r="J1959" s="14" t="str">
        <f aca="true">IF(OR(E1959="",E1959="!!!",F1959="NEW"),"",COUNTBLANK(OFFSET(A$1,,,SUMPRODUCT(MAX(ROW(E$2:E1959)*(E1959=E$2:E1959)))))-COUNTBLANK(OFFSET(A$1,,,SUMPRODUCT(MAX(ROW(E$1:E1958)*(E1959=E$1:E1958))))))</f>
        <v/>
      </c>
      <c r="K1959" s="14" t="str">
        <f aca="false">IF(OR(E1959="",E1959="!!!",F1959="NEW"),"",INDEX(J$1:J1958,SUMPRODUCT(MAX(ROW(E$1:E1958)*(E1959=E$1:E1958)))))</f>
        <v/>
      </c>
      <c r="L1959" s="15"/>
    </row>
    <row r="1960" customFormat="false" ht="12.75" hidden="false" customHeight="false" outlineLevel="0" collapsed="false">
      <c r="E1960" s="9" t="str">
        <f aca="false">IF(D1960="?OLD","!!!","")</f>
        <v/>
      </c>
      <c r="F1960" s="10" t="str">
        <f aca="false">IF(OR(E1960="",E1960="!!!"),"",IF(NOT(ISNA(VLOOKUP(E1960,E$1:E1959,1,FALSE()))),"OLD",IF(AND(E1960&lt;&gt;"",E1960&lt;&gt;"!!!"),"NEW","")))</f>
        <v/>
      </c>
      <c r="G1960" s="11" t="str">
        <f aca="false">IF(OR(E1960="",E1960="!!!"),"",IF(OR(J1960=0,AND(J1960=1,K1960=1),AND(J1960=1,I1960="SBJ"),AND(J1960=1,I1960=0)),"?IN_FOCUS",IF(J1960&lt;=2,"?ACTIVATED",IF(J1960&lt;&gt;"","?FAMILIAR",IF(F1960="NEW",IF(ISNA(VLOOKUP(E1960,#REF!,1,FALSE())),"?TYPE_IDENTIFIABLE","?REFERENTIAL"),"_")))))</f>
        <v/>
      </c>
      <c r="H1960" s="12" t="str">
        <f aca="false">IF(J1960&lt;&gt;1,"",IF(I1960="SBJ","CB","?"))</f>
        <v/>
      </c>
      <c r="I1960" s="13" t="str">
        <f aca="false">IF(OR(E1960="",E1960="!!!",F1960="NEW"),"",INDEX(B$2:B1959,-1+SUMPRODUCT(MAX(ROW(E$2:E1959)*(E1960=E$2:E1959)))))</f>
        <v/>
      </c>
      <c r="J1960" s="14" t="str">
        <f aca="true">IF(OR(E1960="",E1960="!!!",F1960="NEW"),"",COUNTBLANK(OFFSET(A$1,,,SUMPRODUCT(MAX(ROW(E$2:E1960)*(E1960=E$2:E1960)))))-COUNTBLANK(OFFSET(A$1,,,SUMPRODUCT(MAX(ROW(E$1:E1959)*(E1960=E$1:E1959))))))</f>
        <v/>
      </c>
      <c r="K1960" s="14" t="str">
        <f aca="false">IF(OR(E1960="",E1960="!!!",F1960="NEW"),"",INDEX(J$1:J1959,SUMPRODUCT(MAX(ROW(E$1:E1959)*(E1960=E$1:E1959)))))</f>
        <v/>
      </c>
      <c r="L1960" s="15"/>
    </row>
    <row r="1961" customFormat="false" ht="12.75" hidden="false" customHeight="false" outlineLevel="0" collapsed="false">
      <c r="A1961" s="0" t="s">
        <v>260</v>
      </c>
      <c r="E1961" s="9" t="str">
        <f aca="false">IF(D1961="?OLD","!!!","")</f>
        <v/>
      </c>
      <c r="F1961" s="10" t="str">
        <f aca="false">IF(OR(E1961="",E1961="!!!"),"",IF(NOT(ISNA(VLOOKUP(E1961,E$1:E1960,1,FALSE()))),"OLD",IF(AND(E1961&lt;&gt;"",E1961&lt;&gt;"!!!"),"NEW","")))</f>
        <v/>
      </c>
      <c r="G1961" s="11" t="str">
        <f aca="false">IF(OR(E1961="",E1961="!!!"),"",IF(OR(J1961=0,AND(J1961=1,K1961=1),AND(J1961=1,I1961="SBJ"),AND(J1961=1,I1961=0)),"?IN_FOCUS",IF(J1961&lt;=2,"?ACTIVATED",IF(J1961&lt;&gt;"","?FAMILIAR",IF(F1961="NEW",IF(ISNA(VLOOKUP(E1961,#REF!,1,FALSE())),"?TYPE_IDENTIFIABLE","?REFERENTIAL"),"_")))))</f>
        <v/>
      </c>
      <c r="H1961" s="12" t="str">
        <f aca="false">IF(J1961&lt;&gt;1,"",IF(I1961="SBJ","CB","?"))</f>
        <v/>
      </c>
      <c r="I1961" s="13" t="str">
        <f aca="false">IF(OR(E1961="",E1961="!!!",F1961="NEW"),"",INDEX(B$2:B1960,-1+SUMPRODUCT(MAX(ROW(E$2:E1960)*(E1961=E$2:E1960)))))</f>
        <v/>
      </c>
      <c r="J1961" s="14" t="str">
        <f aca="true">IF(OR(E1961="",E1961="!!!",F1961="NEW"),"",COUNTBLANK(OFFSET(A$1,,,SUMPRODUCT(MAX(ROW(E$2:E1961)*(E1961=E$2:E1961)))))-COUNTBLANK(OFFSET(A$1,,,SUMPRODUCT(MAX(ROW(E$1:E1960)*(E1961=E$1:E1960))))))</f>
        <v/>
      </c>
      <c r="K1961" s="14" t="str">
        <f aca="false">IF(OR(E1961="",E1961="!!!",F1961="NEW"),"",INDEX(J$1:J1960,SUMPRODUCT(MAX(ROW(E$1:E1960)*(E1961=E$1:E1960)))))</f>
        <v/>
      </c>
      <c r="L1961" s="15"/>
    </row>
    <row r="1962" customFormat="false" ht="12.75" hidden="false" customHeight="false" outlineLevel="0" collapsed="false">
      <c r="A1962" s="0" t="s">
        <v>787</v>
      </c>
      <c r="E1962" s="9" t="str">
        <f aca="false">IF(D1962="?OLD","!!!","")</f>
        <v/>
      </c>
      <c r="F1962" s="10" t="str">
        <f aca="false">IF(OR(E1962="",E1962="!!!"),"",IF(NOT(ISNA(VLOOKUP(E1962,E$1:E1961,1,FALSE()))),"OLD",IF(AND(E1962&lt;&gt;"",E1962&lt;&gt;"!!!"),"NEW","")))</f>
        <v/>
      </c>
      <c r="G1962" s="11" t="str">
        <f aca="false">IF(OR(E1962="",E1962="!!!"),"",IF(OR(J1962=0,AND(J1962=1,K1962=1),AND(J1962=1,I1962="SBJ"),AND(J1962=1,I1962=0)),"?IN_FOCUS",IF(J1962&lt;=2,"?ACTIVATED",IF(J1962&lt;&gt;"","?FAMILIAR",IF(F1962="NEW",IF(ISNA(VLOOKUP(E1962,#REF!,1,FALSE())),"?TYPE_IDENTIFIABLE","?REFERENTIAL"),"_")))))</f>
        <v/>
      </c>
      <c r="H1962" s="12" t="str">
        <f aca="false">IF(J1962&lt;&gt;1,"",IF(I1962="SBJ","CB","?"))</f>
        <v/>
      </c>
      <c r="I1962" s="13" t="str">
        <f aca="false">IF(OR(E1962="",E1962="!!!",F1962="NEW"),"",INDEX(B$2:B1961,-1+SUMPRODUCT(MAX(ROW(E$2:E1961)*(E1962=E$2:E1961)))))</f>
        <v/>
      </c>
      <c r="J1962" s="14" t="str">
        <f aca="true">IF(OR(E1962="",E1962="!!!",F1962="NEW"),"",COUNTBLANK(OFFSET(A$1,,,SUMPRODUCT(MAX(ROW(E$2:E1962)*(E1962=E$2:E1962)))))-COUNTBLANK(OFFSET(A$1,,,SUMPRODUCT(MAX(ROW(E$1:E1961)*(E1962=E$1:E1961))))))</f>
        <v/>
      </c>
      <c r="K1962" s="14" t="str">
        <f aca="false">IF(OR(E1962="",E1962="!!!",F1962="NEW"),"",INDEX(J$1:J1961,SUMPRODUCT(MAX(ROW(E$1:E1961)*(E1962=E$1:E1961)))))</f>
        <v/>
      </c>
      <c r="L1962" s="15"/>
    </row>
    <row r="1963" customFormat="false" ht="12.75" hidden="false" customHeight="false" outlineLevel="0" collapsed="false">
      <c r="A1963" s="0" t="s">
        <v>262</v>
      </c>
      <c r="E1963" s="9" t="str">
        <f aca="false">IF(D1963="?OLD","!!!","")</f>
        <v/>
      </c>
      <c r="F1963" s="10" t="str">
        <f aca="false">IF(OR(E1963="",E1963="!!!"),"",IF(NOT(ISNA(VLOOKUP(E1963,E$1:E1962,1,FALSE()))),"OLD",IF(AND(E1963&lt;&gt;"",E1963&lt;&gt;"!!!"),"NEW","")))</f>
        <v/>
      </c>
      <c r="G1963" s="11" t="str">
        <f aca="false">IF(OR(E1963="",E1963="!!!"),"",IF(OR(J1963=0,AND(J1963=1,K1963=1),AND(J1963=1,I1963="SBJ"),AND(J1963=1,I1963=0)),"?IN_FOCUS",IF(J1963&lt;=2,"?ACTIVATED",IF(J1963&lt;&gt;"","?FAMILIAR",IF(F1963="NEW",IF(ISNA(VLOOKUP(E1963,#REF!,1,FALSE())),"?TYPE_IDENTIFIABLE","?REFERENTIAL"),"_")))))</f>
        <v/>
      </c>
      <c r="H1963" s="12" t="str">
        <f aca="false">IF(J1963&lt;&gt;1,"",IF(I1963="SBJ","CB","?"))</f>
        <v/>
      </c>
      <c r="I1963" s="13" t="str">
        <f aca="false">IF(OR(E1963="",E1963="!!!",F1963="NEW"),"",INDEX(B$2:B1962,-1+SUMPRODUCT(MAX(ROW(E$2:E1962)*(E1963=E$2:E1962)))))</f>
        <v/>
      </c>
      <c r="J1963" s="14" t="str">
        <f aca="true">IF(OR(E1963="",E1963="!!!",F1963="NEW"),"",COUNTBLANK(OFFSET(A$1,,,SUMPRODUCT(MAX(ROW(E$2:E1963)*(E1963=E$2:E1963)))))-COUNTBLANK(OFFSET(A$1,,,SUMPRODUCT(MAX(ROW(E$1:E1962)*(E1963=E$1:E1962))))))</f>
        <v/>
      </c>
      <c r="K1963" s="14" t="str">
        <f aca="false">IF(OR(E1963="",E1963="!!!",F1963="NEW"),"",INDEX(J$1:J1962,SUMPRODUCT(MAX(ROW(E$1:E1962)*(E1963=E$1:E1962)))))</f>
        <v/>
      </c>
      <c r="L1963" s="15"/>
    </row>
    <row r="1964" customFormat="false" ht="12.75" hidden="false" customHeight="false" outlineLevel="0" collapsed="false">
      <c r="A1964" s="0" t="s">
        <v>788</v>
      </c>
      <c r="E1964" s="9" t="str">
        <f aca="false">IF(D1964="?OLD","!!!","")</f>
        <v/>
      </c>
      <c r="F1964" s="10" t="str">
        <f aca="false">IF(OR(E1964="",E1964="!!!"),"",IF(NOT(ISNA(VLOOKUP(E1964,E$1:E1963,1,FALSE()))),"OLD",IF(AND(E1964&lt;&gt;"",E1964&lt;&gt;"!!!"),"NEW","")))</f>
        <v/>
      </c>
      <c r="G1964" s="11" t="str">
        <f aca="false">IF(OR(E1964="",E1964="!!!"),"",IF(OR(J1964=0,AND(J1964=1,K1964=1),AND(J1964=1,I1964="SBJ"),AND(J1964=1,I1964=0)),"?IN_FOCUS",IF(J1964&lt;=2,"?ACTIVATED",IF(J1964&lt;&gt;"","?FAMILIAR",IF(F1964="NEW",IF(ISNA(VLOOKUP(E1964,#REF!,1,FALSE())),"?TYPE_IDENTIFIABLE","?REFERENTIAL"),"_")))))</f>
        <v/>
      </c>
      <c r="H1964" s="12" t="str">
        <f aca="false">IF(J1964&lt;&gt;1,"",IF(I1964="SBJ","CB","?"))</f>
        <v/>
      </c>
      <c r="I1964" s="13" t="str">
        <f aca="false">IF(OR(E1964="",E1964="!!!",F1964="NEW"),"",INDEX(B$2:B1963,-1+SUMPRODUCT(MAX(ROW(E$2:E1963)*(E1964=E$2:E1963)))))</f>
        <v/>
      </c>
      <c r="J1964" s="14" t="str">
        <f aca="true">IF(OR(E1964="",E1964="!!!",F1964="NEW"),"",COUNTBLANK(OFFSET(A$1,,,SUMPRODUCT(MAX(ROW(E$2:E1964)*(E1964=E$2:E1964)))))-COUNTBLANK(OFFSET(A$1,,,SUMPRODUCT(MAX(ROW(E$1:E1963)*(E1964=E$1:E1963))))))</f>
        <v/>
      </c>
      <c r="K1964" s="14" t="str">
        <f aca="false">IF(OR(E1964="",E1964="!!!",F1964="NEW"),"",INDEX(J$1:J1963,SUMPRODUCT(MAX(ROW(E$1:E1963)*(E1964=E$1:E1963)))))</f>
        <v/>
      </c>
      <c r="L1964" s="15"/>
    </row>
    <row r="1965" customFormat="false" ht="12.75" hidden="false" customHeight="false" outlineLevel="0" collapsed="false">
      <c r="A1965" s="0" t="s">
        <v>513</v>
      </c>
      <c r="E1965" s="9" t="str">
        <f aca="false">IF(D1965="?OLD","!!!","")</f>
        <v/>
      </c>
      <c r="F1965" s="10" t="str">
        <f aca="false">IF(OR(E1965="",E1965="!!!"),"",IF(NOT(ISNA(VLOOKUP(E1965,E$1:E1964,1,FALSE()))),"OLD",IF(AND(E1965&lt;&gt;"",E1965&lt;&gt;"!!!"),"NEW","")))</f>
        <v/>
      </c>
      <c r="G1965" s="11" t="str">
        <f aca="false">IF(OR(E1965="",E1965="!!!"),"",IF(OR(J1965=0,AND(J1965=1,K1965=1),AND(J1965=1,I1965="SBJ"),AND(J1965=1,I1965=0)),"?IN_FOCUS",IF(J1965&lt;=2,"?ACTIVATED",IF(J1965&lt;&gt;"","?FAMILIAR",IF(F1965="NEW",IF(ISNA(VLOOKUP(E1965,#REF!,1,FALSE())),"?TYPE_IDENTIFIABLE","?REFERENTIAL"),"_")))))</f>
        <v/>
      </c>
      <c r="H1965" s="12" t="str">
        <f aca="false">IF(J1965&lt;&gt;1,"",IF(I1965="SBJ","CB","?"))</f>
        <v/>
      </c>
      <c r="I1965" s="13" t="str">
        <f aca="false">IF(OR(E1965="",E1965="!!!",F1965="NEW"),"",INDEX(B$2:B1964,-1+SUMPRODUCT(MAX(ROW(E$2:E1964)*(E1965=E$2:E1964)))))</f>
        <v/>
      </c>
      <c r="J1965" s="14" t="str">
        <f aca="true">IF(OR(E1965="",E1965="!!!",F1965="NEW"),"",COUNTBLANK(OFFSET(A$1,,,SUMPRODUCT(MAX(ROW(E$2:E1965)*(E1965=E$2:E1965)))))-COUNTBLANK(OFFSET(A$1,,,SUMPRODUCT(MAX(ROW(E$1:E1964)*(E1965=E$1:E1964))))))</f>
        <v/>
      </c>
      <c r="K1965" s="14" t="str">
        <f aca="false">IF(OR(E1965="",E1965="!!!",F1965="NEW"),"",INDEX(J$1:J1964,SUMPRODUCT(MAX(ROW(E$1:E1964)*(E1965=E$1:E1964)))))</f>
        <v/>
      </c>
      <c r="L1965" s="15"/>
    </row>
    <row r="1966" customFormat="false" ht="12.75" hidden="false" customHeight="false" outlineLevel="0" collapsed="false">
      <c r="A1966" s="0" t="s">
        <v>291</v>
      </c>
      <c r="E1966" s="9" t="str">
        <f aca="false">IF(D1966="?OLD","!!!","")</f>
        <v/>
      </c>
      <c r="F1966" s="10" t="str">
        <f aca="false">IF(OR(E1966="",E1966="!!!"),"",IF(NOT(ISNA(VLOOKUP(E1966,E$1:E1965,1,FALSE()))),"OLD",IF(AND(E1966&lt;&gt;"",E1966&lt;&gt;"!!!"),"NEW","")))</f>
        <v/>
      </c>
      <c r="G1966" s="11" t="str">
        <f aca="false">IF(OR(E1966="",E1966="!!!"),"",IF(OR(J1966=0,AND(J1966=1,K1966=1),AND(J1966=1,I1966="SBJ"),AND(J1966=1,I1966=0)),"?IN_FOCUS",IF(J1966&lt;=2,"?ACTIVATED",IF(J1966&lt;&gt;"","?FAMILIAR",IF(F1966="NEW",IF(ISNA(VLOOKUP(E1966,#REF!,1,FALSE())),"?TYPE_IDENTIFIABLE","?REFERENTIAL"),"_")))))</f>
        <v/>
      </c>
      <c r="H1966" s="12" t="str">
        <f aca="false">IF(J1966&lt;&gt;1,"",IF(I1966="SBJ","CB","?"))</f>
        <v/>
      </c>
      <c r="I1966" s="13" t="str">
        <f aca="false">IF(OR(E1966="",E1966="!!!",F1966="NEW"),"",INDEX(B$2:B1965,-1+SUMPRODUCT(MAX(ROW(E$2:E1965)*(E1966=E$2:E1965)))))</f>
        <v/>
      </c>
      <c r="J1966" s="14" t="str">
        <f aca="true">IF(OR(E1966="",E1966="!!!",F1966="NEW"),"",COUNTBLANK(OFFSET(A$1,,,SUMPRODUCT(MAX(ROW(E$2:E1966)*(E1966=E$2:E1966)))))-COUNTBLANK(OFFSET(A$1,,,SUMPRODUCT(MAX(ROW(E$1:E1965)*(E1966=E$1:E1965))))))</f>
        <v/>
      </c>
      <c r="K1966" s="14" t="str">
        <f aca="false">IF(OR(E1966="",E1966="!!!",F1966="NEW"),"",INDEX(J$1:J1965,SUMPRODUCT(MAX(ROW(E$1:E1965)*(E1966=E$1:E1965)))))</f>
        <v/>
      </c>
      <c r="L1966" s="15"/>
    </row>
    <row r="1967" customFormat="false" ht="12.75" hidden="false" customHeight="false" outlineLevel="0" collapsed="false">
      <c r="E1967" s="9" t="str">
        <f aca="false">IF(D1967="?OLD","!!!","")</f>
        <v/>
      </c>
      <c r="F1967" s="10" t="str">
        <f aca="false">IF(OR(E1967="",E1967="!!!"),"",IF(NOT(ISNA(VLOOKUP(E1967,E$1:E1966,1,FALSE()))),"OLD",IF(AND(E1967&lt;&gt;"",E1967&lt;&gt;"!!!"),"NEW","")))</f>
        <v/>
      </c>
      <c r="G1967" s="11" t="str">
        <f aca="false">IF(OR(E1967="",E1967="!!!"),"",IF(OR(J1967=0,AND(J1967=1,K1967=1),AND(J1967=1,I1967="SBJ"),AND(J1967=1,I1967=0)),"?IN_FOCUS",IF(J1967&lt;=2,"?ACTIVATED",IF(J1967&lt;&gt;"","?FAMILIAR",IF(F1967="NEW",IF(ISNA(VLOOKUP(E1967,#REF!,1,FALSE())),"?TYPE_IDENTIFIABLE","?REFERENTIAL"),"_")))))</f>
        <v/>
      </c>
      <c r="H1967" s="12" t="str">
        <f aca="false">IF(J1967&lt;&gt;1,"",IF(I1967="SBJ","CB","?"))</f>
        <v/>
      </c>
      <c r="I1967" s="13" t="str">
        <f aca="false">IF(OR(E1967="",E1967="!!!",F1967="NEW"),"",INDEX(B$2:B1966,-1+SUMPRODUCT(MAX(ROW(E$2:E1966)*(E1967=E$2:E1966)))))</f>
        <v/>
      </c>
      <c r="J1967" s="14" t="str">
        <f aca="true">IF(OR(E1967="",E1967="!!!",F1967="NEW"),"",COUNTBLANK(OFFSET(A$1,,,SUMPRODUCT(MAX(ROW(E$2:E1967)*(E1967=E$2:E1967)))))-COUNTBLANK(OFFSET(A$1,,,SUMPRODUCT(MAX(ROW(E$1:E1966)*(E1967=E$1:E1966))))))</f>
        <v/>
      </c>
      <c r="K1967" s="14" t="str">
        <f aca="false">IF(OR(E1967="",E1967="!!!",F1967="NEW"),"",INDEX(J$1:J1966,SUMPRODUCT(MAX(ROW(E$1:E1966)*(E1967=E$1:E1966)))))</f>
        <v/>
      </c>
      <c r="L1967" s="15"/>
    </row>
    <row r="1968" customFormat="false" ht="12.75" hidden="false" customHeight="false" outlineLevel="0" collapsed="false">
      <c r="A1968" s="0" t="s">
        <v>260</v>
      </c>
      <c r="E1968" s="9" t="str">
        <f aca="false">IF(D1968="?OLD","!!!","")</f>
        <v/>
      </c>
      <c r="F1968" s="10" t="str">
        <f aca="false">IF(OR(E1968="",E1968="!!!"),"",IF(NOT(ISNA(VLOOKUP(E1968,E$1:E1967,1,FALSE()))),"OLD",IF(AND(E1968&lt;&gt;"",E1968&lt;&gt;"!!!"),"NEW","")))</f>
        <v/>
      </c>
      <c r="G1968" s="11" t="str">
        <f aca="false">IF(OR(E1968="",E1968="!!!"),"",IF(OR(J1968=0,AND(J1968=1,K1968=1),AND(J1968=1,I1968="SBJ"),AND(J1968=1,I1968=0)),"?IN_FOCUS",IF(J1968&lt;=2,"?ACTIVATED",IF(J1968&lt;&gt;"","?FAMILIAR",IF(F1968="NEW",IF(ISNA(VLOOKUP(E1968,#REF!,1,FALSE())),"?TYPE_IDENTIFIABLE","?REFERENTIAL"),"_")))))</f>
        <v/>
      </c>
      <c r="H1968" s="12" t="str">
        <f aca="false">IF(J1968&lt;&gt;1,"",IF(I1968="SBJ","CB","?"))</f>
        <v/>
      </c>
      <c r="I1968" s="13" t="str">
        <f aca="false">IF(OR(E1968="",E1968="!!!",F1968="NEW"),"",INDEX(B$2:B1967,-1+SUMPRODUCT(MAX(ROW(E$2:E1967)*(E1968=E$2:E1967)))))</f>
        <v/>
      </c>
      <c r="J1968" s="14" t="str">
        <f aca="true">IF(OR(E1968="",E1968="!!!",F1968="NEW"),"",COUNTBLANK(OFFSET(A$1,,,SUMPRODUCT(MAX(ROW(E$2:E1968)*(E1968=E$2:E1968)))))-COUNTBLANK(OFFSET(A$1,,,SUMPRODUCT(MAX(ROW(E$1:E1967)*(E1968=E$1:E1967))))))</f>
        <v/>
      </c>
      <c r="K1968" s="14" t="str">
        <f aca="false">IF(OR(E1968="",E1968="!!!",F1968="NEW"),"",INDEX(J$1:J1967,SUMPRODUCT(MAX(ROW(E$1:E1967)*(E1968=E$1:E1967)))))</f>
        <v/>
      </c>
      <c r="L1968" s="15"/>
    </row>
    <row r="1969" customFormat="false" ht="12.75" hidden="false" customHeight="false" outlineLevel="0" collapsed="false">
      <c r="A1969" s="0" t="s">
        <v>789</v>
      </c>
      <c r="E1969" s="9" t="str">
        <f aca="false">IF(D1969="?OLD","!!!","")</f>
        <v/>
      </c>
      <c r="F1969" s="10" t="str">
        <f aca="false">IF(OR(E1969="",E1969="!!!"),"",IF(NOT(ISNA(VLOOKUP(E1969,E$1:E1968,1,FALSE()))),"OLD",IF(AND(E1969&lt;&gt;"",E1969&lt;&gt;"!!!"),"NEW","")))</f>
        <v/>
      </c>
      <c r="G1969" s="11" t="str">
        <f aca="false">IF(OR(E1969="",E1969="!!!"),"",IF(OR(J1969=0,AND(J1969=1,K1969=1),AND(J1969=1,I1969="SBJ"),AND(J1969=1,I1969=0)),"?IN_FOCUS",IF(J1969&lt;=2,"?ACTIVATED",IF(J1969&lt;&gt;"","?FAMILIAR",IF(F1969="NEW",IF(ISNA(VLOOKUP(E1969,#REF!,1,FALSE())),"?TYPE_IDENTIFIABLE","?REFERENTIAL"),"_")))))</f>
        <v/>
      </c>
      <c r="H1969" s="12" t="str">
        <f aca="false">IF(J1969&lt;&gt;1,"",IF(I1969="SBJ","CB","?"))</f>
        <v/>
      </c>
      <c r="I1969" s="13" t="str">
        <f aca="false">IF(OR(E1969="",E1969="!!!",F1969="NEW"),"",INDEX(B$2:B1968,-1+SUMPRODUCT(MAX(ROW(E$2:E1968)*(E1969=E$2:E1968)))))</f>
        <v/>
      </c>
      <c r="J1969" s="14" t="str">
        <f aca="true">IF(OR(E1969="",E1969="!!!",F1969="NEW"),"",COUNTBLANK(OFFSET(A$1,,,SUMPRODUCT(MAX(ROW(E$2:E1969)*(E1969=E$2:E1969)))))-COUNTBLANK(OFFSET(A$1,,,SUMPRODUCT(MAX(ROW(E$1:E1968)*(E1969=E$1:E1968))))))</f>
        <v/>
      </c>
      <c r="K1969" s="14" t="str">
        <f aca="false">IF(OR(E1969="",E1969="!!!",F1969="NEW"),"",INDEX(J$1:J1968,SUMPRODUCT(MAX(ROW(E$1:E1968)*(E1969=E$1:E1968)))))</f>
        <v/>
      </c>
      <c r="L1969" s="15"/>
    </row>
    <row r="1970" customFormat="false" ht="12.75" hidden="false" customHeight="false" outlineLevel="0" collapsed="false">
      <c r="A1970" s="0" t="s">
        <v>224</v>
      </c>
      <c r="B1970" s="0" t="s">
        <v>14</v>
      </c>
      <c r="C1970" s="0" t="s">
        <v>38</v>
      </c>
      <c r="D1970" s="0" t="s">
        <v>29</v>
      </c>
      <c r="E1970" s="9" t="str">
        <f aca="false">IF(D1970="?OLD","!!!","")</f>
        <v>!!!</v>
      </c>
      <c r="F1970" s="10" t="str">
        <f aca="false">IF(OR(E1970="",E1970="!!!"),"",IF(NOT(ISNA(VLOOKUP(E1970,E$1:E1969,1,FALSE()))),"OLD",IF(AND(E1970&lt;&gt;"",E1970&lt;&gt;"!!!"),"NEW","")))</f>
        <v/>
      </c>
      <c r="G1970" s="11" t="str">
        <f aca="false">IF(OR(E1970="",E1970="!!!"),"",IF(OR(J1970=0,AND(J1970=1,K1970=1),AND(J1970=1,I1970="SBJ"),AND(J1970=1,I1970=0)),"?IN_FOCUS",IF(J1970&lt;=2,"?ACTIVATED",IF(J1970&lt;&gt;"","?FAMILIAR",IF(F1970="NEW",IF(ISNA(VLOOKUP(E1970,#REF!,1,FALSE())),"?TYPE_IDENTIFIABLE","?REFERENTIAL"),"_")))))</f>
        <v/>
      </c>
      <c r="H1970" s="12" t="str">
        <f aca="false">IF(J1970&lt;&gt;1,"",IF(I1970="SBJ","CB","?"))</f>
        <v/>
      </c>
      <c r="I1970" s="13" t="str">
        <f aca="false">IF(OR(E1970="",E1970="!!!",F1970="NEW"),"",INDEX(B$2:B1969,-1+SUMPRODUCT(MAX(ROW(E$2:E1969)*(E1970=E$2:E1969)))))</f>
        <v/>
      </c>
      <c r="J1970" s="14" t="str">
        <f aca="true">IF(OR(E1970="",E1970="!!!",F1970="NEW"),"",COUNTBLANK(OFFSET(A$1,,,SUMPRODUCT(MAX(ROW(E$2:E1970)*(E1970=E$2:E1970)))))-COUNTBLANK(OFFSET(A$1,,,SUMPRODUCT(MAX(ROW(E$1:E1969)*(E1970=E$1:E1969))))))</f>
        <v/>
      </c>
      <c r="K1970" s="14" t="str">
        <f aca="false">IF(OR(E1970="",E1970="!!!",F1970="NEW"),"",INDEX(J$1:J1969,SUMPRODUCT(MAX(ROW(E$1:E1969)*(E1970=E$1:E1969)))))</f>
        <v/>
      </c>
      <c r="L1970" s="15"/>
    </row>
    <row r="1971" customFormat="false" ht="12.75" hidden="false" customHeight="false" outlineLevel="0" collapsed="false">
      <c r="A1971" s="0" t="s">
        <v>26</v>
      </c>
      <c r="E1971" s="9" t="str">
        <f aca="false">IF(D1971="?OLD","!!!","")</f>
        <v/>
      </c>
      <c r="F1971" s="10" t="str">
        <f aca="false">IF(OR(E1971="",E1971="!!!"),"",IF(NOT(ISNA(VLOOKUP(E1971,E$1:E1970,1,FALSE()))),"OLD",IF(AND(E1971&lt;&gt;"",E1971&lt;&gt;"!!!"),"NEW","")))</f>
        <v/>
      </c>
      <c r="G1971" s="11" t="str">
        <f aca="false">IF(OR(E1971="",E1971="!!!"),"",IF(OR(J1971=0,AND(J1971=1,K1971=1),AND(J1971=1,I1971="SBJ"),AND(J1971=1,I1971=0)),"?IN_FOCUS",IF(J1971&lt;=2,"?ACTIVATED",IF(J1971&lt;&gt;"","?FAMILIAR",IF(F1971="NEW",IF(ISNA(VLOOKUP(E1971,#REF!,1,FALSE())),"?TYPE_IDENTIFIABLE","?REFERENTIAL"),"_")))))</f>
        <v/>
      </c>
      <c r="H1971" s="12" t="str">
        <f aca="false">IF(J1971&lt;&gt;1,"",IF(I1971="SBJ","CB","?"))</f>
        <v/>
      </c>
      <c r="I1971" s="13" t="str">
        <f aca="false">IF(OR(E1971="",E1971="!!!",F1971="NEW"),"",INDEX(B$2:B1970,-1+SUMPRODUCT(MAX(ROW(E$2:E1970)*(E1971=E$2:E1970)))))</f>
        <v/>
      </c>
      <c r="J1971" s="14" t="str">
        <f aca="true">IF(OR(E1971="",E1971="!!!",F1971="NEW"),"",COUNTBLANK(OFFSET(A$1,,,SUMPRODUCT(MAX(ROW(E$2:E1971)*(E1971=E$2:E1971)))))-COUNTBLANK(OFFSET(A$1,,,SUMPRODUCT(MAX(ROW(E$1:E1970)*(E1971=E$1:E1970))))))</f>
        <v/>
      </c>
      <c r="K1971" s="14" t="str">
        <f aca="false">IF(OR(E1971="",E1971="!!!",F1971="NEW"),"",INDEX(J$1:J1970,SUMPRODUCT(MAX(ROW(E$1:E1970)*(E1971=E$1:E1970)))))</f>
        <v/>
      </c>
      <c r="L1971" s="15"/>
    </row>
    <row r="1972" customFormat="false" ht="12.75" hidden="false" customHeight="false" outlineLevel="0" collapsed="false">
      <c r="A1972" s="0" t="s">
        <v>610</v>
      </c>
      <c r="E1972" s="9" t="str">
        <f aca="false">IF(D1972="?OLD","!!!","")</f>
        <v/>
      </c>
      <c r="F1972" s="10" t="str">
        <f aca="false">IF(OR(E1972="",E1972="!!!"),"",IF(NOT(ISNA(VLOOKUP(E1972,E$1:E1971,1,FALSE()))),"OLD",IF(AND(E1972&lt;&gt;"",E1972&lt;&gt;"!!!"),"NEW","")))</f>
        <v/>
      </c>
      <c r="G1972" s="11" t="str">
        <f aca="false">IF(OR(E1972="",E1972="!!!"),"",IF(OR(J1972=0,AND(J1972=1,K1972=1),AND(J1972=1,I1972="SBJ"),AND(J1972=1,I1972=0)),"?IN_FOCUS",IF(J1972&lt;=2,"?ACTIVATED",IF(J1972&lt;&gt;"","?FAMILIAR",IF(F1972="NEW",IF(ISNA(VLOOKUP(E1972,#REF!,1,FALSE())),"?TYPE_IDENTIFIABLE","?REFERENTIAL"),"_")))))</f>
        <v/>
      </c>
      <c r="H1972" s="12" t="str">
        <f aca="false">IF(J1972&lt;&gt;1,"",IF(I1972="SBJ","CB","?"))</f>
        <v/>
      </c>
      <c r="I1972" s="13" t="str">
        <f aca="false">IF(OR(E1972="",E1972="!!!",F1972="NEW"),"",INDEX(B$2:B1971,-1+SUMPRODUCT(MAX(ROW(E$2:E1971)*(E1972=E$2:E1971)))))</f>
        <v/>
      </c>
      <c r="J1972" s="14" t="str">
        <f aca="true">IF(OR(E1972="",E1972="!!!",F1972="NEW"),"",COUNTBLANK(OFFSET(A$1,,,SUMPRODUCT(MAX(ROW(E$2:E1972)*(E1972=E$2:E1972)))))-COUNTBLANK(OFFSET(A$1,,,SUMPRODUCT(MAX(ROW(E$1:E1971)*(E1972=E$1:E1971))))))</f>
        <v/>
      </c>
      <c r="K1972" s="14" t="str">
        <f aca="false">IF(OR(E1972="",E1972="!!!",F1972="NEW"),"",INDEX(J$1:J1971,SUMPRODUCT(MAX(ROW(E$1:E1971)*(E1972=E$1:E1971)))))</f>
        <v/>
      </c>
      <c r="L1972" s="15"/>
    </row>
    <row r="1973" customFormat="false" ht="12.75" hidden="false" customHeight="false" outlineLevel="0" collapsed="false">
      <c r="A1973" s="0" t="s">
        <v>291</v>
      </c>
      <c r="E1973" s="9" t="str">
        <f aca="false">IF(D1973="?OLD","!!!","")</f>
        <v/>
      </c>
      <c r="F1973" s="10" t="str">
        <f aca="false">IF(OR(E1973="",E1973="!!!"),"",IF(NOT(ISNA(VLOOKUP(E1973,E$1:E1972,1,FALSE()))),"OLD",IF(AND(E1973&lt;&gt;"",E1973&lt;&gt;"!!!"),"NEW","")))</f>
        <v/>
      </c>
      <c r="G1973" s="11" t="str">
        <f aca="false">IF(OR(E1973="",E1973="!!!"),"",IF(OR(J1973=0,AND(J1973=1,K1973=1),AND(J1973=1,I1973="SBJ"),AND(J1973=1,I1973=0)),"?IN_FOCUS",IF(J1973&lt;=2,"?ACTIVATED",IF(J1973&lt;&gt;"","?FAMILIAR",IF(F1973="NEW",IF(ISNA(VLOOKUP(E1973,#REF!,1,FALSE())),"?TYPE_IDENTIFIABLE","?REFERENTIAL"),"_")))))</f>
        <v/>
      </c>
      <c r="H1973" s="12" t="str">
        <f aca="false">IF(J1973&lt;&gt;1,"",IF(I1973="SBJ","CB","?"))</f>
        <v/>
      </c>
      <c r="I1973" s="13" t="str">
        <f aca="false">IF(OR(E1973="",E1973="!!!",F1973="NEW"),"",INDEX(B$2:B1972,-1+SUMPRODUCT(MAX(ROW(E$2:E1972)*(E1973=E$2:E1972)))))</f>
        <v/>
      </c>
      <c r="J1973" s="14" t="str">
        <f aca="true">IF(OR(E1973="",E1973="!!!",F1973="NEW"),"",COUNTBLANK(OFFSET(A$1,,,SUMPRODUCT(MAX(ROW(E$2:E1973)*(E1973=E$2:E1973)))))-COUNTBLANK(OFFSET(A$1,,,SUMPRODUCT(MAX(ROW(E$1:E1972)*(E1973=E$1:E1972))))))</f>
        <v/>
      </c>
      <c r="K1973" s="14" t="str">
        <f aca="false">IF(OR(E1973="",E1973="!!!",F1973="NEW"),"",INDEX(J$1:J1972,SUMPRODUCT(MAX(ROW(E$1:E1972)*(E1973=E$1:E1972)))))</f>
        <v/>
      </c>
      <c r="L1973" s="15"/>
    </row>
    <row r="1974" customFormat="false" ht="12.75" hidden="false" customHeight="false" outlineLevel="0" collapsed="false">
      <c r="A1974" s="0" t="s">
        <v>262</v>
      </c>
      <c r="E1974" s="9" t="str">
        <f aca="false">IF(D1974="?OLD","!!!","")</f>
        <v/>
      </c>
      <c r="F1974" s="10" t="str">
        <f aca="false">IF(OR(E1974="",E1974="!!!"),"",IF(NOT(ISNA(VLOOKUP(E1974,E$1:E1973,1,FALSE()))),"OLD",IF(AND(E1974&lt;&gt;"",E1974&lt;&gt;"!!!"),"NEW","")))</f>
        <v/>
      </c>
      <c r="G1974" s="11" t="str">
        <f aca="false">IF(OR(E1974="",E1974="!!!"),"",IF(OR(J1974=0,AND(J1974=1,K1974=1),AND(J1974=1,I1974="SBJ"),AND(J1974=1,I1974=0)),"?IN_FOCUS",IF(J1974&lt;=2,"?ACTIVATED",IF(J1974&lt;&gt;"","?FAMILIAR",IF(F1974="NEW",IF(ISNA(VLOOKUP(E1974,#REF!,1,FALSE())),"?TYPE_IDENTIFIABLE","?REFERENTIAL"),"_")))))</f>
        <v/>
      </c>
      <c r="H1974" s="12" t="str">
        <f aca="false">IF(J1974&lt;&gt;1,"",IF(I1974="SBJ","CB","?"))</f>
        <v/>
      </c>
      <c r="I1974" s="13" t="str">
        <f aca="false">IF(OR(E1974="",E1974="!!!",F1974="NEW"),"",INDEX(B$2:B1973,-1+SUMPRODUCT(MAX(ROW(E$2:E1973)*(E1974=E$2:E1973)))))</f>
        <v/>
      </c>
      <c r="J1974" s="14" t="str">
        <f aca="true">IF(OR(E1974="",E1974="!!!",F1974="NEW"),"",COUNTBLANK(OFFSET(A$1,,,SUMPRODUCT(MAX(ROW(E$2:E1974)*(E1974=E$2:E1974)))))-COUNTBLANK(OFFSET(A$1,,,SUMPRODUCT(MAX(ROW(E$1:E1973)*(E1974=E$1:E1973))))))</f>
        <v/>
      </c>
      <c r="K1974" s="14" t="str">
        <f aca="false">IF(OR(E1974="",E1974="!!!",F1974="NEW"),"",INDEX(J$1:J1973,SUMPRODUCT(MAX(ROW(E$1:E1973)*(E1974=E$1:E1973)))))</f>
        <v/>
      </c>
      <c r="L1974" s="15"/>
    </row>
    <row r="1975" customFormat="false" ht="12.75" hidden="false" customHeight="false" outlineLevel="0" collapsed="false">
      <c r="E1975" s="9" t="str">
        <f aca="false">IF(D1975="?OLD","!!!","")</f>
        <v/>
      </c>
      <c r="F1975" s="10" t="str">
        <f aca="false">IF(OR(E1975="",E1975="!!!"),"",IF(NOT(ISNA(VLOOKUP(E1975,E$1:E1974,1,FALSE()))),"OLD",IF(AND(E1975&lt;&gt;"",E1975&lt;&gt;"!!!"),"NEW","")))</f>
        <v/>
      </c>
      <c r="G1975" s="11" t="str">
        <f aca="false">IF(OR(E1975="",E1975="!!!"),"",IF(OR(J1975=0,AND(J1975=1,K1975=1),AND(J1975=1,I1975="SBJ"),AND(J1975=1,I1975=0)),"?IN_FOCUS",IF(J1975&lt;=2,"?ACTIVATED",IF(J1975&lt;&gt;"","?FAMILIAR",IF(F1975="NEW",IF(ISNA(VLOOKUP(E1975,#REF!,1,FALSE())),"?TYPE_IDENTIFIABLE","?REFERENTIAL"),"_")))))</f>
        <v/>
      </c>
      <c r="H1975" s="12" t="str">
        <f aca="false">IF(J1975&lt;&gt;1,"",IF(I1975="SBJ","CB","?"))</f>
        <v/>
      </c>
      <c r="I1975" s="13" t="str">
        <f aca="false">IF(OR(E1975="",E1975="!!!",F1975="NEW"),"",INDEX(B$2:B1974,-1+SUMPRODUCT(MAX(ROW(E$2:E1974)*(E1975=E$2:E1974)))))</f>
        <v/>
      </c>
      <c r="J1975" s="14" t="str">
        <f aca="true">IF(OR(E1975="",E1975="!!!",F1975="NEW"),"",COUNTBLANK(OFFSET(A$1,,,SUMPRODUCT(MAX(ROW(E$2:E1975)*(E1975=E$2:E1975)))))-COUNTBLANK(OFFSET(A$1,,,SUMPRODUCT(MAX(ROW(E$1:E1974)*(E1975=E$1:E1974))))))</f>
        <v/>
      </c>
      <c r="K1975" s="14" t="str">
        <f aca="false">IF(OR(E1975="",E1975="!!!",F1975="NEW"),"",INDEX(J$1:J1974,SUMPRODUCT(MAX(ROW(E$1:E1974)*(E1975=E$1:E1974)))))</f>
        <v/>
      </c>
      <c r="L1975" s="15"/>
    </row>
    <row r="1976" customFormat="false" ht="12.75" hidden="false" customHeight="false" outlineLevel="0" collapsed="false">
      <c r="A1976" s="0" t="s">
        <v>790</v>
      </c>
      <c r="E1976" s="9" t="str">
        <f aca="false">IF(D1976="?OLD","!!!","")</f>
        <v/>
      </c>
      <c r="F1976" s="10" t="str">
        <f aca="false">IF(OR(E1976="",E1976="!!!"),"",IF(NOT(ISNA(VLOOKUP(E1976,E$1:E1975,1,FALSE()))),"OLD",IF(AND(E1976&lt;&gt;"",E1976&lt;&gt;"!!!"),"NEW","")))</f>
        <v/>
      </c>
      <c r="G1976" s="11" t="str">
        <f aca="false">IF(OR(E1976="",E1976="!!!"),"",IF(OR(J1976=0,AND(J1976=1,K1976=1),AND(J1976=1,I1976="SBJ"),AND(J1976=1,I1976=0)),"?IN_FOCUS",IF(J1976&lt;=2,"?ACTIVATED",IF(J1976&lt;&gt;"","?FAMILIAR",IF(F1976="NEW",IF(ISNA(VLOOKUP(E1976,#REF!,1,FALSE())),"?TYPE_IDENTIFIABLE","?REFERENTIAL"),"_")))))</f>
        <v/>
      </c>
      <c r="H1976" s="12" t="str">
        <f aca="false">IF(J1976&lt;&gt;1,"",IF(I1976="SBJ","CB","?"))</f>
        <v/>
      </c>
      <c r="I1976" s="13" t="str">
        <f aca="false">IF(OR(E1976="",E1976="!!!",F1976="NEW"),"",INDEX(B$2:B1975,-1+SUMPRODUCT(MAX(ROW(E$2:E1975)*(E1976=E$2:E1975)))))</f>
        <v/>
      </c>
      <c r="J1976" s="14" t="str">
        <f aca="true">IF(OR(E1976="",E1976="!!!",F1976="NEW"),"",COUNTBLANK(OFFSET(A$1,,,SUMPRODUCT(MAX(ROW(E$2:E1976)*(E1976=E$2:E1976)))))-COUNTBLANK(OFFSET(A$1,,,SUMPRODUCT(MAX(ROW(E$1:E1975)*(E1976=E$1:E1975))))))</f>
        <v/>
      </c>
      <c r="K1976" s="14" t="str">
        <f aca="false">IF(OR(E1976="",E1976="!!!",F1976="NEW"),"",INDEX(J$1:J1975,SUMPRODUCT(MAX(ROW(E$1:E1975)*(E1976=E$1:E1975)))))</f>
        <v/>
      </c>
      <c r="L1976" s="15"/>
    </row>
    <row r="1977" customFormat="false" ht="12.75" hidden="false" customHeight="false" outlineLevel="0" collapsed="false">
      <c r="A1977" s="0" t="s">
        <v>454</v>
      </c>
      <c r="E1977" s="9" t="str">
        <f aca="false">IF(D1977="?OLD","!!!","")</f>
        <v/>
      </c>
      <c r="F1977" s="10" t="str">
        <f aca="false">IF(OR(E1977="",E1977="!!!"),"",IF(NOT(ISNA(VLOOKUP(E1977,E$1:E1976,1,FALSE()))),"OLD",IF(AND(E1977&lt;&gt;"",E1977&lt;&gt;"!!!"),"NEW","")))</f>
        <v/>
      </c>
      <c r="G1977" s="11" t="str">
        <f aca="false">IF(OR(E1977="",E1977="!!!"),"",IF(OR(J1977=0,AND(J1977=1,K1977=1),AND(J1977=1,I1977="SBJ"),AND(J1977=1,I1977=0)),"?IN_FOCUS",IF(J1977&lt;=2,"?ACTIVATED",IF(J1977&lt;&gt;"","?FAMILIAR",IF(F1977="NEW",IF(ISNA(VLOOKUP(E1977,#REF!,1,FALSE())),"?TYPE_IDENTIFIABLE","?REFERENTIAL"),"_")))))</f>
        <v/>
      </c>
      <c r="H1977" s="12" t="str">
        <f aca="false">IF(J1977&lt;&gt;1,"",IF(I1977="SBJ","CB","?"))</f>
        <v/>
      </c>
      <c r="I1977" s="13" t="str">
        <f aca="false">IF(OR(E1977="",E1977="!!!",F1977="NEW"),"",INDEX(B$2:B1976,-1+SUMPRODUCT(MAX(ROW(E$2:E1976)*(E1977=E$2:E1976)))))</f>
        <v/>
      </c>
      <c r="J1977" s="14" t="str">
        <f aca="true">IF(OR(E1977="",E1977="!!!",F1977="NEW"),"",COUNTBLANK(OFFSET(A$1,,,SUMPRODUCT(MAX(ROW(E$2:E1977)*(E1977=E$2:E1977)))))-COUNTBLANK(OFFSET(A$1,,,SUMPRODUCT(MAX(ROW(E$1:E1976)*(E1977=E$1:E1976))))))</f>
        <v/>
      </c>
      <c r="K1977" s="14" t="str">
        <f aca="false">IF(OR(E1977="",E1977="!!!",F1977="NEW"),"",INDEX(J$1:J1976,SUMPRODUCT(MAX(ROW(E$1:E1976)*(E1977=E$1:E1976)))))</f>
        <v/>
      </c>
      <c r="L1977" s="15"/>
    </row>
    <row r="1978" customFormat="false" ht="12.75" hidden="false" customHeight="false" outlineLevel="0" collapsed="false">
      <c r="A1978" s="0" t="s">
        <v>48</v>
      </c>
      <c r="E1978" s="9" t="str">
        <f aca="false">IF(D1978="?OLD","!!!","")</f>
        <v/>
      </c>
      <c r="F1978" s="10" t="str">
        <f aca="false">IF(OR(E1978="",E1978="!!!"),"",IF(NOT(ISNA(VLOOKUP(E1978,E$1:E1977,1,FALSE()))),"OLD",IF(AND(E1978&lt;&gt;"",E1978&lt;&gt;"!!!"),"NEW","")))</f>
        <v/>
      </c>
      <c r="G1978" s="11" t="str">
        <f aca="false">IF(OR(E1978="",E1978="!!!"),"",IF(OR(J1978=0,AND(J1978=1,K1978=1),AND(J1978=1,I1978="SBJ"),AND(J1978=1,I1978=0)),"?IN_FOCUS",IF(J1978&lt;=2,"?ACTIVATED",IF(J1978&lt;&gt;"","?FAMILIAR",IF(F1978="NEW",IF(ISNA(VLOOKUP(E1978,#REF!,1,FALSE())),"?TYPE_IDENTIFIABLE","?REFERENTIAL"),"_")))))</f>
        <v/>
      </c>
      <c r="H1978" s="12" t="str">
        <f aca="false">IF(J1978&lt;&gt;1,"",IF(I1978="SBJ","CB","?"))</f>
        <v/>
      </c>
      <c r="I1978" s="13" t="str">
        <f aca="false">IF(OR(E1978="",E1978="!!!",F1978="NEW"),"",INDEX(B$2:B1977,-1+SUMPRODUCT(MAX(ROW(E$2:E1977)*(E1978=E$2:E1977)))))</f>
        <v/>
      </c>
      <c r="J1978" s="14" t="str">
        <f aca="true">IF(OR(E1978="",E1978="!!!",F1978="NEW"),"",COUNTBLANK(OFFSET(A$1,,,SUMPRODUCT(MAX(ROW(E$2:E1978)*(E1978=E$2:E1978)))))-COUNTBLANK(OFFSET(A$1,,,SUMPRODUCT(MAX(ROW(E$1:E1977)*(E1978=E$1:E1977))))))</f>
        <v/>
      </c>
      <c r="K1978" s="14" t="str">
        <f aca="false">IF(OR(E1978="",E1978="!!!",F1978="NEW"),"",INDEX(J$1:J1977,SUMPRODUCT(MAX(ROW(E$1:E1977)*(E1978=E$1:E1977)))))</f>
        <v/>
      </c>
      <c r="L1978" s="15"/>
    </row>
    <row r="1979" customFormat="false" ht="12.75" hidden="false" customHeight="false" outlineLevel="0" collapsed="false">
      <c r="A1979" s="0" t="s">
        <v>40</v>
      </c>
      <c r="E1979" s="9" t="str">
        <f aca="false">IF(D1979="?OLD","!!!","")</f>
        <v/>
      </c>
      <c r="F1979" s="10" t="str">
        <f aca="false">IF(OR(E1979="",E1979="!!!"),"",IF(NOT(ISNA(VLOOKUP(E1979,E$1:E1978,1,FALSE()))),"OLD",IF(AND(E1979&lt;&gt;"",E1979&lt;&gt;"!!!"),"NEW","")))</f>
        <v/>
      </c>
      <c r="G1979" s="11" t="str">
        <f aca="false">IF(OR(E1979="",E1979="!!!"),"",IF(OR(J1979=0,AND(J1979=1,K1979=1),AND(J1979=1,I1979="SBJ"),AND(J1979=1,I1979=0)),"?IN_FOCUS",IF(J1979&lt;=2,"?ACTIVATED",IF(J1979&lt;&gt;"","?FAMILIAR",IF(F1979="NEW",IF(ISNA(VLOOKUP(E1979,#REF!,1,FALSE())),"?TYPE_IDENTIFIABLE","?REFERENTIAL"),"_")))))</f>
        <v/>
      </c>
      <c r="H1979" s="12" t="str">
        <f aca="false">IF(J1979&lt;&gt;1,"",IF(I1979="SBJ","CB","?"))</f>
        <v/>
      </c>
      <c r="I1979" s="13" t="str">
        <f aca="false">IF(OR(E1979="",E1979="!!!",F1979="NEW"),"",INDEX(B$2:B1978,-1+SUMPRODUCT(MAX(ROW(E$2:E1978)*(E1979=E$2:E1978)))))</f>
        <v/>
      </c>
      <c r="J1979" s="14" t="str">
        <f aca="true">IF(OR(E1979="",E1979="!!!",F1979="NEW"),"",COUNTBLANK(OFFSET(A$1,,,SUMPRODUCT(MAX(ROW(E$2:E1979)*(E1979=E$2:E1979)))))-COUNTBLANK(OFFSET(A$1,,,SUMPRODUCT(MAX(ROW(E$1:E1978)*(E1979=E$1:E1978))))))</f>
        <v/>
      </c>
      <c r="K1979" s="14" t="str">
        <f aca="false">IF(OR(E1979="",E1979="!!!",F1979="NEW"),"",INDEX(J$1:J1978,SUMPRODUCT(MAX(ROW(E$1:E1978)*(E1979=E$1:E1978)))))</f>
        <v/>
      </c>
      <c r="L1979" s="15"/>
    </row>
    <row r="1980" customFormat="false" ht="12.75" hidden="false" customHeight="false" outlineLevel="0" collapsed="false">
      <c r="A1980" s="0" t="s">
        <v>664</v>
      </c>
      <c r="E1980" s="9" t="str">
        <f aca="false">IF(D1980="?OLD","!!!","")</f>
        <v/>
      </c>
      <c r="F1980" s="10" t="str">
        <f aca="false">IF(OR(E1980="",E1980="!!!"),"",IF(NOT(ISNA(VLOOKUP(E1980,E$1:E1979,1,FALSE()))),"OLD",IF(AND(E1980&lt;&gt;"",E1980&lt;&gt;"!!!"),"NEW","")))</f>
        <v/>
      </c>
      <c r="G1980" s="11" t="str">
        <f aca="false">IF(OR(E1980="",E1980="!!!"),"",IF(OR(J1980=0,AND(J1980=1,K1980=1),AND(J1980=1,I1980="SBJ"),AND(J1980=1,I1980=0)),"?IN_FOCUS",IF(J1980&lt;=2,"?ACTIVATED",IF(J1980&lt;&gt;"","?FAMILIAR",IF(F1980="NEW",IF(ISNA(VLOOKUP(E1980,#REF!,1,FALSE())),"?TYPE_IDENTIFIABLE","?REFERENTIAL"),"_")))))</f>
        <v/>
      </c>
      <c r="H1980" s="12" t="str">
        <f aca="false">IF(J1980&lt;&gt;1,"",IF(I1980="SBJ","CB","?"))</f>
        <v/>
      </c>
      <c r="I1980" s="13" t="str">
        <f aca="false">IF(OR(E1980="",E1980="!!!",F1980="NEW"),"",INDEX(B$2:B1979,-1+SUMPRODUCT(MAX(ROW(E$2:E1979)*(E1980=E$2:E1979)))))</f>
        <v/>
      </c>
      <c r="J1980" s="14" t="str">
        <f aca="true">IF(OR(E1980="",E1980="!!!",F1980="NEW"),"",COUNTBLANK(OFFSET(A$1,,,SUMPRODUCT(MAX(ROW(E$2:E1980)*(E1980=E$2:E1980)))))-COUNTBLANK(OFFSET(A$1,,,SUMPRODUCT(MAX(ROW(E$1:E1979)*(E1980=E$1:E1979))))))</f>
        <v/>
      </c>
      <c r="K1980" s="14" t="str">
        <f aca="false">IF(OR(E1980="",E1980="!!!",F1980="NEW"),"",INDEX(J$1:J1979,SUMPRODUCT(MAX(ROW(E$1:E1979)*(E1980=E$1:E1979)))))</f>
        <v/>
      </c>
      <c r="L1980" s="15"/>
    </row>
    <row r="1981" customFormat="false" ht="12.75" hidden="false" customHeight="false" outlineLevel="0" collapsed="false">
      <c r="A1981" s="0" t="s">
        <v>31</v>
      </c>
      <c r="E1981" s="9" t="str">
        <f aca="false">IF(D1981="?OLD","!!!","")</f>
        <v/>
      </c>
      <c r="F1981" s="10" t="str">
        <f aca="false">IF(OR(E1981="",E1981="!!!"),"",IF(NOT(ISNA(VLOOKUP(E1981,E$1:E1980,1,FALSE()))),"OLD",IF(AND(E1981&lt;&gt;"",E1981&lt;&gt;"!!!"),"NEW","")))</f>
        <v/>
      </c>
      <c r="G1981" s="11" t="str">
        <f aca="false">IF(OR(E1981="",E1981="!!!"),"",IF(OR(J1981=0,AND(J1981=1,K1981=1),AND(J1981=1,I1981="SBJ"),AND(J1981=1,I1981=0)),"?IN_FOCUS",IF(J1981&lt;=2,"?ACTIVATED",IF(J1981&lt;&gt;"","?FAMILIAR",IF(F1981="NEW",IF(ISNA(VLOOKUP(E1981,#REF!,1,FALSE())),"?TYPE_IDENTIFIABLE","?REFERENTIAL"),"_")))))</f>
        <v/>
      </c>
      <c r="H1981" s="12" t="str">
        <f aca="false">IF(J1981&lt;&gt;1,"",IF(I1981="SBJ","CB","?"))</f>
        <v/>
      </c>
      <c r="I1981" s="13" t="str">
        <f aca="false">IF(OR(E1981="",E1981="!!!",F1981="NEW"),"",INDEX(B$2:B1980,-1+SUMPRODUCT(MAX(ROW(E$2:E1980)*(E1981=E$2:E1980)))))</f>
        <v/>
      </c>
      <c r="J1981" s="14" t="str">
        <f aca="true">IF(OR(E1981="",E1981="!!!",F1981="NEW"),"",COUNTBLANK(OFFSET(A$1,,,SUMPRODUCT(MAX(ROW(E$2:E1981)*(E1981=E$2:E1981)))))-COUNTBLANK(OFFSET(A$1,,,SUMPRODUCT(MAX(ROW(E$1:E1980)*(E1981=E$1:E1980))))))</f>
        <v/>
      </c>
      <c r="K1981" s="14" t="str">
        <f aca="false">IF(OR(E1981="",E1981="!!!",F1981="NEW"),"",INDEX(J$1:J1980,SUMPRODUCT(MAX(ROW(E$1:E1980)*(E1981=E$1:E1980)))))</f>
        <v/>
      </c>
      <c r="L1981" s="15"/>
    </row>
    <row r="1982" customFormat="false" ht="12.75" hidden="false" customHeight="false" outlineLevel="0" collapsed="false">
      <c r="A1982" s="0" t="s">
        <v>500</v>
      </c>
      <c r="E1982" s="9" t="str">
        <f aca="false">IF(D1982="?OLD","!!!","")</f>
        <v/>
      </c>
      <c r="F1982" s="10" t="str">
        <f aca="false">IF(OR(E1982="",E1982="!!!"),"",IF(NOT(ISNA(VLOOKUP(E1982,E$1:E1981,1,FALSE()))),"OLD",IF(AND(E1982&lt;&gt;"",E1982&lt;&gt;"!!!"),"NEW","")))</f>
        <v/>
      </c>
      <c r="G1982" s="11" t="str">
        <f aca="false">IF(OR(E1982="",E1982="!!!"),"",IF(OR(J1982=0,AND(J1982=1,K1982=1),AND(J1982=1,I1982="SBJ"),AND(J1982=1,I1982=0)),"?IN_FOCUS",IF(J1982&lt;=2,"?ACTIVATED",IF(J1982&lt;&gt;"","?FAMILIAR",IF(F1982="NEW",IF(ISNA(VLOOKUP(E1982,#REF!,1,FALSE())),"?TYPE_IDENTIFIABLE","?REFERENTIAL"),"_")))))</f>
        <v/>
      </c>
      <c r="H1982" s="12" t="str">
        <f aca="false">IF(J1982&lt;&gt;1,"",IF(I1982="SBJ","CB","?"))</f>
        <v/>
      </c>
      <c r="I1982" s="13" t="str">
        <f aca="false">IF(OR(E1982="",E1982="!!!",F1982="NEW"),"",INDEX(B$2:B1981,-1+SUMPRODUCT(MAX(ROW(E$2:E1981)*(E1982=E$2:E1981)))))</f>
        <v/>
      </c>
      <c r="J1982" s="14" t="str">
        <f aca="true">IF(OR(E1982="",E1982="!!!",F1982="NEW"),"",COUNTBLANK(OFFSET(A$1,,,SUMPRODUCT(MAX(ROW(E$2:E1982)*(E1982=E$2:E1982)))))-COUNTBLANK(OFFSET(A$1,,,SUMPRODUCT(MAX(ROW(E$1:E1981)*(E1982=E$1:E1981))))))</f>
        <v/>
      </c>
      <c r="K1982" s="14" t="str">
        <f aca="false">IF(OR(E1982="",E1982="!!!",F1982="NEW"),"",INDEX(J$1:J1981,SUMPRODUCT(MAX(ROW(E$1:E1981)*(E1982=E$1:E1981)))))</f>
        <v/>
      </c>
      <c r="L1982" s="15"/>
    </row>
    <row r="1983" customFormat="false" ht="12.75" hidden="false" customHeight="false" outlineLevel="0" collapsed="false">
      <c r="A1983" s="0" t="s">
        <v>31</v>
      </c>
      <c r="E1983" s="9" t="str">
        <f aca="false">IF(D1983="?OLD","!!!","")</f>
        <v/>
      </c>
      <c r="F1983" s="10" t="str">
        <f aca="false">IF(OR(E1983="",E1983="!!!"),"",IF(NOT(ISNA(VLOOKUP(E1983,E$1:E1982,1,FALSE()))),"OLD",IF(AND(E1983&lt;&gt;"",E1983&lt;&gt;"!!!"),"NEW","")))</f>
        <v/>
      </c>
      <c r="G1983" s="11" t="str">
        <f aca="false">IF(OR(E1983="",E1983="!!!"),"",IF(OR(J1983=0,AND(J1983=1,K1983=1),AND(J1983=1,I1983="SBJ"),AND(J1983=1,I1983=0)),"?IN_FOCUS",IF(J1983&lt;=2,"?ACTIVATED",IF(J1983&lt;&gt;"","?FAMILIAR",IF(F1983="NEW",IF(ISNA(VLOOKUP(E1983,#REF!,1,FALSE())),"?TYPE_IDENTIFIABLE","?REFERENTIAL"),"_")))))</f>
        <v/>
      </c>
      <c r="H1983" s="12" t="str">
        <f aca="false">IF(J1983&lt;&gt;1,"",IF(I1983="SBJ","CB","?"))</f>
        <v/>
      </c>
      <c r="I1983" s="13" t="str">
        <f aca="false">IF(OR(E1983="",E1983="!!!",F1983="NEW"),"",INDEX(B$2:B1982,-1+SUMPRODUCT(MAX(ROW(E$2:E1982)*(E1983=E$2:E1982)))))</f>
        <v/>
      </c>
      <c r="J1983" s="14" t="str">
        <f aca="true">IF(OR(E1983="",E1983="!!!",F1983="NEW"),"",COUNTBLANK(OFFSET(A$1,,,SUMPRODUCT(MAX(ROW(E$2:E1983)*(E1983=E$2:E1983)))))-COUNTBLANK(OFFSET(A$1,,,SUMPRODUCT(MAX(ROW(E$1:E1982)*(E1983=E$1:E1982))))))</f>
        <v/>
      </c>
      <c r="K1983" s="14" t="str">
        <f aca="false">IF(OR(E1983="",E1983="!!!",F1983="NEW"),"",INDEX(J$1:J1982,SUMPRODUCT(MAX(ROW(E$1:E1982)*(E1983=E$1:E1982)))))</f>
        <v/>
      </c>
      <c r="L1983" s="15"/>
    </row>
    <row r="1984" customFormat="false" ht="12.75" hidden="false" customHeight="false" outlineLevel="0" collapsed="false">
      <c r="A1984" s="0" t="s">
        <v>791</v>
      </c>
      <c r="E1984" s="9" t="str">
        <f aca="false">IF(D1984="?OLD","!!!","")</f>
        <v/>
      </c>
      <c r="F1984" s="10" t="str">
        <f aca="false">IF(OR(E1984="",E1984="!!!"),"",IF(NOT(ISNA(VLOOKUP(E1984,E$1:E1983,1,FALSE()))),"OLD",IF(AND(E1984&lt;&gt;"",E1984&lt;&gt;"!!!"),"NEW","")))</f>
        <v/>
      </c>
      <c r="G1984" s="11" t="str">
        <f aca="false">IF(OR(E1984="",E1984="!!!"),"",IF(OR(J1984=0,AND(J1984=1,K1984=1),AND(J1984=1,I1984="SBJ"),AND(J1984=1,I1984=0)),"?IN_FOCUS",IF(J1984&lt;=2,"?ACTIVATED",IF(J1984&lt;&gt;"","?FAMILIAR",IF(F1984="NEW",IF(ISNA(VLOOKUP(E1984,#REF!,1,FALSE())),"?TYPE_IDENTIFIABLE","?REFERENTIAL"),"_")))))</f>
        <v/>
      </c>
      <c r="H1984" s="12" t="str">
        <f aca="false">IF(J1984&lt;&gt;1,"",IF(I1984="SBJ","CB","?"))</f>
        <v/>
      </c>
      <c r="I1984" s="13" t="str">
        <f aca="false">IF(OR(E1984="",E1984="!!!",F1984="NEW"),"",INDEX(B$2:B1983,-1+SUMPRODUCT(MAX(ROW(E$2:E1983)*(E1984=E$2:E1983)))))</f>
        <v/>
      </c>
      <c r="J1984" s="14" t="str">
        <f aca="true">IF(OR(E1984="",E1984="!!!",F1984="NEW"),"",COUNTBLANK(OFFSET(A$1,,,SUMPRODUCT(MAX(ROW(E$2:E1984)*(E1984=E$2:E1984)))))-COUNTBLANK(OFFSET(A$1,,,SUMPRODUCT(MAX(ROW(E$1:E1983)*(E1984=E$1:E1983))))))</f>
        <v/>
      </c>
      <c r="K1984" s="14" t="str">
        <f aca="false">IF(OR(E1984="",E1984="!!!",F1984="NEW"),"",INDEX(J$1:J1983,SUMPRODUCT(MAX(ROW(E$1:E1983)*(E1984=E$1:E1983)))))</f>
        <v/>
      </c>
      <c r="L1984" s="15"/>
    </row>
    <row r="1985" customFormat="false" ht="12.75" hidden="false" customHeight="false" outlineLevel="0" collapsed="false">
      <c r="A1985" s="0" t="s">
        <v>792</v>
      </c>
      <c r="B1985" s="0" t="s">
        <v>14</v>
      </c>
      <c r="C1985" s="0" t="s">
        <v>43</v>
      </c>
      <c r="E1985" s="9" t="str">
        <f aca="false">IF(D1985="?OLD","!!!","")</f>
        <v/>
      </c>
      <c r="F1985" s="10" t="str">
        <f aca="false">IF(OR(E1985="",E1985="!!!"),"",IF(NOT(ISNA(VLOOKUP(E1985,E$1:E1984,1,FALSE()))),"OLD",IF(AND(E1985&lt;&gt;"",E1985&lt;&gt;"!!!"),"NEW","")))</f>
        <v/>
      </c>
      <c r="G1985" s="11" t="str">
        <f aca="false">IF(OR(E1985="",E1985="!!!"),"",IF(OR(J1985=0,AND(J1985=1,K1985=1),AND(J1985=1,I1985="SBJ"),AND(J1985=1,I1985=0)),"?IN_FOCUS",IF(J1985&lt;=2,"?ACTIVATED",IF(J1985&lt;&gt;"","?FAMILIAR",IF(F1985="NEW",IF(ISNA(VLOOKUP(E1985,#REF!,1,FALSE())),"?TYPE_IDENTIFIABLE","?REFERENTIAL"),"_")))))</f>
        <v/>
      </c>
      <c r="H1985" s="12" t="str">
        <f aca="false">IF(J1985&lt;&gt;1,"",IF(I1985="SBJ","CB","?"))</f>
        <v/>
      </c>
      <c r="I1985" s="13" t="str">
        <f aca="false">IF(OR(E1985="",E1985="!!!",F1985="NEW"),"",INDEX(B$2:B1984,-1+SUMPRODUCT(MAX(ROW(E$2:E1984)*(E1985=E$2:E1984)))))</f>
        <v/>
      </c>
      <c r="J1985" s="14" t="str">
        <f aca="true">IF(OR(E1985="",E1985="!!!",F1985="NEW"),"",COUNTBLANK(OFFSET(A$1,,,SUMPRODUCT(MAX(ROW(E$2:E1985)*(E1985=E$2:E1985)))))-COUNTBLANK(OFFSET(A$1,,,SUMPRODUCT(MAX(ROW(E$1:E1984)*(E1985=E$1:E1984))))))</f>
        <v/>
      </c>
      <c r="K1985" s="14" t="str">
        <f aca="false">IF(OR(E1985="",E1985="!!!",F1985="NEW"),"",INDEX(J$1:J1984,SUMPRODUCT(MAX(ROW(E$1:E1984)*(E1985=E$1:E1984)))))</f>
        <v/>
      </c>
      <c r="L1985" s="15"/>
    </row>
    <row r="1986" customFormat="false" ht="12.75" hidden="false" customHeight="false" outlineLevel="0" collapsed="false">
      <c r="A1986" s="0" t="s">
        <v>79</v>
      </c>
      <c r="E1986" s="9" t="str">
        <f aca="false">IF(D1986="?OLD","!!!","")</f>
        <v/>
      </c>
      <c r="F1986" s="10" t="str">
        <f aca="false">IF(OR(E1986="",E1986="!!!"),"",IF(NOT(ISNA(VLOOKUP(E1986,E$1:E1985,1,FALSE()))),"OLD",IF(AND(E1986&lt;&gt;"",E1986&lt;&gt;"!!!"),"NEW","")))</f>
        <v/>
      </c>
      <c r="G1986" s="11" t="str">
        <f aca="false">IF(OR(E1986="",E1986="!!!"),"",IF(OR(J1986=0,AND(J1986=1,K1986=1),AND(J1986=1,I1986="SBJ"),AND(J1986=1,I1986=0)),"?IN_FOCUS",IF(J1986&lt;=2,"?ACTIVATED",IF(J1986&lt;&gt;"","?FAMILIAR",IF(F1986="NEW",IF(ISNA(VLOOKUP(E1986,#REF!,1,FALSE())),"?TYPE_IDENTIFIABLE","?REFERENTIAL"),"_")))))</f>
        <v/>
      </c>
      <c r="H1986" s="12" t="str">
        <f aca="false">IF(J1986&lt;&gt;1,"",IF(I1986="SBJ","CB","?"))</f>
        <v/>
      </c>
      <c r="I1986" s="13" t="str">
        <f aca="false">IF(OR(E1986="",E1986="!!!",F1986="NEW"),"",INDEX(B$2:B1985,-1+SUMPRODUCT(MAX(ROW(E$2:E1985)*(E1986=E$2:E1985)))))</f>
        <v/>
      </c>
      <c r="J1986" s="14" t="str">
        <f aca="true">IF(OR(E1986="",E1986="!!!",F1986="NEW"),"",COUNTBLANK(OFFSET(A$1,,,SUMPRODUCT(MAX(ROW(E$2:E1986)*(E1986=E$2:E1986)))))-COUNTBLANK(OFFSET(A$1,,,SUMPRODUCT(MAX(ROW(E$1:E1985)*(E1986=E$1:E1985))))))</f>
        <v/>
      </c>
      <c r="K1986" s="14" t="str">
        <f aca="false">IF(OR(E1986="",E1986="!!!",F1986="NEW"),"",INDEX(J$1:J1985,SUMPRODUCT(MAX(ROW(E$1:E1985)*(E1986=E$1:E1985)))))</f>
        <v/>
      </c>
      <c r="L1986" s="15"/>
    </row>
    <row r="1987" customFormat="false" ht="12.75" hidden="false" customHeight="false" outlineLevel="0" collapsed="false">
      <c r="A1987" s="0" t="s">
        <v>793</v>
      </c>
      <c r="E1987" s="9" t="str">
        <f aca="false">IF(D1987="?OLD","!!!","")</f>
        <v/>
      </c>
      <c r="F1987" s="10" t="str">
        <f aca="false">IF(OR(E1987="",E1987="!!!"),"",IF(NOT(ISNA(VLOOKUP(E1987,E$1:E1986,1,FALSE()))),"OLD",IF(AND(E1987&lt;&gt;"",E1987&lt;&gt;"!!!"),"NEW","")))</f>
        <v/>
      </c>
      <c r="G1987" s="11" t="str">
        <f aca="false">IF(OR(E1987="",E1987="!!!"),"",IF(OR(J1987=0,AND(J1987=1,K1987=1),AND(J1987=1,I1987="SBJ"),AND(J1987=1,I1987=0)),"?IN_FOCUS",IF(J1987&lt;=2,"?ACTIVATED",IF(J1987&lt;&gt;"","?FAMILIAR",IF(F1987="NEW",IF(ISNA(VLOOKUP(E1987,#REF!,1,FALSE())),"?TYPE_IDENTIFIABLE","?REFERENTIAL"),"_")))))</f>
        <v/>
      </c>
      <c r="H1987" s="12" t="str">
        <f aca="false">IF(J1987&lt;&gt;1,"",IF(I1987="SBJ","CB","?"))</f>
        <v/>
      </c>
      <c r="I1987" s="13" t="str">
        <f aca="false">IF(OR(E1987="",E1987="!!!",F1987="NEW"),"",INDEX(B$2:B1986,-1+SUMPRODUCT(MAX(ROW(E$2:E1986)*(E1987=E$2:E1986)))))</f>
        <v/>
      </c>
      <c r="J1987" s="14" t="str">
        <f aca="true">IF(OR(E1987="",E1987="!!!",F1987="NEW"),"",COUNTBLANK(OFFSET(A$1,,,SUMPRODUCT(MAX(ROW(E$2:E1987)*(E1987=E$2:E1987)))))-COUNTBLANK(OFFSET(A$1,,,SUMPRODUCT(MAX(ROW(E$1:E1986)*(E1987=E$1:E1986))))))</f>
        <v/>
      </c>
      <c r="K1987" s="14" t="str">
        <f aca="false">IF(OR(E1987="",E1987="!!!",F1987="NEW"),"",INDEX(J$1:J1986,SUMPRODUCT(MAX(ROW(E$1:E1986)*(E1987=E$1:E1986)))))</f>
        <v/>
      </c>
      <c r="L1987" s="15"/>
    </row>
    <row r="1988" customFormat="false" ht="12.75" hidden="false" customHeight="false" outlineLevel="0" collapsed="false">
      <c r="A1988" s="0" t="s">
        <v>136</v>
      </c>
      <c r="E1988" s="9" t="str">
        <f aca="false">IF(D1988="?OLD","!!!","")</f>
        <v/>
      </c>
      <c r="F1988" s="10" t="str">
        <f aca="false">IF(OR(E1988="",E1988="!!!"),"",IF(NOT(ISNA(VLOOKUP(E1988,E$1:E1987,1,FALSE()))),"OLD",IF(AND(E1988&lt;&gt;"",E1988&lt;&gt;"!!!"),"NEW","")))</f>
        <v/>
      </c>
      <c r="G1988" s="11" t="str">
        <f aca="false">IF(OR(E1988="",E1988="!!!"),"",IF(OR(J1988=0,AND(J1988=1,K1988=1),AND(J1988=1,I1988="SBJ"),AND(J1988=1,I1988=0)),"?IN_FOCUS",IF(J1988&lt;=2,"?ACTIVATED",IF(J1988&lt;&gt;"","?FAMILIAR",IF(F1988="NEW",IF(ISNA(VLOOKUP(E1988,#REF!,1,FALSE())),"?TYPE_IDENTIFIABLE","?REFERENTIAL"),"_")))))</f>
        <v/>
      </c>
      <c r="H1988" s="12" t="str">
        <f aca="false">IF(J1988&lt;&gt;1,"",IF(I1988="SBJ","CB","?"))</f>
        <v/>
      </c>
      <c r="I1988" s="13" t="str">
        <f aca="false">IF(OR(E1988="",E1988="!!!",F1988="NEW"),"",INDEX(B$2:B1987,-1+SUMPRODUCT(MAX(ROW(E$2:E1987)*(E1988=E$2:E1987)))))</f>
        <v/>
      </c>
      <c r="J1988" s="14" t="str">
        <f aca="true">IF(OR(E1988="",E1988="!!!",F1988="NEW"),"",COUNTBLANK(OFFSET(A$1,,,SUMPRODUCT(MAX(ROW(E$2:E1988)*(E1988=E$2:E1988)))))-COUNTBLANK(OFFSET(A$1,,,SUMPRODUCT(MAX(ROW(E$1:E1987)*(E1988=E$1:E1987))))))</f>
        <v/>
      </c>
      <c r="K1988" s="14" t="str">
        <f aca="false">IF(OR(E1988="",E1988="!!!",F1988="NEW"),"",INDEX(J$1:J1987,SUMPRODUCT(MAX(ROW(E$1:E1987)*(E1988=E$1:E1987)))))</f>
        <v/>
      </c>
      <c r="L1988" s="15"/>
    </row>
    <row r="1989" customFormat="false" ht="12.75" hidden="false" customHeight="false" outlineLevel="0" collapsed="false">
      <c r="A1989" s="0" t="s">
        <v>66</v>
      </c>
      <c r="E1989" s="9" t="str">
        <f aca="false">IF(D1989="?OLD","!!!","")</f>
        <v/>
      </c>
      <c r="F1989" s="10" t="str">
        <f aca="false">IF(OR(E1989="",E1989="!!!"),"",IF(NOT(ISNA(VLOOKUP(E1989,E$1:E1988,1,FALSE()))),"OLD",IF(AND(E1989&lt;&gt;"",E1989&lt;&gt;"!!!"),"NEW","")))</f>
        <v/>
      </c>
      <c r="G1989" s="11" t="str">
        <f aca="false">IF(OR(E1989="",E1989="!!!"),"",IF(OR(J1989=0,AND(J1989=1,K1989=1),AND(J1989=1,I1989="SBJ"),AND(J1989=1,I1989=0)),"?IN_FOCUS",IF(J1989&lt;=2,"?ACTIVATED",IF(J1989&lt;&gt;"","?FAMILIAR",IF(F1989="NEW",IF(ISNA(VLOOKUP(E1989,#REF!,1,FALSE())),"?TYPE_IDENTIFIABLE","?REFERENTIAL"),"_")))))</f>
        <v/>
      </c>
      <c r="H1989" s="12" t="str">
        <f aca="false">IF(J1989&lt;&gt;1,"",IF(I1989="SBJ","CB","?"))</f>
        <v/>
      </c>
      <c r="I1989" s="13" t="str">
        <f aca="false">IF(OR(E1989="",E1989="!!!",F1989="NEW"),"",INDEX(B$2:B1988,-1+SUMPRODUCT(MAX(ROW(E$2:E1988)*(E1989=E$2:E1988)))))</f>
        <v/>
      </c>
      <c r="J1989" s="14" t="str">
        <f aca="true">IF(OR(E1989="",E1989="!!!",F1989="NEW"),"",COUNTBLANK(OFFSET(A$1,,,SUMPRODUCT(MAX(ROW(E$2:E1989)*(E1989=E$2:E1989)))))-COUNTBLANK(OFFSET(A$1,,,SUMPRODUCT(MAX(ROW(E$1:E1988)*(E1989=E$1:E1988))))))</f>
        <v/>
      </c>
      <c r="K1989" s="14" t="str">
        <f aca="false">IF(OR(E1989="",E1989="!!!",F1989="NEW"),"",INDEX(J$1:J1988,SUMPRODUCT(MAX(ROW(E$1:E1988)*(E1989=E$1:E1988)))))</f>
        <v/>
      </c>
      <c r="L1989" s="15"/>
    </row>
    <row r="1990" customFormat="false" ht="12.75" hidden="false" customHeight="false" outlineLevel="0" collapsed="false">
      <c r="A1990" s="0" t="s">
        <v>794</v>
      </c>
      <c r="B1990" s="0" t="s">
        <v>28</v>
      </c>
      <c r="C1990" s="0" t="s">
        <v>111</v>
      </c>
      <c r="D1990" s="0" t="s">
        <v>29</v>
      </c>
      <c r="E1990" s="9" t="str">
        <f aca="false">IF(D1990="?OLD","!!!","")</f>
        <v>!!!</v>
      </c>
      <c r="F1990" s="10" t="str">
        <f aca="false">IF(OR(E1990="",E1990="!!!"),"",IF(NOT(ISNA(VLOOKUP(E1990,E$1:E1989,1,FALSE()))),"OLD",IF(AND(E1990&lt;&gt;"",E1990&lt;&gt;"!!!"),"NEW","")))</f>
        <v/>
      </c>
      <c r="G1990" s="11" t="str">
        <f aca="false">IF(OR(E1990="",E1990="!!!"),"",IF(OR(J1990=0,AND(J1990=1,K1990=1),AND(J1990=1,I1990="SBJ"),AND(J1990=1,I1990=0)),"?IN_FOCUS",IF(J1990&lt;=2,"?ACTIVATED",IF(J1990&lt;&gt;"","?FAMILIAR",IF(F1990="NEW",IF(ISNA(VLOOKUP(E1990,#REF!,1,FALSE())),"?TYPE_IDENTIFIABLE","?REFERENTIAL"),"_")))))</f>
        <v/>
      </c>
      <c r="H1990" s="12" t="str">
        <f aca="false">IF(J1990&lt;&gt;1,"",IF(I1990="SBJ","CB","?"))</f>
        <v/>
      </c>
      <c r="I1990" s="13" t="str">
        <f aca="false">IF(OR(E1990="",E1990="!!!",F1990="NEW"),"",INDEX(B$2:B1989,-1+SUMPRODUCT(MAX(ROW(E$2:E1989)*(E1990=E$2:E1989)))))</f>
        <v/>
      </c>
      <c r="J1990" s="14" t="str">
        <f aca="true">IF(OR(E1990="",E1990="!!!",F1990="NEW"),"",COUNTBLANK(OFFSET(A$1,,,SUMPRODUCT(MAX(ROW(E$2:E1990)*(E1990=E$2:E1990)))))-COUNTBLANK(OFFSET(A$1,,,SUMPRODUCT(MAX(ROW(E$1:E1989)*(E1990=E$1:E1989))))))</f>
        <v/>
      </c>
      <c r="K1990" s="14" t="str">
        <f aca="false">IF(OR(E1990="",E1990="!!!",F1990="NEW"),"",INDEX(J$1:J1989,SUMPRODUCT(MAX(ROW(E$1:E1989)*(E1990=E$1:E1989)))))</f>
        <v/>
      </c>
      <c r="L1990" s="15"/>
    </row>
    <row r="1991" customFormat="false" ht="12.75" hidden="false" customHeight="false" outlineLevel="0" collapsed="false">
      <c r="A1991" s="0" t="s">
        <v>19</v>
      </c>
      <c r="E1991" s="9" t="str">
        <f aca="false">IF(D1991="?OLD","!!!","")</f>
        <v/>
      </c>
      <c r="F1991" s="10" t="str">
        <f aca="false">IF(OR(E1991="",E1991="!!!"),"",IF(NOT(ISNA(VLOOKUP(E1991,E$1:E1990,1,FALSE()))),"OLD",IF(AND(E1991&lt;&gt;"",E1991&lt;&gt;"!!!"),"NEW","")))</f>
        <v/>
      </c>
      <c r="G1991" s="11" t="str">
        <f aca="false">IF(OR(E1991="",E1991="!!!"),"",IF(OR(J1991=0,AND(J1991=1,K1991=1),AND(J1991=1,I1991="SBJ"),AND(J1991=1,I1991=0)),"?IN_FOCUS",IF(J1991&lt;=2,"?ACTIVATED",IF(J1991&lt;&gt;"","?FAMILIAR",IF(F1991="NEW",IF(ISNA(VLOOKUP(E1991,#REF!,1,FALSE())),"?TYPE_IDENTIFIABLE","?REFERENTIAL"),"_")))))</f>
        <v/>
      </c>
      <c r="H1991" s="12" t="str">
        <f aca="false">IF(J1991&lt;&gt;1,"",IF(I1991="SBJ","CB","?"))</f>
        <v/>
      </c>
      <c r="I1991" s="13" t="str">
        <f aca="false">IF(OR(E1991="",E1991="!!!",F1991="NEW"),"",INDEX(B$2:B1990,-1+SUMPRODUCT(MAX(ROW(E$2:E1990)*(E1991=E$2:E1990)))))</f>
        <v/>
      </c>
      <c r="J1991" s="14" t="str">
        <f aca="true">IF(OR(E1991="",E1991="!!!",F1991="NEW"),"",COUNTBLANK(OFFSET(A$1,,,SUMPRODUCT(MAX(ROW(E$2:E1991)*(E1991=E$2:E1991)))))-COUNTBLANK(OFFSET(A$1,,,SUMPRODUCT(MAX(ROW(E$1:E1990)*(E1991=E$1:E1990))))))</f>
        <v/>
      </c>
      <c r="K1991" s="14" t="str">
        <f aca="false">IF(OR(E1991="",E1991="!!!",F1991="NEW"),"",INDEX(J$1:J1990,SUMPRODUCT(MAX(ROW(E$1:E1990)*(E1991=E$1:E1990)))))</f>
        <v/>
      </c>
      <c r="L1991" s="15"/>
    </row>
    <row r="1992" customFormat="false" ht="12.75" hidden="false" customHeight="false" outlineLevel="0" collapsed="false">
      <c r="A1992" s="0" t="s">
        <v>45</v>
      </c>
      <c r="E1992" s="9" t="str">
        <f aca="false">IF(D1992="?OLD","!!!","")</f>
        <v/>
      </c>
      <c r="F1992" s="10" t="str">
        <f aca="false">IF(OR(E1992="",E1992="!!!"),"",IF(NOT(ISNA(VLOOKUP(E1992,E$1:E1991,1,FALSE()))),"OLD",IF(AND(E1992&lt;&gt;"",E1992&lt;&gt;"!!!"),"NEW","")))</f>
        <v/>
      </c>
      <c r="G1992" s="11" t="str">
        <f aca="false">IF(OR(E1992="",E1992="!!!"),"",IF(OR(J1992=0,AND(J1992=1,K1992=1),AND(J1992=1,I1992="SBJ"),AND(J1992=1,I1992=0)),"?IN_FOCUS",IF(J1992&lt;=2,"?ACTIVATED",IF(J1992&lt;&gt;"","?FAMILIAR",IF(F1992="NEW",IF(ISNA(VLOOKUP(E1992,#REF!,1,FALSE())),"?TYPE_IDENTIFIABLE","?REFERENTIAL"),"_")))))</f>
        <v/>
      </c>
      <c r="H1992" s="12" t="str">
        <f aca="false">IF(J1992&lt;&gt;1,"",IF(I1992="SBJ","CB","?"))</f>
        <v/>
      </c>
      <c r="I1992" s="13" t="str">
        <f aca="false">IF(OR(E1992="",E1992="!!!",F1992="NEW"),"",INDEX(B$2:B1991,-1+SUMPRODUCT(MAX(ROW(E$2:E1991)*(E1992=E$2:E1991)))))</f>
        <v/>
      </c>
      <c r="J1992" s="14" t="str">
        <f aca="true">IF(OR(E1992="",E1992="!!!",F1992="NEW"),"",COUNTBLANK(OFFSET(A$1,,,SUMPRODUCT(MAX(ROW(E$2:E1992)*(E1992=E$2:E1992)))))-COUNTBLANK(OFFSET(A$1,,,SUMPRODUCT(MAX(ROW(E$1:E1991)*(E1992=E$1:E1991))))))</f>
        <v/>
      </c>
      <c r="K1992" s="14" t="str">
        <f aca="false">IF(OR(E1992="",E1992="!!!",F1992="NEW"),"",INDEX(J$1:J1991,SUMPRODUCT(MAX(ROW(E$1:E1991)*(E1992=E$1:E1991)))))</f>
        <v/>
      </c>
      <c r="L1992" s="15"/>
    </row>
    <row r="1993" customFormat="false" ht="12.75" hidden="false" customHeight="false" outlineLevel="0" collapsed="false">
      <c r="A1993" s="0" t="s">
        <v>678</v>
      </c>
      <c r="E1993" s="9" t="str">
        <f aca="false">IF(D1993="?OLD","!!!","")</f>
        <v/>
      </c>
      <c r="F1993" s="10" t="str">
        <f aca="false">IF(OR(E1993="",E1993="!!!"),"",IF(NOT(ISNA(VLOOKUP(E1993,E$1:E1992,1,FALSE()))),"OLD",IF(AND(E1993&lt;&gt;"",E1993&lt;&gt;"!!!"),"NEW","")))</f>
        <v/>
      </c>
      <c r="G1993" s="11" t="str">
        <f aca="false">IF(OR(E1993="",E1993="!!!"),"",IF(OR(J1993=0,AND(J1993=1,K1993=1),AND(J1993=1,I1993="SBJ"),AND(J1993=1,I1993=0)),"?IN_FOCUS",IF(J1993&lt;=2,"?ACTIVATED",IF(J1993&lt;&gt;"","?FAMILIAR",IF(F1993="NEW",IF(ISNA(VLOOKUP(E1993,#REF!,1,FALSE())),"?TYPE_IDENTIFIABLE","?REFERENTIAL"),"_")))))</f>
        <v/>
      </c>
      <c r="H1993" s="12" t="str">
        <f aca="false">IF(J1993&lt;&gt;1,"",IF(I1993="SBJ","CB","?"))</f>
        <v/>
      </c>
      <c r="I1993" s="13" t="str">
        <f aca="false">IF(OR(E1993="",E1993="!!!",F1993="NEW"),"",INDEX(B$2:B1992,-1+SUMPRODUCT(MAX(ROW(E$2:E1992)*(E1993=E$2:E1992)))))</f>
        <v/>
      </c>
      <c r="J1993" s="14" t="str">
        <f aca="true">IF(OR(E1993="",E1993="!!!",F1993="NEW"),"",COUNTBLANK(OFFSET(A$1,,,SUMPRODUCT(MAX(ROW(E$2:E1993)*(E1993=E$2:E1993)))))-COUNTBLANK(OFFSET(A$1,,,SUMPRODUCT(MAX(ROW(E$1:E1992)*(E1993=E$1:E1992))))))</f>
        <v/>
      </c>
      <c r="K1993" s="14" t="str">
        <f aca="false">IF(OR(E1993="",E1993="!!!",F1993="NEW"),"",INDEX(J$1:J1992,SUMPRODUCT(MAX(ROW(E$1:E1992)*(E1993=E$1:E1992)))))</f>
        <v/>
      </c>
      <c r="L1993" s="15"/>
    </row>
    <row r="1994" customFormat="false" ht="12.75" hidden="false" customHeight="false" outlineLevel="0" collapsed="false">
      <c r="A1994" s="0" t="s">
        <v>682</v>
      </c>
      <c r="B1994" s="0" t="s">
        <v>22</v>
      </c>
      <c r="C1994" s="0" t="s">
        <v>120</v>
      </c>
      <c r="E1994" s="9" t="str">
        <f aca="false">IF(D1994="?OLD","!!!","")</f>
        <v/>
      </c>
      <c r="F1994" s="10" t="str">
        <f aca="false">IF(OR(E1994="",E1994="!!!"),"",IF(NOT(ISNA(VLOOKUP(E1994,E$1:E1993,1,FALSE()))),"OLD",IF(AND(E1994&lt;&gt;"",E1994&lt;&gt;"!!!"),"NEW","")))</f>
        <v/>
      </c>
      <c r="G1994" s="11" t="str">
        <f aca="false">IF(OR(E1994="",E1994="!!!"),"",IF(OR(J1994=0,AND(J1994=1,K1994=1),AND(J1994=1,I1994="SBJ"),AND(J1994=1,I1994=0)),"?IN_FOCUS",IF(J1994&lt;=2,"?ACTIVATED",IF(J1994&lt;&gt;"","?FAMILIAR",IF(F1994="NEW",IF(ISNA(VLOOKUP(E1994,#REF!,1,FALSE())),"?TYPE_IDENTIFIABLE","?REFERENTIAL"),"_")))))</f>
        <v/>
      </c>
      <c r="H1994" s="12" t="str">
        <f aca="false">IF(J1994&lt;&gt;1,"",IF(I1994="SBJ","CB","?"))</f>
        <v/>
      </c>
      <c r="I1994" s="13" t="str">
        <f aca="false">IF(OR(E1994="",E1994="!!!",F1994="NEW"),"",INDEX(B$2:B1993,-1+SUMPRODUCT(MAX(ROW(E$2:E1993)*(E1994=E$2:E1993)))))</f>
        <v/>
      </c>
      <c r="J1994" s="14" t="str">
        <f aca="true">IF(OR(E1994="",E1994="!!!",F1994="NEW"),"",COUNTBLANK(OFFSET(A$1,,,SUMPRODUCT(MAX(ROW(E$2:E1994)*(E1994=E$2:E1994)))))-COUNTBLANK(OFFSET(A$1,,,SUMPRODUCT(MAX(ROW(E$1:E1993)*(E1994=E$1:E1993))))))</f>
        <v/>
      </c>
      <c r="K1994" s="14" t="str">
        <f aca="false">IF(OR(E1994="",E1994="!!!",F1994="NEW"),"",INDEX(J$1:J1993,SUMPRODUCT(MAX(ROW(E$1:E1993)*(E1994=E$1:E1993)))))</f>
        <v/>
      </c>
      <c r="L1994" s="15"/>
    </row>
    <row r="1995" customFormat="false" ht="12.75" hidden="false" customHeight="false" outlineLevel="0" collapsed="false">
      <c r="A1995" s="0" t="s">
        <v>73</v>
      </c>
      <c r="E1995" s="9" t="str">
        <f aca="false">IF(D1995="?OLD","!!!","")</f>
        <v/>
      </c>
      <c r="F1995" s="10" t="str">
        <f aca="false">IF(OR(E1995="",E1995="!!!"),"",IF(NOT(ISNA(VLOOKUP(E1995,E$1:E1994,1,FALSE()))),"OLD",IF(AND(E1995&lt;&gt;"",E1995&lt;&gt;"!!!"),"NEW","")))</f>
        <v/>
      </c>
      <c r="G1995" s="11" t="str">
        <f aca="false">IF(OR(E1995="",E1995="!!!"),"",IF(OR(J1995=0,AND(J1995=1,K1995=1),AND(J1995=1,I1995="SBJ"),AND(J1995=1,I1995=0)),"?IN_FOCUS",IF(J1995&lt;=2,"?ACTIVATED",IF(J1995&lt;&gt;"","?FAMILIAR",IF(F1995="NEW",IF(ISNA(VLOOKUP(E1995,#REF!,1,FALSE())),"?TYPE_IDENTIFIABLE","?REFERENTIAL"),"_")))))</f>
        <v/>
      </c>
      <c r="H1995" s="12" t="str">
        <f aca="false">IF(J1995&lt;&gt;1,"",IF(I1995="SBJ","CB","?"))</f>
        <v/>
      </c>
      <c r="I1995" s="13" t="str">
        <f aca="false">IF(OR(E1995="",E1995="!!!",F1995="NEW"),"",INDEX(B$2:B1994,-1+SUMPRODUCT(MAX(ROW(E$2:E1994)*(E1995=E$2:E1994)))))</f>
        <v/>
      </c>
      <c r="J1995" s="14" t="str">
        <f aca="true">IF(OR(E1995="",E1995="!!!",F1995="NEW"),"",COUNTBLANK(OFFSET(A$1,,,SUMPRODUCT(MAX(ROW(E$2:E1995)*(E1995=E$2:E1995)))))-COUNTBLANK(OFFSET(A$1,,,SUMPRODUCT(MAX(ROW(E$1:E1994)*(E1995=E$1:E1994))))))</f>
        <v/>
      </c>
      <c r="K1995" s="14" t="str">
        <f aca="false">IF(OR(E1995="",E1995="!!!",F1995="NEW"),"",INDEX(J$1:J1994,SUMPRODUCT(MAX(ROW(E$1:E1994)*(E1995=E$1:E1994)))))</f>
        <v/>
      </c>
      <c r="L1995" s="15"/>
    </row>
    <row r="1996" customFormat="false" ht="12.75" hidden="false" customHeight="false" outlineLevel="0" collapsed="false">
      <c r="E1996" s="9" t="str">
        <f aca="false">IF(D1996="?OLD","!!!","")</f>
        <v/>
      </c>
      <c r="F1996" s="10" t="str">
        <f aca="false">IF(OR(E1996="",E1996="!!!"),"",IF(NOT(ISNA(VLOOKUP(E1996,E$1:E1995,1,FALSE()))),"OLD",IF(AND(E1996&lt;&gt;"",E1996&lt;&gt;"!!!"),"NEW","")))</f>
        <v/>
      </c>
      <c r="G1996" s="11" t="str">
        <f aca="false">IF(OR(E1996="",E1996="!!!"),"",IF(OR(J1996=0,AND(J1996=1,K1996=1),AND(J1996=1,I1996="SBJ"),AND(J1996=1,I1996=0)),"?IN_FOCUS",IF(J1996&lt;=2,"?ACTIVATED",IF(J1996&lt;&gt;"","?FAMILIAR",IF(F1996="NEW",IF(ISNA(VLOOKUP(E1996,#REF!,1,FALSE())),"?TYPE_IDENTIFIABLE","?REFERENTIAL"),"_")))))</f>
        <v/>
      </c>
      <c r="H1996" s="12" t="str">
        <f aca="false">IF(J1996&lt;&gt;1,"",IF(I1996="SBJ","CB","?"))</f>
        <v/>
      </c>
      <c r="I1996" s="13" t="str">
        <f aca="false">IF(OR(E1996="",E1996="!!!",F1996="NEW"),"",INDEX(B$2:B1995,-1+SUMPRODUCT(MAX(ROW(E$2:E1995)*(E1996=E$2:E1995)))))</f>
        <v/>
      </c>
      <c r="J1996" s="14" t="str">
        <f aca="true">IF(OR(E1996="",E1996="!!!",F1996="NEW"),"",COUNTBLANK(OFFSET(A$1,,,SUMPRODUCT(MAX(ROW(E$2:E1996)*(E1996=E$2:E1996)))))-COUNTBLANK(OFFSET(A$1,,,SUMPRODUCT(MAX(ROW(E$1:E1995)*(E1996=E$1:E1995))))))</f>
        <v/>
      </c>
      <c r="K1996" s="14" t="str">
        <f aca="false">IF(OR(E1996="",E1996="!!!",F1996="NEW"),"",INDEX(J$1:J1995,SUMPRODUCT(MAX(ROW(E$1:E1995)*(E1996=E$1:E1995)))))</f>
        <v/>
      </c>
      <c r="L1996" s="15"/>
    </row>
    <row r="1997" customFormat="false" ht="12.75" hidden="false" customHeight="false" outlineLevel="0" collapsed="false">
      <c r="A1997" s="0" t="s">
        <v>795</v>
      </c>
      <c r="E1997" s="9" t="str">
        <f aca="false">IF(D1997="?OLD","!!!","")</f>
        <v/>
      </c>
      <c r="F1997" s="10" t="str">
        <f aca="false">IF(OR(E1997="",E1997="!!!"),"",IF(NOT(ISNA(VLOOKUP(E1997,E$1:E1996,1,FALSE()))),"OLD",IF(AND(E1997&lt;&gt;"",E1997&lt;&gt;"!!!"),"NEW","")))</f>
        <v/>
      </c>
      <c r="G1997" s="11" t="str">
        <f aca="false">IF(OR(E1997="",E1997="!!!"),"",IF(OR(J1997=0,AND(J1997=1,K1997=1),AND(J1997=1,I1997="SBJ"),AND(J1997=1,I1997=0)),"?IN_FOCUS",IF(J1997&lt;=2,"?ACTIVATED",IF(J1997&lt;&gt;"","?FAMILIAR",IF(F1997="NEW",IF(ISNA(VLOOKUP(E1997,#REF!,1,FALSE())),"?TYPE_IDENTIFIABLE","?REFERENTIAL"),"_")))))</f>
        <v/>
      </c>
      <c r="H1997" s="12" t="str">
        <f aca="false">IF(J1997&lt;&gt;1,"",IF(I1997="SBJ","CB","?"))</f>
        <v/>
      </c>
      <c r="I1997" s="13" t="str">
        <f aca="false">IF(OR(E1997="",E1997="!!!",F1997="NEW"),"",INDEX(B$2:B1996,-1+SUMPRODUCT(MAX(ROW(E$2:E1996)*(E1997=E$2:E1996)))))</f>
        <v/>
      </c>
      <c r="J1997" s="14" t="str">
        <f aca="true">IF(OR(E1997="",E1997="!!!",F1997="NEW"),"",COUNTBLANK(OFFSET(A$1,,,SUMPRODUCT(MAX(ROW(E$2:E1997)*(E1997=E$2:E1997)))))-COUNTBLANK(OFFSET(A$1,,,SUMPRODUCT(MAX(ROW(E$1:E1996)*(E1997=E$1:E1996))))))</f>
        <v/>
      </c>
      <c r="K1997" s="14" t="str">
        <f aca="false">IF(OR(E1997="",E1997="!!!",F1997="NEW"),"",INDEX(J$1:J1996,SUMPRODUCT(MAX(ROW(E$1:E1996)*(E1997=E$1:E1996)))))</f>
        <v/>
      </c>
      <c r="L1997" s="15"/>
    </row>
    <row r="1998" customFormat="false" ht="12.75" hidden="false" customHeight="false" outlineLevel="0" collapsed="false">
      <c r="A1998" s="0" t="s">
        <v>109</v>
      </c>
      <c r="E1998" s="9" t="str">
        <f aca="false">IF(D1998="?OLD","!!!","")</f>
        <v/>
      </c>
      <c r="F1998" s="10" t="str">
        <f aca="false">IF(OR(E1998="",E1998="!!!"),"",IF(NOT(ISNA(VLOOKUP(E1998,E$1:E1997,1,FALSE()))),"OLD",IF(AND(E1998&lt;&gt;"",E1998&lt;&gt;"!!!"),"NEW","")))</f>
        <v/>
      </c>
      <c r="G1998" s="11" t="str">
        <f aca="false">IF(OR(E1998="",E1998="!!!"),"",IF(OR(J1998=0,AND(J1998=1,K1998=1),AND(J1998=1,I1998="SBJ"),AND(J1998=1,I1998=0)),"?IN_FOCUS",IF(J1998&lt;=2,"?ACTIVATED",IF(J1998&lt;&gt;"","?FAMILIAR",IF(F1998="NEW",IF(ISNA(VLOOKUP(E1998,#REF!,1,FALSE())),"?TYPE_IDENTIFIABLE","?REFERENTIAL"),"_")))))</f>
        <v/>
      </c>
      <c r="H1998" s="12" t="str">
        <f aca="false">IF(J1998&lt;&gt;1,"",IF(I1998="SBJ","CB","?"))</f>
        <v/>
      </c>
      <c r="I1998" s="13" t="str">
        <f aca="false">IF(OR(E1998="",E1998="!!!",F1998="NEW"),"",INDEX(B$2:B1997,-1+SUMPRODUCT(MAX(ROW(E$2:E1997)*(E1998=E$2:E1997)))))</f>
        <v/>
      </c>
      <c r="J1998" s="14" t="str">
        <f aca="true">IF(OR(E1998="",E1998="!!!",F1998="NEW"),"",COUNTBLANK(OFFSET(A$1,,,SUMPRODUCT(MAX(ROW(E$2:E1998)*(E1998=E$2:E1998)))))-COUNTBLANK(OFFSET(A$1,,,SUMPRODUCT(MAX(ROW(E$1:E1997)*(E1998=E$1:E1997))))))</f>
        <v/>
      </c>
      <c r="K1998" s="14" t="str">
        <f aca="false">IF(OR(E1998="",E1998="!!!",F1998="NEW"),"",INDEX(J$1:J1997,SUMPRODUCT(MAX(ROW(E$1:E1997)*(E1998=E$1:E1997)))))</f>
        <v/>
      </c>
      <c r="L1998" s="15"/>
    </row>
    <row r="1999" customFormat="false" ht="12.75" hidden="false" customHeight="false" outlineLevel="0" collapsed="false">
      <c r="A1999" s="0" t="s">
        <v>796</v>
      </c>
      <c r="B1999" s="0" t="s">
        <v>14</v>
      </c>
      <c r="C1999" s="0" t="s">
        <v>111</v>
      </c>
      <c r="D1999" s="0" t="s">
        <v>29</v>
      </c>
      <c r="E1999" s="9" t="str">
        <f aca="false">IF(D1999="?OLD","!!!","")</f>
        <v>!!!</v>
      </c>
      <c r="F1999" s="10" t="str">
        <f aca="false">IF(OR(E1999="",E1999="!!!"),"",IF(NOT(ISNA(VLOOKUP(E1999,E$1:E1998,1,FALSE()))),"OLD",IF(AND(E1999&lt;&gt;"",E1999&lt;&gt;"!!!"),"NEW","")))</f>
        <v/>
      </c>
      <c r="G1999" s="11" t="str">
        <f aca="false">IF(OR(E1999="",E1999="!!!"),"",IF(OR(J1999=0,AND(J1999=1,K1999=1),AND(J1999=1,I1999="SBJ"),AND(J1999=1,I1999=0)),"?IN_FOCUS",IF(J1999&lt;=2,"?ACTIVATED",IF(J1999&lt;&gt;"","?FAMILIAR",IF(F1999="NEW",IF(ISNA(VLOOKUP(E1999,#REF!,1,FALSE())),"?TYPE_IDENTIFIABLE","?REFERENTIAL"),"_")))))</f>
        <v/>
      </c>
      <c r="H1999" s="12" t="str">
        <f aca="false">IF(J1999&lt;&gt;1,"",IF(I1999="SBJ","CB","?"))</f>
        <v/>
      </c>
      <c r="I1999" s="13" t="str">
        <f aca="false">IF(OR(E1999="",E1999="!!!",F1999="NEW"),"",INDEX(B$2:B1998,-1+SUMPRODUCT(MAX(ROW(E$2:E1998)*(E1999=E$2:E1998)))))</f>
        <v/>
      </c>
      <c r="J1999" s="14" t="str">
        <f aca="true">IF(OR(E1999="",E1999="!!!",F1999="NEW"),"",COUNTBLANK(OFFSET(A$1,,,SUMPRODUCT(MAX(ROW(E$2:E1999)*(E1999=E$2:E1999)))))-COUNTBLANK(OFFSET(A$1,,,SUMPRODUCT(MAX(ROW(E$1:E1998)*(E1999=E$1:E1998))))))</f>
        <v/>
      </c>
      <c r="K1999" s="14" t="str">
        <f aca="false">IF(OR(E1999="",E1999="!!!",F1999="NEW"),"",INDEX(J$1:J1998,SUMPRODUCT(MAX(ROW(E$1:E1998)*(E1999=E$1:E1998)))))</f>
        <v/>
      </c>
      <c r="L1999" s="15"/>
    </row>
    <row r="2000" customFormat="false" ht="12.75" hidden="false" customHeight="false" outlineLevel="0" collapsed="false">
      <c r="A2000" s="0" t="s">
        <v>48</v>
      </c>
      <c r="E2000" s="9" t="str">
        <f aca="false">IF(D2000="?OLD","!!!","")</f>
        <v/>
      </c>
      <c r="F2000" s="10" t="str">
        <f aca="false">IF(OR(E2000="",E2000="!!!"),"",IF(NOT(ISNA(VLOOKUP(E2000,E$1:E1999,1,FALSE()))),"OLD",IF(AND(E2000&lt;&gt;"",E2000&lt;&gt;"!!!"),"NEW","")))</f>
        <v/>
      </c>
      <c r="G2000" s="11" t="str">
        <f aca="false">IF(OR(E2000="",E2000="!!!"),"",IF(OR(J2000=0,AND(J2000=1,K2000=1),AND(J2000=1,I2000="SBJ"),AND(J2000=1,I2000=0)),"?IN_FOCUS",IF(J2000&lt;=2,"?ACTIVATED",IF(J2000&lt;&gt;"","?FAMILIAR",IF(F2000="NEW",IF(ISNA(VLOOKUP(E2000,#REF!,1,FALSE())),"?TYPE_IDENTIFIABLE","?REFERENTIAL"),"_")))))</f>
        <v/>
      </c>
      <c r="H2000" s="12" t="str">
        <f aca="false">IF(J2000&lt;&gt;1,"",IF(I2000="SBJ","CB","?"))</f>
        <v/>
      </c>
      <c r="I2000" s="13" t="str">
        <f aca="false">IF(OR(E2000="",E2000="!!!",F2000="NEW"),"",INDEX(B$2:B1999,-1+SUMPRODUCT(MAX(ROW(E$2:E1999)*(E2000=E$2:E1999)))))</f>
        <v/>
      </c>
      <c r="J2000" s="14" t="str">
        <f aca="true">IF(OR(E2000="",E2000="!!!",F2000="NEW"),"",COUNTBLANK(OFFSET(A$1,,,SUMPRODUCT(MAX(ROW(E$2:E2000)*(E2000=E$2:E2000)))))-COUNTBLANK(OFFSET(A$1,,,SUMPRODUCT(MAX(ROW(E$1:E1999)*(E2000=E$1:E1999))))))</f>
        <v/>
      </c>
      <c r="K2000" s="14" t="str">
        <f aca="false">IF(OR(E2000="",E2000="!!!",F2000="NEW"),"",INDEX(J$1:J1999,SUMPRODUCT(MAX(ROW(E$1:E1999)*(E2000=E$1:E1999)))))</f>
        <v/>
      </c>
      <c r="L2000" s="15"/>
    </row>
    <row r="2001" customFormat="false" ht="12.75" hidden="false" customHeight="false" outlineLevel="0" collapsed="false">
      <c r="A2001" s="0" t="s">
        <v>523</v>
      </c>
      <c r="E2001" s="9" t="str">
        <f aca="false">IF(D2001="?OLD","!!!","")</f>
        <v/>
      </c>
      <c r="F2001" s="10" t="str">
        <f aca="false">IF(OR(E2001="",E2001="!!!"),"",IF(NOT(ISNA(VLOOKUP(E2001,E$1:E2000,1,FALSE()))),"OLD",IF(AND(E2001&lt;&gt;"",E2001&lt;&gt;"!!!"),"NEW","")))</f>
        <v/>
      </c>
      <c r="G2001" s="11" t="str">
        <f aca="false">IF(OR(E2001="",E2001="!!!"),"",IF(OR(J2001=0,AND(J2001=1,K2001=1),AND(J2001=1,I2001="SBJ"),AND(J2001=1,I2001=0)),"?IN_FOCUS",IF(J2001&lt;=2,"?ACTIVATED",IF(J2001&lt;&gt;"","?FAMILIAR",IF(F2001="NEW",IF(ISNA(VLOOKUP(E2001,#REF!,1,FALSE())),"?TYPE_IDENTIFIABLE","?REFERENTIAL"),"_")))))</f>
        <v/>
      </c>
      <c r="H2001" s="12" t="str">
        <f aca="false">IF(J2001&lt;&gt;1,"",IF(I2001="SBJ","CB","?"))</f>
        <v/>
      </c>
      <c r="I2001" s="13" t="str">
        <f aca="false">IF(OR(E2001="",E2001="!!!",F2001="NEW"),"",INDEX(B$2:B2000,-1+SUMPRODUCT(MAX(ROW(E$2:E2000)*(E2001=E$2:E2000)))))</f>
        <v/>
      </c>
      <c r="J2001" s="14" t="str">
        <f aca="true">IF(OR(E2001="",E2001="!!!",F2001="NEW"),"",COUNTBLANK(OFFSET(A$1,,,SUMPRODUCT(MAX(ROW(E$2:E2001)*(E2001=E$2:E2001)))))-COUNTBLANK(OFFSET(A$1,,,SUMPRODUCT(MAX(ROW(E$1:E2000)*(E2001=E$1:E2000))))))</f>
        <v/>
      </c>
      <c r="K2001" s="14" t="str">
        <f aca="false">IF(OR(E2001="",E2001="!!!",F2001="NEW"),"",INDEX(J$1:J2000,SUMPRODUCT(MAX(ROW(E$1:E2000)*(E2001=E$1:E2000)))))</f>
        <v/>
      </c>
      <c r="L2001" s="15"/>
    </row>
    <row r="2002" customFormat="false" ht="12.75" hidden="false" customHeight="false" outlineLevel="0" collapsed="false">
      <c r="A2002" s="0" t="s">
        <v>797</v>
      </c>
      <c r="E2002" s="9" t="str">
        <f aca="false">IF(D2002="?OLD","!!!","")</f>
        <v/>
      </c>
      <c r="F2002" s="10" t="str">
        <f aca="false">IF(OR(E2002="",E2002="!!!"),"",IF(NOT(ISNA(VLOOKUP(E2002,E$1:E2001,1,FALSE()))),"OLD",IF(AND(E2002&lt;&gt;"",E2002&lt;&gt;"!!!"),"NEW","")))</f>
        <v/>
      </c>
      <c r="G2002" s="11" t="str">
        <f aca="false">IF(OR(E2002="",E2002="!!!"),"",IF(OR(J2002=0,AND(J2002=1,K2002=1),AND(J2002=1,I2002="SBJ"),AND(J2002=1,I2002=0)),"?IN_FOCUS",IF(J2002&lt;=2,"?ACTIVATED",IF(J2002&lt;&gt;"","?FAMILIAR",IF(F2002="NEW",IF(ISNA(VLOOKUP(E2002,#REF!,1,FALSE())),"?TYPE_IDENTIFIABLE","?REFERENTIAL"),"_")))))</f>
        <v/>
      </c>
      <c r="H2002" s="12" t="str">
        <f aca="false">IF(J2002&lt;&gt;1,"",IF(I2002="SBJ","CB","?"))</f>
        <v/>
      </c>
      <c r="I2002" s="13" t="str">
        <f aca="false">IF(OR(E2002="",E2002="!!!",F2002="NEW"),"",INDEX(B$2:B2001,-1+SUMPRODUCT(MAX(ROW(E$2:E2001)*(E2002=E$2:E2001)))))</f>
        <v/>
      </c>
      <c r="J2002" s="14" t="str">
        <f aca="true">IF(OR(E2002="",E2002="!!!",F2002="NEW"),"",COUNTBLANK(OFFSET(A$1,,,SUMPRODUCT(MAX(ROW(E$2:E2002)*(E2002=E$2:E2002)))))-COUNTBLANK(OFFSET(A$1,,,SUMPRODUCT(MAX(ROW(E$1:E2001)*(E2002=E$1:E2001))))))</f>
        <v/>
      </c>
      <c r="K2002" s="14" t="str">
        <f aca="false">IF(OR(E2002="",E2002="!!!",F2002="NEW"),"",INDEX(J$1:J2001,SUMPRODUCT(MAX(ROW(E$1:E2001)*(E2002=E$1:E2001)))))</f>
        <v/>
      </c>
      <c r="L2002" s="15"/>
    </row>
    <row r="2003" customFormat="false" ht="12.75" hidden="false" customHeight="false" outlineLevel="0" collapsed="false">
      <c r="A2003" s="0" t="s">
        <v>363</v>
      </c>
      <c r="B2003" s="0" t="s">
        <v>62</v>
      </c>
      <c r="C2003" s="0" t="s">
        <v>364</v>
      </c>
      <c r="E2003" s="9" t="str">
        <f aca="false">IF(D2003="?OLD","!!!","")</f>
        <v/>
      </c>
      <c r="F2003" s="10" t="str">
        <f aca="false">IF(OR(E2003="",E2003="!!!"),"",IF(NOT(ISNA(VLOOKUP(E2003,E$1:E2002,1,FALSE()))),"OLD",IF(AND(E2003&lt;&gt;"",E2003&lt;&gt;"!!!"),"NEW","")))</f>
        <v/>
      </c>
      <c r="G2003" s="11" t="str">
        <f aca="false">IF(OR(E2003="",E2003="!!!"),"",IF(OR(J2003=0,AND(J2003=1,K2003=1),AND(J2003=1,I2003="SBJ"),AND(J2003=1,I2003=0)),"?IN_FOCUS",IF(J2003&lt;=2,"?ACTIVATED",IF(J2003&lt;&gt;"","?FAMILIAR",IF(F2003="NEW",IF(ISNA(VLOOKUP(E2003,#REF!,1,FALSE())),"?TYPE_IDENTIFIABLE","?REFERENTIAL"),"_")))))</f>
        <v/>
      </c>
      <c r="H2003" s="12" t="str">
        <f aca="false">IF(J2003&lt;&gt;1,"",IF(I2003="SBJ","CB","?"))</f>
        <v/>
      </c>
      <c r="I2003" s="13" t="str">
        <f aca="false">IF(OR(E2003="",E2003="!!!",F2003="NEW"),"",INDEX(B$2:B2002,-1+SUMPRODUCT(MAX(ROW(E$2:E2002)*(E2003=E$2:E2002)))))</f>
        <v/>
      </c>
      <c r="J2003" s="14" t="str">
        <f aca="true">IF(OR(E2003="",E2003="!!!",F2003="NEW"),"",COUNTBLANK(OFFSET(A$1,,,SUMPRODUCT(MAX(ROW(E$2:E2003)*(E2003=E$2:E2003)))))-COUNTBLANK(OFFSET(A$1,,,SUMPRODUCT(MAX(ROW(E$1:E2002)*(E2003=E$1:E2002))))))</f>
        <v/>
      </c>
      <c r="K2003" s="14" t="str">
        <f aca="false">IF(OR(E2003="",E2003="!!!",F2003="NEW"),"",INDEX(J$1:J2002,SUMPRODUCT(MAX(ROW(E$1:E2002)*(E2003=E$1:E2002)))))</f>
        <v/>
      </c>
      <c r="L2003" s="15"/>
    </row>
    <row r="2004" customFormat="false" ht="12.75" hidden="false" customHeight="false" outlineLevel="0" collapsed="false">
      <c r="A2004" s="0" t="s">
        <v>19</v>
      </c>
      <c r="E2004" s="9" t="str">
        <f aca="false">IF(D2004="?OLD","!!!","")</f>
        <v/>
      </c>
      <c r="F2004" s="10" t="str">
        <f aca="false">IF(OR(E2004="",E2004="!!!"),"",IF(NOT(ISNA(VLOOKUP(E2004,E$1:E2003,1,FALSE()))),"OLD",IF(AND(E2004&lt;&gt;"",E2004&lt;&gt;"!!!"),"NEW","")))</f>
        <v/>
      </c>
      <c r="G2004" s="11" t="str">
        <f aca="false">IF(OR(E2004="",E2004="!!!"),"",IF(OR(J2004=0,AND(J2004=1,K2004=1),AND(J2004=1,I2004="SBJ"),AND(J2004=1,I2004=0)),"?IN_FOCUS",IF(J2004&lt;=2,"?ACTIVATED",IF(J2004&lt;&gt;"","?FAMILIAR",IF(F2004="NEW",IF(ISNA(VLOOKUP(E2004,#REF!,1,FALSE())),"?TYPE_IDENTIFIABLE","?REFERENTIAL"),"_")))))</f>
        <v/>
      </c>
      <c r="H2004" s="12" t="str">
        <f aca="false">IF(J2004&lt;&gt;1,"",IF(I2004="SBJ","CB","?"))</f>
        <v/>
      </c>
      <c r="I2004" s="13" t="str">
        <f aca="false">IF(OR(E2004="",E2004="!!!",F2004="NEW"),"",INDEX(B$2:B2003,-1+SUMPRODUCT(MAX(ROW(E$2:E2003)*(E2004=E$2:E2003)))))</f>
        <v/>
      </c>
      <c r="J2004" s="14" t="str">
        <f aca="true">IF(OR(E2004="",E2004="!!!",F2004="NEW"),"",COUNTBLANK(OFFSET(A$1,,,SUMPRODUCT(MAX(ROW(E$2:E2004)*(E2004=E$2:E2004)))))-COUNTBLANK(OFFSET(A$1,,,SUMPRODUCT(MAX(ROW(E$1:E2003)*(E2004=E$1:E2003))))))</f>
        <v/>
      </c>
      <c r="K2004" s="14" t="str">
        <f aca="false">IF(OR(E2004="",E2004="!!!",F2004="NEW"),"",INDEX(J$1:J2003,SUMPRODUCT(MAX(ROW(E$1:E2003)*(E2004=E$1:E2003)))))</f>
        <v/>
      </c>
      <c r="L2004" s="15"/>
    </row>
    <row r="2005" customFormat="false" ht="12.75" hidden="false" customHeight="false" outlineLevel="0" collapsed="false">
      <c r="A2005" s="0" t="s">
        <v>534</v>
      </c>
      <c r="B2005" s="0" t="s">
        <v>62</v>
      </c>
      <c r="C2005" s="0" t="s">
        <v>162</v>
      </c>
      <c r="E2005" s="9" t="str">
        <f aca="false">IF(D2005="?OLD","!!!","")</f>
        <v/>
      </c>
      <c r="F2005" s="10" t="str">
        <f aca="false">IF(OR(E2005="",E2005="!!!"),"",IF(NOT(ISNA(VLOOKUP(E2005,E$1:E2004,1,FALSE()))),"OLD",IF(AND(E2005&lt;&gt;"",E2005&lt;&gt;"!!!"),"NEW","")))</f>
        <v/>
      </c>
      <c r="G2005" s="11" t="str">
        <f aca="false">IF(OR(E2005="",E2005="!!!"),"",IF(OR(J2005=0,AND(J2005=1,K2005=1),AND(J2005=1,I2005="SBJ"),AND(J2005=1,I2005=0)),"?IN_FOCUS",IF(J2005&lt;=2,"?ACTIVATED",IF(J2005&lt;&gt;"","?FAMILIAR",IF(F2005="NEW",IF(ISNA(VLOOKUP(E2005,#REF!,1,FALSE())),"?TYPE_IDENTIFIABLE","?REFERENTIAL"),"_")))))</f>
        <v/>
      </c>
      <c r="H2005" s="12" t="str">
        <f aca="false">IF(J2005&lt;&gt;1,"",IF(I2005="SBJ","CB","?"))</f>
        <v/>
      </c>
      <c r="I2005" s="13" t="str">
        <f aca="false">IF(OR(E2005="",E2005="!!!",F2005="NEW"),"",INDEX(B$2:B2004,-1+SUMPRODUCT(MAX(ROW(E$2:E2004)*(E2005=E$2:E2004)))))</f>
        <v/>
      </c>
      <c r="J2005" s="14" t="str">
        <f aca="true">IF(OR(E2005="",E2005="!!!",F2005="NEW"),"",COUNTBLANK(OFFSET(A$1,,,SUMPRODUCT(MAX(ROW(E$2:E2005)*(E2005=E$2:E2005)))))-COUNTBLANK(OFFSET(A$1,,,SUMPRODUCT(MAX(ROW(E$1:E2004)*(E2005=E$1:E2004))))))</f>
        <v/>
      </c>
      <c r="K2005" s="14" t="str">
        <f aca="false">IF(OR(E2005="",E2005="!!!",F2005="NEW"),"",INDEX(J$1:J2004,SUMPRODUCT(MAX(ROW(E$1:E2004)*(E2005=E$1:E2004)))))</f>
        <v/>
      </c>
      <c r="L2005" s="15"/>
    </row>
    <row r="2006" customFormat="false" ht="12.75" hidden="false" customHeight="false" outlineLevel="0" collapsed="false">
      <c r="A2006" s="0" t="s">
        <v>147</v>
      </c>
      <c r="B2006" s="0" t="s">
        <v>47</v>
      </c>
      <c r="C2006" s="0" t="s">
        <v>38</v>
      </c>
      <c r="D2006" s="0" t="s">
        <v>29</v>
      </c>
      <c r="E2006" s="9" t="str">
        <f aca="false">IF(D2006="?OLD","!!!","")</f>
        <v>!!!</v>
      </c>
      <c r="F2006" s="10" t="str">
        <f aca="false">IF(OR(E2006="",E2006="!!!"),"",IF(NOT(ISNA(VLOOKUP(E2006,E$1:E2005,1,FALSE()))),"OLD",IF(AND(E2006&lt;&gt;"",E2006&lt;&gt;"!!!"),"NEW","")))</f>
        <v/>
      </c>
      <c r="G2006" s="11" t="str">
        <f aca="false">IF(OR(E2006="",E2006="!!!"),"",IF(OR(J2006=0,AND(J2006=1,K2006=1),AND(J2006=1,I2006="SBJ"),AND(J2006=1,I2006=0)),"?IN_FOCUS",IF(J2006&lt;=2,"?ACTIVATED",IF(J2006&lt;&gt;"","?FAMILIAR",IF(F2006="NEW",IF(ISNA(VLOOKUP(E2006,#REF!,1,FALSE())),"?TYPE_IDENTIFIABLE","?REFERENTIAL"),"_")))))</f>
        <v/>
      </c>
      <c r="H2006" s="12" t="str">
        <f aca="false">IF(J2006&lt;&gt;1,"",IF(I2006="SBJ","CB","?"))</f>
        <v/>
      </c>
      <c r="I2006" s="13" t="str">
        <f aca="false">IF(OR(E2006="",E2006="!!!",F2006="NEW"),"",INDEX(B$2:B2005,-1+SUMPRODUCT(MAX(ROW(E$2:E2005)*(E2006=E$2:E2005)))))</f>
        <v/>
      </c>
      <c r="J2006" s="14" t="str">
        <f aca="true">IF(OR(E2006="",E2006="!!!",F2006="NEW"),"",COUNTBLANK(OFFSET(A$1,,,SUMPRODUCT(MAX(ROW(E$2:E2006)*(E2006=E$2:E2006)))))-COUNTBLANK(OFFSET(A$1,,,SUMPRODUCT(MAX(ROW(E$1:E2005)*(E2006=E$1:E2005))))))</f>
        <v/>
      </c>
      <c r="K2006" s="14" t="str">
        <f aca="false">IF(OR(E2006="",E2006="!!!",F2006="NEW"),"",INDEX(J$1:J2005,SUMPRODUCT(MAX(ROW(E$1:E2005)*(E2006=E$1:E2005)))))</f>
        <v/>
      </c>
      <c r="L2006" s="15"/>
    </row>
    <row r="2007" customFormat="false" ht="12.75" hidden="false" customHeight="false" outlineLevel="0" collapsed="false">
      <c r="A2007" s="0" t="s">
        <v>331</v>
      </c>
      <c r="E2007" s="9" t="str">
        <f aca="false">IF(D2007="?OLD","!!!","")</f>
        <v/>
      </c>
      <c r="F2007" s="10" t="str">
        <f aca="false">IF(OR(E2007="",E2007="!!!"),"",IF(NOT(ISNA(VLOOKUP(E2007,E$1:E2006,1,FALSE()))),"OLD",IF(AND(E2007&lt;&gt;"",E2007&lt;&gt;"!!!"),"NEW","")))</f>
        <v/>
      </c>
      <c r="G2007" s="11" t="str">
        <f aca="false">IF(OR(E2007="",E2007="!!!"),"",IF(OR(J2007=0,AND(J2007=1,K2007=1),AND(J2007=1,I2007="SBJ"),AND(J2007=1,I2007=0)),"?IN_FOCUS",IF(J2007&lt;=2,"?ACTIVATED",IF(J2007&lt;&gt;"","?FAMILIAR",IF(F2007="NEW",IF(ISNA(VLOOKUP(E2007,#REF!,1,FALSE())),"?TYPE_IDENTIFIABLE","?REFERENTIAL"),"_")))))</f>
        <v/>
      </c>
      <c r="H2007" s="12" t="str">
        <f aca="false">IF(J2007&lt;&gt;1,"",IF(I2007="SBJ","CB","?"))</f>
        <v/>
      </c>
      <c r="I2007" s="13" t="str">
        <f aca="false">IF(OR(E2007="",E2007="!!!",F2007="NEW"),"",INDEX(B$2:B2006,-1+SUMPRODUCT(MAX(ROW(E$2:E2006)*(E2007=E$2:E2006)))))</f>
        <v/>
      </c>
      <c r="J2007" s="14" t="str">
        <f aca="true">IF(OR(E2007="",E2007="!!!",F2007="NEW"),"",COUNTBLANK(OFFSET(A$1,,,SUMPRODUCT(MAX(ROW(E$2:E2007)*(E2007=E$2:E2007)))))-COUNTBLANK(OFFSET(A$1,,,SUMPRODUCT(MAX(ROW(E$1:E2006)*(E2007=E$1:E2006))))))</f>
        <v/>
      </c>
      <c r="K2007" s="14" t="str">
        <f aca="false">IF(OR(E2007="",E2007="!!!",F2007="NEW"),"",INDEX(J$1:J2006,SUMPRODUCT(MAX(ROW(E$1:E2006)*(E2007=E$1:E2006)))))</f>
        <v/>
      </c>
      <c r="L2007" s="15"/>
    </row>
    <row r="2008" customFormat="false" ht="12.75" hidden="false" customHeight="false" outlineLevel="0" collapsed="false">
      <c r="A2008" s="0" t="s">
        <v>31</v>
      </c>
      <c r="E2008" s="9" t="str">
        <f aca="false">IF(D2008="?OLD","!!!","")</f>
        <v/>
      </c>
      <c r="F2008" s="10" t="str">
        <f aca="false">IF(OR(E2008="",E2008="!!!"),"",IF(NOT(ISNA(VLOOKUP(E2008,E$1:E2007,1,FALSE()))),"OLD",IF(AND(E2008&lt;&gt;"",E2008&lt;&gt;"!!!"),"NEW","")))</f>
        <v/>
      </c>
      <c r="G2008" s="11" t="str">
        <f aca="false">IF(OR(E2008="",E2008="!!!"),"",IF(OR(J2008=0,AND(J2008=1,K2008=1),AND(J2008=1,I2008="SBJ"),AND(J2008=1,I2008=0)),"?IN_FOCUS",IF(J2008&lt;=2,"?ACTIVATED",IF(J2008&lt;&gt;"","?FAMILIAR",IF(F2008="NEW",IF(ISNA(VLOOKUP(E2008,#REF!,1,FALSE())),"?TYPE_IDENTIFIABLE","?REFERENTIAL"),"_")))))</f>
        <v/>
      </c>
      <c r="H2008" s="12" t="str">
        <f aca="false">IF(J2008&lt;&gt;1,"",IF(I2008="SBJ","CB","?"))</f>
        <v/>
      </c>
      <c r="I2008" s="13" t="str">
        <f aca="false">IF(OR(E2008="",E2008="!!!",F2008="NEW"),"",INDEX(B$2:B2007,-1+SUMPRODUCT(MAX(ROW(E$2:E2007)*(E2008=E$2:E2007)))))</f>
        <v/>
      </c>
      <c r="J2008" s="14" t="str">
        <f aca="true">IF(OR(E2008="",E2008="!!!",F2008="NEW"),"",COUNTBLANK(OFFSET(A$1,,,SUMPRODUCT(MAX(ROW(E$2:E2008)*(E2008=E$2:E2008)))))-COUNTBLANK(OFFSET(A$1,,,SUMPRODUCT(MAX(ROW(E$1:E2007)*(E2008=E$1:E2007))))))</f>
        <v/>
      </c>
      <c r="K2008" s="14" t="str">
        <f aca="false">IF(OR(E2008="",E2008="!!!",F2008="NEW"),"",INDEX(J$1:J2007,SUMPRODUCT(MAX(ROW(E$1:E2007)*(E2008=E$1:E2007)))))</f>
        <v/>
      </c>
      <c r="L2008" s="15"/>
    </row>
    <row r="2009" customFormat="false" ht="12.75" hidden="false" customHeight="false" outlineLevel="0" collapsed="false">
      <c r="A2009" s="0" t="s">
        <v>88</v>
      </c>
      <c r="E2009" s="9" t="str">
        <f aca="false">IF(D2009="?OLD","!!!","")</f>
        <v/>
      </c>
      <c r="F2009" s="10" t="str">
        <f aca="false">IF(OR(E2009="",E2009="!!!"),"",IF(NOT(ISNA(VLOOKUP(E2009,E$1:E2008,1,FALSE()))),"OLD",IF(AND(E2009&lt;&gt;"",E2009&lt;&gt;"!!!"),"NEW","")))</f>
        <v/>
      </c>
      <c r="G2009" s="11" t="str">
        <f aca="false">IF(OR(E2009="",E2009="!!!"),"",IF(OR(J2009=0,AND(J2009=1,K2009=1),AND(J2009=1,I2009="SBJ"),AND(J2009=1,I2009=0)),"?IN_FOCUS",IF(J2009&lt;=2,"?ACTIVATED",IF(J2009&lt;&gt;"","?FAMILIAR",IF(F2009="NEW",IF(ISNA(VLOOKUP(E2009,#REF!,1,FALSE())),"?TYPE_IDENTIFIABLE","?REFERENTIAL"),"_")))))</f>
        <v/>
      </c>
      <c r="H2009" s="12" t="str">
        <f aca="false">IF(J2009&lt;&gt;1,"",IF(I2009="SBJ","CB","?"))</f>
        <v/>
      </c>
      <c r="I2009" s="13" t="str">
        <f aca="false">IF(OR(E2009="",E2009="!!!",F2009="NEW"),"",INDEX(B$2:B2008,-1+SUMPRODUCT(MAX(ROW(E$2:E2008)*(E2009=E$2:E2008)))))</f>
        <v/>
      </c>
      <c r="J2009" s="14" t="str">
        <f aca="true">IF(OR(E2009="",E2009="!!!",F2009="NEW"),"",COUNTBLANK(OFFSET(A$1,,,SUMPRODUCT(MAX(ROW(E$2:E2009)*(E2009=E$2:E2009)))))-COUNTBLANK(OFFSET(A$1,,,SUMPRODUCT(MAX(ROW(E$1:E2008)*(E2009=E$1:E2008))))))</f>
        <v/>
      </c>
      <c r="K2009" s="14" t="str">
        <f aca="false">IF(OR(E2009="",E2009="!!!",F2009="NEW"),"",INDEX(J$1:J2008,SUMPRODUCT(MAX(ROW(E$1:E2008)*(E2009=E$1:E2008)))))</f>
        <v/>
      </c>
      <c r="L2009" s="15"/>
    </row>
    <row r="2010" customFormat="false" ht="12.75" hidden="false" customHeight="false" outlineLevel="0" collapsed="false">
      <c r="A2010" s="0" t="s">
        <v>147</v>
      </c>
      <c r="B2010" s="0" t="s">
        <v>42</v>
      </c>
      <c r="C2010" s="0" t="s">
        <v>38</v>
      </c>
      <c r="D2010" s="0" t="s">
        <v>29</v>
      </c>
      <c r="E2010" s="9" t="str">
        <f aca="false">IF(D2010="?OLD","!!!","")</f>
        <v>!!!</v>
      </c>
      <c r="F2010" s="10" t="str">
        <f aca="false">IF(OR(E2010="",E2010="!!!"),"",IF(NOT(ISNA(VLOOKUP(E2010,E$1:E2009,1,FALSE()))),"OLD",IF(AND(E2010&lt;&gt;"",E2010&lt;&gt;"!!!"),"NEW","")))</f>
        <v/>
      </c>
      <c r="G2010" s="11" t="str">
        <f aca="false">IF(OR(E2010="",E2010="!!!"),"",IF(OR(J2010=0,AND(J2010=1,K2010=1),AND(J2010=1,I2010="SBJ"),AND(J2010=1,I2010=0)),"?IN_FOCUS",IF(J2010&lt;=2,"?ACTIVATED",IF(J2010&lt;&gt;"","?FAMILIAR",IF(F2010="NEW",IF(ISNA(VLOOKUP(E2010,#REF!,1,FALSE())),"?TYPE_IDENTIFIABLE","?REFERENTIAL"),"_")))))</f>
        <v/>
      </c>
      <c r="H2010" s="12" t="str">
        <f aca="false">IF(J2010&lt;&gt;1,"",IF(I2010="SBJ","CB","?"))</f>
        <v/>
      </c>
      <c r="I2010" s="13" t="str">
        <f aca="false">IF(OR(E2010="",E2010="!!!",F2010="NEW"),"",INDEX(B$2:B2009,-1+SUMPRODUCT(MAX(ROW(E$2:E2009)*(E2010=E$2:E2009)))))</f>
        <v/>
      </c>
      <c r="J2010" s="14" t="str">
        <f aca="true">IF(OR(E2010="",E2010="!!!",F2010="NEW"),"",COUNTBLANK(OFFSET(A$1,,,SUMPRODUCT(MAX(ROW(E$2:E2010)*(E2010=E$2:E2010)))))-COUNTBLANK(OFFSET(A$1,,,SUMPRODUCT(MAX(ROW(E$1:E2009)*(E2010=E$1:E2009))))))</f>
        <v/>
      </c>
      <c r="K2010" s="14" t="str">
        <f aca="false">IF(OR(E2010="",E2010="!!!",F2010="NEW"),"",INDEX(J$1:J2009,SUMPRODUCT(MAX(ROW(E$1:E2009)*(E2010=E$1:E2009)))))</f>
        <v/>
      </c>
      <c r="L2010" s="15"/>
    </row>
    <row r="2011" customFormat="false" ht="12.75" hidden="false" customHeight="false" outlineLevel="0" collapsed="false">
      <c r="A2011" s="0" t="s">
        <v>798</v>
      </c>
      <c r="E2011" s="9" t="str">
        <f aca="false">IF(D2011="?OLD","!!!","")</f>
        <v/>
      </c>
      <c r="F2011" s="10" t="str">
        <f aca="false">IF(OR(E2011="",E2011="!!!"),"",IF(NOT(ISNA(VLOOKUP(E2011,E$1:E2010,1,FALSE()))),"OLD",IF(AND(E2011&lt;&gt;"",E2011&lt;&gt;"!!!"),"NEW","")))</f>
        <v/>
      </c>
      <c r="G2011" s="11" t="str">
        <f aca="false">IF(OR(E2011="",E2011="!!!"),"",IF(OR(J2011=0,AND(J2011=1,K2011=1),AND(J2011=1,I2011="SBJ"),AND(J2011=1,I2011=0)),"?IN_FOCUS",IF(J2011&lt;=2,"?ACTIVATED",IF(J2011&lt;&gt;"","?FAMILIAR",IF(F2011="NEW",IF(ISNA(VLOOKUP(E2011,#REF!,1,FALSE())),"?TYPE_IDENTIFIABLE","?REFERENTIAL"),"_")))))</f>
        <v/>
      </c>
      <c r="H2011" s="12" t="str">
        <f aca="false">IF(J2011&lt;&gt;1,"",IF(I2011="SBJ","CB","?"))</f>
        <v/>
      </c>
      <c r="I2011" s="13" t="str">
        <f aca="false">IF(OR(E2011="",E2011="!!!",F2011="NEW"),"",INDEX(B$2:B2010,-1+SUMPRODUCT(MAX(ROW(E$2:E2010)*(E2011=E$2:E2010)))))</f>
        <v/>
      </c>
      <c r="J2011" s="14" t="str">
        <f aca="true">IF(OR(E2011="",E2011="!!!",F2011="NEW"),"",COUNTBLANK(OFFSET(A$1,,,SUMPRODUCT(MAX(ROW(E$2:E2011)*(E2011=E$2:E2011)))))-COUNTBLANK(OFFSET(A$1,,,SUMPRODUCT(MAX(ROW(E$1:E2010)*(E2011=E$1:E2010))))))</f>
        <v/>
      </c>
      <c r="K2011" s="14" t="str">
        <f aca="false">IF(OR(E2011="",E2011="!!!",F2011="NEW"),"",INDEX(J$1:J2010,SUMPRODUCT(MAX(ROW(E$1:E2010)*(E2011=E$1:E2010)))))</f>
        <v/>
      </c>
      <c r="L2011" s="15"/>
    </row>
    <row r="2012" customFormat="false" ht="12.75" hidden="false" customHeight="false" outlineLevel="0" collapsed="false">
      <c r="A2012" s="0" t="s">
        <v>145</v>
      </c>
      <c r="E2012" s="9" t="str">
        <f aca="false">IF(D2012="?OLD","!!!","")</f>
        <v/>
      </c>
      <c r="F2012" s="10" t="str">
        <f aca="false">IF(OR(E2012="",E2012="!!!"),"",IF(NOT(ISNA(VLOOKUP(E2012,E$1:E2011,1,FALSE()))),"OLD",IF(AND(E2012&lt;&gt;"",E2012&lt;&gt;"!!!"),"NEW","")))</f>
        <v/>
      </c>
      <c r="G2012" s="11" t="str">
        <f aca="false">IF(OR(E2012="",E2012="!!!"),"",IF(OR(J2012=0,AND(J2012=1,K2012=1),AND(J2012=1,I2012="SBJ"),AND(J2012=1,I2012=0)),"?IN_FOCUS",IF(J2012&lt;=2,"?ACTIVATED",IF(J2012&lt;&gt;"","?FAMILIAR",IF(F2012="NEW",IF(ISNA(VLOOKUP(E2012,#REF!,1,FALSE())),"?TYPE_IDENTIFIABLE","?REFERENTIAL"),"_")))))</f>
        <v/>
      </c>
      <c r="H2012" s="12" t="str">
        <f aca="false">IF(J2012&lt;&gt;1,"",IF(I2012="SBJ","CB","?"))</f>
        <v/>
      </c>
      <c r="I2012" s="13" t="str">
        <f aca="false">IF(OR(E2012="",E2012="!!!",F2012="NEW"),"",INDEX(B$2:B2011,-1+SUMPRODUCT(MAX(ROW(E$2:E2011)*(E2012=E$2:E2011)))))</f>
        <v/>
      </c>
      <c r="J2012" s="14" t="str">
        <f aca="true">IF(OR(E2012="",E2012="!!!",F2012="NEW"),"",COUNTBLANK(OFFSET(A$1,,,SUMPRODUCT(MAX(ROW(E$2:E2012)*(E2012=E$2:E2012)))))-COUNTBLANK(OFFSET(A$1,,,SUMPRODUCT(MAX(ROW(E$1:E2011)*(E2012=E$1:E2011))))))</f>
        <v/>
      </c>
      <c r="K2012" s="14" t="str">
        <f aca="false">IF(OR(E2012="",E2012="!!!",F2012="NEW"),"",INDEX(J$1:J2011,SUMPRODUCT(MAX(ROW(E$1:E2011)*(E2012=E$1:E2011)))))</f>
        <v/>
      </c>
      <c r="L2012" s="15"/>
    </row>
    <row r="2013" customFormat="false" ht="12.75" hidden="false" customHeight="false" outlineLevel="0" collapsed="false">
      <c r="A2013" s="0" t="s">
        <v>36</v>
      </c>
      <c r="B2013" s="0" t="s">
        <v>28</v>
      </c>
      <c r="C2013" s="0" t="s">
        <v>38</v>
      </c>
      <c r="D2013" s="0" t="s">
        <v>29</v>
      </c>
      <c r="E2013" s="9" t="str">
        <f aca="false">IF(D2013="?OLD","!!!","")</f>
        <v>!!!</v>
      </c>
      <c r="F2013" s="10" t="str">
        <f aca="false">IF(OR(E2013="",E2013="!!!"),"",IF(NOT(ISNA(VLOOKUP(E2013,E$1:E2012,1,FALSE()))),"OLD",IF(AND(E2013&lt;&gt;"",E2013&lt;&gt;"!!!"),"NEW","")))</f>
        <v/>
      </c>
      <c r="G2013" s="11" t="str">
        <f aca="false">IF(OR(E2013="",E2013="!!!"),"",IF(OR(J2013=0,AND(J2013=1,K2013=1),AND(J2013=1,I2013="SBJ"),AND(J2013=1,I2013=0)),"?IN_FOCUS",IF(J2013&lt;=2,"?ACTIVATED",IF(J2013&lt;&gt;"","?FAMILIAR",IF(F2013="NEW",IF(ISNA(VLOOKUP(E2013,#REF!,1,FALSE())),"?TYPE_IDENTIFIABLE","?REFERENTIAL"),"_")))))</f>
        <v/>
      </c>
      <c r="H2013" s="12" t="str">
        <f aca="false">IF(J2013&lt;&gt;1,"",IF(I2013="SBJ","CB","?"))</f>
        <v/>
      </c>
      <c r="I2013" s="13" t="str">
        <f aca="false">IF(OR(E2013="",E2013="!!!",F2013="NEW"),"",INDEX(B$2:B2012,-1+SUMPRODUCT(MAX(ROW(E$2:E2012)*(E2013=E$2:E2012)))))</f>
        <v/>
      </c>
      <c r="J2013" s="14" t="str">
        <f aca="true">IF(OR(E2013="",E2013="!!!",F2013="NEW"),"",COUNTBLANK(OFFSET(A$1,,,SUMPRODUCT(MAX(ROW(E$2:E2013)*(E2013=E$2:E2013)))))-COUNTBLANK(OFFSET(A$1,,,SUMPRODUCT(MAX(ROW(E$1:E2012)*(E2013=E$1:E2012))))))</f>
        <v/>
      </c>
      <c r="K2013" s="14" t="str">
        <f aca="false">IF(OR(E2013="",E2013="!!!",F2013="NEW"),"",INDEX(J$1:J2012,SUMPRODUCT(MAX(ROW(E$1:E2012)*(E2013=E$1:E2012)))))</f>
        <v/>
      </c>
      <c r="L2013" s="15"/>
    </row>
    <row r="2014" customFormat="false" ht="12.75" hidden="false" customHeight="false" outlineLevel="0" collapsed="false">
      <c r="A2014" s="0" t="s">
        <v>31</v>
      </c>
      <c r="E2014" s="9" t="str">
        <f aca="false">IF(D2014="?OLD","!!!","")</f>
        <v/>
      </c>
      <c r="F2014" s="10" t="str">
        <f aca="false">IF(OR(E2014="",E2014="!!!"),"",IF(NOT(ISNA(VLOOKUP(E2014,E$1:E2013,1,FALSE()))),"OLD",IF(AND(E2014&lt;&gt;"",E2014&lt;&gt;"!!!"),"NEW","")))</f>
        <v/>
      </c>
      <c r="G2014" s="11" t="str">
        <f aca="false">IF(OR(E2014="",E2014="!!!"),"",IF(OR(J2014=0,AND(J2014=1,K2014=1),AND(J2014=1,I2014="SBJ"),AND(J2014=1,I2014=0)),"?IN_FOCUS",IF(J2014&lt;=2,"?ACTIVATED",IF(J2014&lt;&gt;"","?FAMILIAR",IF(F2014="NEW",IF(ISNA(VLOOKUP(E2014,#REF!,1,FALSE())),"?TYPE_IDENTIFIABLE","?REFERENTIAL"),"_")))))</f>
        <v/>
      </c>
      <c r="H2014" s="12" t="str">
        <f aca="false">IF(J2014&lt;&gt;1,"",IF(I2014="SBJ","CB","?"))</f>
        <v/>
      </c>
      <c r="I2014" s="13" t="str">
        <f aca="false">IF(OR(E2014="",E2014="!!!",F2014="NEW"),"",INDEX(B$2:B2013,-1+SUMPRODUCT(MAX(ROW(E$2:E2013)*(E2014=E$2:E2013)))))</f>
        <v/>
      </c>
      <c r="J2014" s="14" t="str">
        <f aca="true">IF(OR(E2014="",E2014="!!!",F2014="NEW"),"",COUNTBLANK(OFFSET(A$1,,,SUMPRODUCT(MAX(ROW(E$2:E2014)*(E2014=E$2:E2014)))))-COUNTBLANK(OFFSET(A$1,,,SUMPRODUCT(MAX(ROW(E$1:E2013)*(E2014=E$1:E2013))))))</f>
        <v/>
      </c>
      <c r="K2014" s="14" t="str">
        <f aca="false">IF(OR(E2014="",E2014="!!!",F2014="NEW"),"",INDEX(J$1:J2013,SUMPRODUCT(MAX(ROW(E$1:E2013)*(E2014=E$1:E2013)))))</f>
        <v/>
      </c>
      <c r="L2014" s="15"/>
    </row>
    <row r="2015" customFormat="false" ht="12.75" hidden="false" customHeight="false" outlineLevel="0" collapsed="false">
      <c r="A2015" s="0" t="s">
        <v>735</v>
      </c>
      <c r="E2015" s="9" t="str">
        <f aca="false">IF(D2015="?OLD","!!!","")</f>
        <v/>
      </c>
      <c r="F2015" s="10" t="str">
        <f aca="false">IF(OR(E2015="",E2015="!!!"),"",IF(NOT(ISNA(VLOOKUP(E2015,E$1:E2014,1,FALSE()))),"OLD",IF(AND(E2015&lt;&gt;"",E2015&lt;&gt;"!!!"),"NEW","")))</f>
        <v/>
      </c>
      <c r="G2015" s="11" t="str">
        <f aca="false">IF(OR(E2015="",E2015="!!!"),"",IF(OR(J2015=0,AND(J2015=1,K2015=1),AND(J2015=1,I2015="SBJ"),AND(J2015=1,I2015=0)),"?IN_FOCUS",IF(J2015&lt;=2,"?ACTIVATED",IF(J2015&lt;&gt;"","?FAMILIAR",IF(F2015="NEW",IF(ISNA(VLOOKUP(E2015,#REF!,1,FALSE())),"?TYPE_IDENTIFIABLE","?REFERENTIAL"),"_")))))</f>
        <v/>
      </c>
      <c r="H2015" s="12" t="str">
        <f aca="false">IF(J2015&lt;&gt;1,"",IF(I2015="SBJ","CB","?"))</f>
        <v/>
      </c>
      <c r="I2015" s="13" t="str">
        <f aca="false">IF(OR(E2015="",E2015="!!!",F2015="NEW"),"",INDEX(B$2:B2014,-1+SUMPRODUCT(MAX(ROW(E$2:E2014)*(E2015=E$2:E2014)))))</f>
        <v/>
      </c>
      <c r="J2015" s="14" t="str">
        <f aca="true">IF(OR(E2015="",E2015="!!!",F2015="NEW"),"",COUNTBLANK(OFFSET(A$1,,,SUMPRODUCT(MAX(ROW(E$2:E2015)*(E2015=E$2:E2015)))))-COUNTBLANK(OFFSET(A$1,,,SUMPRODUCT(MAX(ROW(E$1:E2014)*(E2015=E$1:E2014))))))</f>
        <v/>
      </c>
      <c r="K2015" s="14" t="str">
        <f aca="false">IF(OR(E2015="",E2015="!!!",F2015="NEW"),"",INDEX(J$1:J2014,SUMPRODUCT(MAX(ROW(E$1:E2014)*(E2015=E$1:E2014)))))</f>
        <v/>
      </c>
      <c r="L2015" s="15"/>
    </row>
    <row r="2016" customFormat="false" ht="12.75" hidden="false" customHeight="false" outlineLevel="0" collapsed="false">
      <c r="A2016" s="0" t="s">
        <v>799</v>
      </c>
      <c r="E2016" s="9" t="str">
        <f aca="false">IF(D2016="?OLD","!!!","")</f>
        <v/>
      </c>
      <c r="F2016" s="10" t="str">
        <f aca="false">IF(OR(E2016="",E2016="!!!"),"",IF(NOT(ISNA(VLOOKUP(E2016,E$1:E2015,1,FALSE()))),"OLD",IF(AND(E2016&lt;&gt;"",E2016&lt;&gt;"!!!"),"NEW","")))</f>
        <v/>
      </c>
      <c r="G2016" s="11" t="str">
        <f aca="false">IF(OR(E2016="",E2016="!!!"),"",IF(OR(J2016=0,AND(J2016=1,K2016=1),AND(J2016=1,I2016="SBJ"),AND(J2016=1,I2016=0)),"?IN_FOCUS",IF(J2016&lt;=2,"?ACTIVATED",IF(J2016&lt;&gt;"","?FAMILIAR",IF(F2016="NEW",IF(ISNA(VLOOKUP(E2016,#REF!,1,FALSE())),"?TYPE_IDENTIFIABLE","?REFERENTIAL"),"_")))))</f>
        <v/>
      </c>
      <c r="H2016" s="12" t="str">
        <f aca="false">IF(J2016&lt;&gt;1,"",IF(I2016="SBJ","CB","?"))</f>
        <v/>
      </c>
      <c r="I2016" s="13" t="str">
        <f aca="false">IF(OR(E2016="",E2016="!!!",F2016="NEW"),"",INDEX(B$2:B2015,-1+SUMPRODUCT(MAX(ROW(E$2:E2015)*(E2016=E$2:E2015)))))</f>
        <v/>
      </c>
      <c r="J2016" s="14" t="str">
        <f aca="true">IF(OR(E2016="",E2016="!!!",F2016="NEW"),"",COUNTBLANK(OFFSET(A$1,,,SUMPRODUCT(MAX(ROW(E$2:E2016)*(E2016=E$2:E2016)))))-COUNTBLANK(OFFSET(A$1,,,SUMPRODUCT(MAX(ROW(E$1:E2015)*(E2016=E$1:E2015))))))</f>
        <v/>
      </c>
      <c r="K2016" s="14" t="str">
        <f aca="false">IF(OR(E2016="",E2016="!!!",F2016="NEW"),"",INDEX(J$1:J2015,SUMPRODUCT(MAX(ROW(E$1:E2015)*(E2016=E$1:E2015)))))</f>
        <v/>
      </c>
      <c r="L2016" s="15"/>
    </row>
    <row r="2017" customFormat="false" ht="12.75" hidden="false" customHeight="false" outlineLevel="0" collapsed="false">
      <c r="A2017" s="0" t="s">
        <v>31</v>
      </c>
      <c r="E2017" s="9" t="str">
        <f aca="false">IF(D2017="?OLD","!!!","")</f>
        <v/>
      </c>
      <c r="F2017" s="10" t="str">
        <f aca="false">IF(OR(E2017="",E2017="!!!"),"",IF(NOT(ISNA(VLOOKUP(E2017,E$1:E2016,1,FALSE()))),"OLD",IF(AND(E2017&lt;&gt;"",E2017&lt;&gt;"!!!"),"NEW","")))</f>
        <v/>
      </c>
      <c r="G2017" s="11" t="str">
        <f aca="false">IF(OR(E2017="",E2017="!!!"),"",IF(OR(J2017=0,AND(J2017=1,K2017=1),AND(J2017=1,I2017="SBJ"),AND(J2017=1,I2017=0)),"?IN_FOCUS",IF(J2017&lt;=2,"?ACTIVATED",IF(J2017&lt;&gt;"","?FAMILIAR",IF(F2017="NEW",IF(ISNA(VLOOKUP(E2017,#REF!,1,FALSE())),"?TYPE_IDENTIFIABLE","?REFERENTIAL"),"_")))))</f>
        <v/>
      </c>
      <c r="H2017" s="12" t="str">
        <f aca="false">IF(J2017&lt;&gt;1,"",IF(I2017="SBJ","CB","?"))</f>
        <v/>
      </c>
      <c r="I2017" s="13" t="str">
        <f aca="false">IF(OR(E2017="",E2017="!!!",F2017="NEW"),"",INDEX(B$2:B2016,-1+SUMPRODUCT(MAX(ROW(E$2:E2016)*(E2017=E$2:E2016)))))</f>
        <v/>
      </c>
      <c r="J2017" s="14" t="str">
        <f aca="true">IF(OR(E2017="",E2017="!!!",F2017="NEW"),"",COUNTBLANK(OFFSET(A$1,,,SUMPRODUCT(MAX(ROW(E$2:E2017)*(E2017=E$2:E2017)))))-COUNTBLANK(OFFSET(A$1,,,SUMPRODUCT(MAX(ROW(E$1:E2016)*(E2017=E$1:E2016))))))</f>
        <v/>
      </c>
      <c r="K2017" s="14" t="str">
        <f aca="false">IF(OR(E2017="",E2017="!!!",F2017="NEW"),"",INDEX(J$1:J2016,SUMPRODUCT(MAX(ROW(E$1:E2016)*(E2017=E$1:E2016)))))</f>
        <v/>
      </c>
      <c r="L2017" s="15"/>
    </row>
    <row r="2018" customFormat="false" ht="12.75" hidden="false" customHeight="false" outlineLevel="0" collapsed="false">
      <c r="A2018" s="0" t="s">
        <v>623</v>
      </c>
      <c r="E2018" s="9" t="str">
        <f aca="false">IF(D2018="?OLD","!!!","")</f>
        <v/>
      </c>
      <c r="F2018" s="10" t="str">
        <f aca="false">IF(OR(E2018="",E2018="!!!"),"",IF(NOT(ISNA(VLOOKUP(E2018,E$1:E2017,1,FALSE()))),"OLD",IF(AND(E2018&lt;&gt;"",E2018&lt;&gt;"!!!"),"NEW","")))</f>
        <v/>
      </c>
      <c r="G2018" s="11" t="str">
        <f aca="false">IF(OR(E2018="",E2018="!!!"),"",IF(OR(J2018=0,AND(J2018=1,K2018=1),AND(J2018=1,I2018="SBJ"),AND(J2018=1,I2018=0)),"?IN_FOCUS",IF(J2018&lt;=2,"?ACTIVATED",IF(J2018&lt;&gt;"","?FAMILIAR",IF(F2018="NEW",IF(ISNA(VLOOKUP(E2018,#REF!,1,FALSE())),"?TYPE_IDENTIFIABLE","?REFERENTIAL"),"_")))))</f>
        <v/>
      </c>
      <c r="H2018" s="12" t="str">
        <f aca="false">IF(J2018&lt;&gt;1,"",IF(I2018="SBJ","CB","?"))</f>
        <v/>
      </c>
      <c r="I2018" s="13" t="str">
        <f aca="false">IF(OR(E2018="",E2018="!!!",F2018="NEW"),"",INDEX(B$2:B2017,-1+SUMPRODUCT(MAX(ROW(E$2:E2017)*(E2018=E$2:E2017)))))</f>
        <v/>
      </c>
      <c r="J2018" s="14" t="str">
        <f aca="true">IF(OR(E2018="",E2018="!!!",F2018="NEW"),"",COUNTBLANK(OFFSET(A$1,,,SUMPRODUCT(MAX(ROW(E$2:E2018)*(E2018=E$2:E2018)))))-COUNTBLANK(OFFSET(A$1,,,SUMPRODUCT(MAX(ROW(E$1:E2017)*(E2018=E$1:E2017))))))</f>
        <v/>
      </c>
      <c r="K2018" s="14" t="str">
        <f aca="false">IF(OR(E2018="",E2018="!!!",F2018="NEW"),"",INDEX(J$1:J2017,SUMPRODUCT(MAX(ROW(E$1:E2017)*(E2018=E$1:E2017)))))</f>
        <v/>
      </c>
      <c r="L2018" s="15"/>
    </row>
    <row r="2019" customFormat="false" ht="12.75" hidden="false" customHeight="false" outlineLevel="0" collapsed="false">
      <c r="A2019" s="0" t="s">
        <v>161</v>
      </c>
      <c r="B2019" s="0" t="s">
        <v>64</v>
      </c>
      <c r="C2019" s="0" t="s">
        <v>162</v>
      </c>
      <c r="E2019" s="9" t="str">
        <f aca="false">IF(D2019="?OLD","!!!","")</f>
        <v/>
      </c>
      <c r="F2019" s="10" t="str">
        <f aca="false">IF(OR(E2019="",E2019="!!!"),"",IF(NOT(ISNA(VLOOKUP(E2019,E$1:E2018,1,FALSE()))),"OLD",IF(AND(E2019&lt;&gt;"",E2019&lt;&gt;"!!!"),"NEW","")))</f>
        <v/>
      </c>
      <c r="G2019" s="11" t="str">
        <f aca="false">IF(OR(E2019="",E2019="!!!"),"",IF(OR(J2019=0,AND(J2019=1,K2019=1),AND(J2019=1,I2019="SBJ"),AND(J2019=1,I2019=0)),"?IN_FOCUS",IF(J2019&lt;=2,"?ACTIVATED",IF(J2019&lt;&gt;"","?FAMILIAR",IF(F2019="NEW",IF(ISNA(VLOOKUP(E2019,#REF!,1,FALSE())),"?TYPE_IDENTIFIABLE","?REFERENTIAL"),"_")))))</f>
        <v/>
      </c>
      <c r="H2019" s="12" t="str">
        <f aca="false">IF(J2019&lt;&gt;1,"",IF(I2019="SBJ","CB","?"))</f>
        <v/>
      </c>
      <c r="I2019" s="13" t="str">
        <f aca="false">IF(OR(E2019="",E2019="!!!",F2019="NEW"),"",INDEX(B$2:B2018,-1+SUMPRODUCT(MAX(ROW(E$2:E2018)*(E2019=E$2:E2018)))))</f>
        <v/>
      </c>
      <c r="J2019" s="14" t="str">
        <f aca="true">IF(OR(E2019="",E2019="!!!",F2019="NEW"),"",COUNTBLANK(OFFSET(A$1,,,SUMPRODUCT(MAX(ROW(E$2:E2019)*(E2019=E$2:E2019)))))-COUNTBLANK(OFFSET(A$1,,,SUMPRODUCT(MAX(ROW(E$1:E2018)*(E2019=E$1:E2018))))))</f>
        <v/>
      </c>
      <c r="K2019" s="14" t="str">
        <f aca="false">IF(OR(E2019="",E2019="!!!",F2019="NEW"),"",INDEX(J$1:J2018,SUMPRODUCT(MAX(ROW(E$1:E2018)*(E2019=E$1:E2018)))))</f>
        <v/>
      </c>
      <c r="L2019" s="15"/>
    </row>
    <row r="2020" customFormat="false" ht="12.75" hidden="false" customHeight="false" outlineLevel="0" collapsed="false">
      <c r="A2020" s="0" t="s">
        <v>800</v>
      </c>
      <c r="B2020" s="0" t="s">
        <v>47</v>
      </c>
      <c r="C2020" s="0" t="s">
        <v>186</v>
      </c>
      <c r="E2020" s="9" t="str">
        <f aca="false">IF(D2020="?OLD","!!!","")</f>
        <v/>
      </c>
      <c r="F2020" s="10" t="str">
        <f aca="false">IF(OR(E2020="",E2020="!!!"),"",IF(NOT(ISNA(VLOOKUP(E2020,E$1:E2019,1,FALSE()))),"OLD",IF(AND(E2020&lt;&gt;"",E2020&lt;&gt;"!!!"),"NEW","")))</f>
        <v/>
      </c>
      <c r="G2020" s="11" t="str">
        <f aca="false">IF(OR(E2020="",E2020="!!!"),"",IF(OR(J2020=0,AND(J2020=1,K2020=1),AND(J2020=1,I2020="SBJ"),AND(J2020=1,I2020=0)),"?IN_FOCUS",IF(J2020&lt;=2,"?ACTIVATED",IF(J2020&lt;&gt;"","?FAMILIAR",IF(F2020="NEW",IF(ISNA(VLOOKUP(E2020,#REF!,1,FALSE())),"?TYPE_IDENTIFIABLE","?REFERENTIAL"),"_")))))</f>
        <v/>
      </c>
      <c r="H2020" s="12" t="str">
        <f aca="false">IF(J2020&lt;&gt;1,"",IF(I2020="SBJ","CB","?"))</f>
        <v/>
      </c>
      <c r="I2020" s="13" t="str">
        <f aca="false">IF(OR(E2020="",E2020="!!!",F2020="NEW"),"",INDEX(B$2:B2019,-1+SUMPRODUCT(MAX(ROW(E$2:E2019)*(E2020=E$2:E2019)))))</f>
        <v/>
      </c>
      <c r="J2020" s="14" t="str">
        <f aca="true">IF(OR(E2020="",E2020="!!!",F2020="NEW"),"",COUNTBLANK(OFFSET(A$1,,,SUMPRODUCT(MAX(ROW(E$2:E2020)*(E2020=E$2:E2020)))))-COUNTBLANK(OFFSET(A$1,,,SUMPRODUCT(MAX(ROW(E$1:E2019)*(E2020=E$1:E2019))))))</f>
        <v/>
      </c>
      <c r="K2020" s="14" t="str">
        <f aca="false">IF(OR(E2020="",E2020="!!!",F2020="NEW"),"",INDEX(J$1:J2019,SUMPRODUCT(MAX(ROW(E$1:E2019)*(E2020=E$1:E2019)))))</f>
        <v/>
      </c>
      <c r="L2020" s="15"/>
    </row>
    <row r="2021" customFormat="false" ht="12.75" hidden="false" customHeight="false" outlineLevel="0" collapsed="false">
      <c r="A2021" s="0" t="s">
        <v>48</v>
      </c>
      <c r="E2021" s="9" t="str">
        <f aca="false">IF(D2021="?OLD","!!!","")</f>
        <v/>
      </c>
      <c r="F2021" s="10" t="str">
        <f aca="false">IF(OR(E2021="",E2021="!!!"),"",IF(NOT(ISNA(VLOOKUP(E2021,E$1:E2020,1,FALSE()))),"OLD",IF(AND(E2021&lt;&gt;"",E2021&lt;&gt;"!!!"),"NEW","")))</f>
        <v/>
      </c>
      <c r="G2021" s="11" t="str">
        <f aca="false">IF(OR(E2021="",E2021="!!!"),"",IF(OR(J2021=0,AND(J2021=1,K2021=1),AND(J2021=1,I2021="SBJ"),AND(J2021=1,I2021=0)),"?IN_FOCUS",IF(J2021&lt;=2,"?ACTIVATED",IF(J2021&lt;&gt;"","?FAMILIAR",IF(F2021="NEW",IF(ISNA(VLOOKUP(E2021,#REF!,1,FALSE())),"?TYPE_IDENTIFIABLE","?REFERENTIAL"),"_")))))</f>
        <v/>
      </c>
      <c r="H2021" s="12" t="str">
        <f aca="false">IF(J2021&lt;&gt;1,"",IF(I2021="SBJ","CB","?"))</f>
        <v/>
      </c>
      <c r="I2021" s="13" t="str">
        <f aca="false">IF(OR(E2021="",E2021="!!!",F2021="NEW"),"",INDEX(B$2:B2020,-1+SUMPRODUCT(MAX(ROW(E$2:E2020)*(E2021=E$2:E2020)))))</f>
        <v/>
      </c>
      <c r="J2021" s="14" t="str">
        <f aca="true">IF(OR(E2021="",E2021="!!!",F2021="NEW"),"",COUNTBLANK(OFFSET(A$1,,,SUMPRODUCT(MAX(ROW(E$2:E2021)*(E2021=E$2:E2021)))))-COUNTBLANK(OFFSET(A$1,,,SUMPRODUCT(MAX(ROW(E$1:E2020)*(E2021=E$1:E2020))))))</f>
        <v/>
      </c>
      <c r="K2021" s="14" t="str">
        <f aca="false">IF(OR(E2021="",E2021="!!!",F2021="NEW"),"",INDEX(J$1:J2020,SUMPRODUCT(MAX(ROW(E$1:E2020)*(E2021=E$1:E2020)))))</f>
        <v/>
      </c>
      <c r="L2021" s="15"/>
    </row>
    <row r="2022" customFormat="false" ht="12.75" hidden="false" customHeight="false" outlineLevel="0" collapsed="false">
      <c r="A2022" s="0" t="s">
        <v>148</v>
      </c>
      <c r="E2022" s="9" t="str">
        <f aca="false">IF(D2022="?OLD","!!!","")</f>
        <v/>
      </c>
      <c r="F2022" s="10" t="str">
        <f aca="false">IF(OR(E2022="",E2022="!!!"),"",IF(NOT(ISNA(VLOOKUP(E2022,E$1:E2021,1,FALSE()))),"OLD",IF(AND(E2022&lt;&gt;"",E2022&lt;&gt;"!!!"),"NEW","")))</f>
        <v/>
      </c>
      <c r="G2022" s="11" t="str">
        <f aca="false">IF(OR(E2022="",E2022="!!!"),"",IF(OR(J2022=0,AND(J2022=1,K2022=1),AND(J2022=1,I2022="SBJ"),AND(J2022=1,I2022=0)),"?IN_FOCUS",IF(J2022&lt;=2,"?ACTIVATED",IF(J2022&lt;&gt;"","?FAMILIAR",IF(F2022="NEW",IF(ISNA(VLOOKUP(E2022,#REF!,1,FALSE())),"?TYPE_IDENTIFIABLE","?REFERENTIAL"),"_")))))</f>
        <v/>
      </c>
      <c r="H2022" s="12" t="str">
        <f aca="false">IF(J2022&lt;&gt;1,"",IF(I2022="SBJ","CB","?"))</f>
        <v/>
      </c>
      <c r="I2022" s="13" t="str">
        <f aca="false">IF(OR(E2022="",E2022="!!!",F2022="NEW"),"",INDEX(B$2:B2021,-1+SUMPRODUCT(MAX(ROW(E$2:E2021)*(E2022=E$2:E2021)))))</f>
        <v/>
      </c>
      <c r="J2022" s="14" t="str">
        <f aca="true">IF(OR(E2022="",E2022="!!!",F2022="NEW"),"",COUNTBLANK(OFFSET(A$1,,,SUMPRODUCT(MAX(ROW(E$2:E2022)*(E2022=E$2:E2022)))))-COUNTBLANK(OFFSET(A$1,,,SUMPRODUCT(MAX(ROW(E$1:E2021)*(E2022=E$1:E2021))))))</f>
        <v/>
      </c>
      <c r="K2022" s="14" t="str">
        <f aca="false">IF(OR(E2022="",E2022="!!!",F2022="NEW"),"",INDEX(J$1:J2021,SUMPRODUCT(MAX(ROW(E$1:E2021)*(E2022=E$1:E2021)))))</f>
        <v/>
      </c>
      <c r="L2022" s="15"/>
    </row>
    <row r="2023" customFormat="false" ht="12.75" hidden="false" customHeight="false" outlineLevel="0" collapsed="false">
      <c r="A2023" s="0" t="s">
        <v>51</v>
      </c>
      <c r="E2023" s="9" t="str">
        <f aca="false">IF(D2023="?OLD","!!!","")</f>
        <v/>
      </c>
      <c r="F2023" s="10" t="str">
        <f aca="false">IF(OR(E2023="",E2023="!!!"),"",IF(NOT(ISNA(VLOOKUP(E2023,E$1:E2022,1,FALSE()))),"OLD",IF(AND(E2023&lt;&gt;"",E2023&lt;&gt;"!!!"),"NEW","")))</f>
        <v/>
      </c>
      <c r="G2023" s="11" t="str">
        <f aca="false">IF(OR(E2023="",E2023="!!!"),"",IF(OR(J2023=0,AND(J2023=1,K2023=1),AND(J2023=1,I2023="SBJ"),AND(J2023=1,I2023=0)),"?IN_FOCUS",IF(J2023&lt;=2,"?ACTIVATED",IF(J2023&lt;&gt;"","?FAMILIAR",IF(F2023="NEW",IF(ISNA(VLOOKUP(E2023,#REF!,1,FALSE())),"?TYPE_IDENTIFIABLE","?REFERENTIAL"),"_")))))</f>
        <v/>
      </c>
      <c r="H2023" s="12" t="str">
        <f aca="false">IF(J2023&lt;&gt;1,"",IF(I2023="SBJ","CB","?"))</f>
        <v/>
      </c>
      <c r="I2023" s="13" t="str">
        <f aca="false">IF(OR(E2023="",E2023="!!!",F2023="NEW"),"",INDEX(B$2:B2022,-1+SUMPRODUCT(MAX(ROW(E$2:E2022)*(E2023=E$2:E2022)))))</f>
        <v/>
      </c>
      <c r="J2023" s="14" t="str">
        <f aca="true">IF(OR(E2023="",E2023="!!!",F2023="NEW"),"",COUNTBLANK(OFFSET(A$1,,,SUMPRODUCT(MAX(ROW(E$2:E2023)*(E2023=E$2:E2023)))))-COUNTBLANK(OFFSET(A$1,,,SUMPRODUCT(MAX(ROW(E$1:E2022)*(E2023=E$1:E2022))))))</f>
        <v/>
      </c>
      <c r="K2023" s="14" t="str">
        <f aca="false">IF(OR(E2023="",E2023="!!!",F2023="NEW"),"",INDEX(J$1:J2022,SUMPRODUCT(MAX(ROW(E$1:E2022)*(E2023=E$1:E2022)))))</f>
        <v/>
      </c>
      <c r="L2023" s="15"/>
    </row>
    <row r="2024" customFormat="false" ht="12.75" hidden="false" customHeight="false" outlineLevel="0" collapsed="false">
      <c r="A2024" s="0" t="s">
        <v>801</v>
      </c>
      <c r="E2024" s="9" t="str">
        <f aca="false">IF(D2024="?OLD","!!!","")</f>
        <v/>
      </c>
      <c r="F2024" s="10" t="str">
        <f aca="false">IF(OR(E2024="",E2024="!!!"),"",IF(NOT(ISNA(VLOOKUP(E2024,E$1:E2023,1,FALSE()))),"OLD",IF(AND(E2024&lt;&gt;"",E2024&lt;&gt;"!!!"),"NEW","")))</f>
        <v/>
      </c>
      <c r="G2024" s="11" t="str">
        <f aca="false">IF(OR(E2024="",E2024="!!!"),"",IF(OR(J2024=0,AND(J2024=1,K2024=1),AND(J2024=1,I2024="SBJ"),AND(J2024=1,I2024=0)),"?IN_FOCUS",IF(J2024&lt;=2,"?ACTIVATED",IF(J2024&lt;&gt;"","?FAMILIAR",IF(F2024="NEW",IF(ISNA(VLOOKUP(E2024,#REF!,1,FALSE())),"?TYPE_IDENTIFIABLE","?REFERENTIAL"),"_")))))</f>
        <v/>
      </c>
      <c r="H2024" s="12" t="str">
        <f aca="false">IF(J2024&lt;&gt;1,"",IF(I2024="SBJ","CB","?"))</f>
        <v/>
      </c>
      <c r="I2024" s="13" t="str">
        <f aca="false">IF(OR(E2024="",E2024="!!!",F2024="NEW"),"",INDEX(B$2:B2023,-1+SUMPRODUCT(MAX(ROW(E$2:E2023)*(E2024=E$2:E2023)))))</f>
        <v/>
      </c>
      <c r="J2024" s="14" t="str">
        <f aca="true">IF(OR(E2024="",E2024="!!!",F2024="NEW"),"",COUNTBLANK(OFFSET(A$1,,,SUMPRODUCT(MAX(ROW(E$2:E2024)*(E2024=E$2:E2024)))))-COUNTBLANK(OFFSET(A$1,,,SUMPRODUCT(MAX(ROW(E$1:E2023)*(E2024=E$1:E2023))))))</f>
        <v/>
      </c>
      <c r="K2024" s="14" t="str">
        <f aca="false">IF(OR(E2024="",E2024="!!!",F2024="NEW"),"",INDEX(J$1:J2023,SUMPRODUCT(MAX(ROW(E$1:E2023)*(E2024=E$1:E2023)))))</f>
        <v/>
      </c>
      <c r="L2024" s="15"/>
    </row>
    <row r="2025" customFormat="false" ht="12.75" hidden="false" customHeight="false" outlineLevel="0" collapsed="false">
      <c r="A2025" s="0" t="s">
        <v>79</v>
      </c>
      <c r="E2025" s="9" t="str">
        <f aca="false">IF(D2025="?OLD","!!!","")</f>
        <v/>
      </c>
      <c r="F2025" s="10" t="str">
        <f aca="false">IF(OR(E2025="",E2025="!!!"),"",IF(NOT(ISNA(VLOOKUP(E2025,E$1:E2024,1,FALSE()))),"OLD",IF(AND(E2025&lt;&gt;"",E2025&lt;&gt;"!!!"),"NEW","")))</f>
        <v/>
      </c>
      <c r="G2025" s="11" t="str">
        <f aca="false">IF(OR(E2025="",E2025="!!!"),"",IF(OR(J2025=0,AND(J2025=1,K2025=1),AND(J2025=1,I2025="SBJ"),AND(J2025=1,I2025=0)),"?IN_FOCUS",IF(J2025&lt;=2,"?ACTIVATED",IF(J2025&lt;&gt;"","?FAMILIAR",IF(F2025="NEW",IF(ISNA(VLOOKUP(E2025,#REF!,1,FALSE())),"?TYPE_IDENTIFIABLE","?REFERENTIAL"),"_")))))</f>
        <v/>
      </c>
      <c r="H2025" s="12" t="str">
        <f aca="false">IF(J2025&lt;&gt;1,"",IF(I2025="SBJ","CB","?"))</f>
        <v/>
      </c>
      <c r="I2025" s="13" t="str">
        <f aca="false">IF(OR(E2025="",E2025="!!!",F2025="NEW"),"",INDEX(B$2:B2024,-1+SUMPRODUCT(MAX(ROW(E$2:E2024)*(E2025=E$2:E2024)))))</f>
        <v/>
      </c>
      <c r="J2025" s="14" t="str">
        <f aca="true">IF(OR(E2025="",E2025="!!!",F2025="NEW"),"",COUNTBLANK(OFFSET(A$1,,,SUMPRODUCT(MAX(ROW(E$2:E2025)*(E2025=E$2:E2025)))))-COUNTBLANK(OFFSET(A$1,,,SUMPRODUCT(MAX(ROW(E$1:E2024)*(E2025=E$1:E2024))))))</f>
        <v/>
      </c>
      <c r="K2025" s="14" t="str">
        <f aca="false">IF(OR(E2025="",E2025="!!!",F2025="NEW"),"",INDEX(J$1:J2024,SUMPRODUCT(MAX(ROW(E$1:E2024)*(E2025=E$1:E2024)))))</f>
        <v/>
      </c>
      <c r="L2025" s="15"/>
    </row>
    <row r="2026" customFormat="false" ht="12.75" hidden="false" customHeight="false" outlineLevel="0" collapsed="false">
      <c r="A2026" s="0" t="s">
        <v>66</v>
      </c>
      <c r="E2026" s="9" t="str">
        <f aca="false">IF(D2026="?OLD","!!!","")</f>
        <v/>
      </c>
      <c r="F2026" s="10" t="str">
        <f aca="false">IF(OR(E2026="",E2026="!!!"),"",IF(NOT(ISNA(VLOOKUP(E2026,E$1:E2025,1,FALSE()))),"OLD",IF(AND(E2026&lt;&gt;"",E2026&lt;&gt;"!!!"),"NEW","")))</f>
        <v/>
      </c>
      <c r="G2026" s="11" t="str">
        <f aca="false">IF(OR(E2026="",E2026="!!!"),"",IF(OR(J2026=0,AND(J2026=1,K2026=1),AND(J2026=1,I2026="SBJ"),AND(J2026=1,I2026=0)),"?IN_FOCUS",IF(J2026&lt;=2,"?ACTIVATED",IF(J2026&lt;&gt;"","?FAMILIAR",IF(F2026="NEW",IF(ISNA(VLOOKUP(E2026,#REF!,1,FALSE())),"?TYPE_IDENTIFIABLE","?REFERENTIAL"),"_")))))</f>
        <v/>
      </c>
      <c r="H2026" s="12" t="str">
        <f aca="false">IF(J2026&lt;&gt;1,"",IF(I2026="SBJ","CB","?"))</f>
        <v/>
      </c>
      <c r="I2026" s="13" t="str">
        <f aca="false">IF(OR(E2026="",E2026="!!!",F2026="NEW"),"",INDEX(B$2:B2025,-1+SUMPRODUCT(MAX(ROW(E$2:E2025)*(E2026=E$2:E2025)))))</f>
        <v/>
      </c>
      <c r="J2026" s="14" t="str">
        <f aca="true">IF(OR(E2026="",E2026="!!!",F2026="NEW"),"",COUNTBLANK(OFFSET(A$1,,,SUMPRODUCT(MAX(ROW(E$2:E2026)*(E2026=E$2:E2026)))))-COUNTBLANK(OFFSET(A$1,,,SUMPRODUCT(MAX(ROW(E$1:E2025)*(E2026=E$1:E2025))))))</f>
        <v/>
      </c>
      <c r="K2026" s="14" t="str">
        <f aca="false">IF(OR(E2026="",E2026="!!!",F2026="NEW"),"",INDEX(J$1:J2025,SUMPRODUCT(MAX(ROW(E$1:E2025)*(E2026=E$1:E2025)))))</f>
        <v/>
      </c>
      <c r="L2026" s="15"/>
    </row>
    <row r="2027" customFormat="false" ht="12.75" hidden="false" customHeight="false" outlineLevel="0" collapsed="false">
      <c r="A2027" s="0" t="s">
        <v>794</v>
      </c>
      <c r="B2027" s="0" t="s">
        <v>64</v>
      </c>
      <c r="C2027" s="0" t="s">
        <v>15</v>
      </c>
      <c r="D2027" s="0" t="s">
        <v>29</v>
      </c>
      <c r="E2027" s="9" t="str">
        <f aca="false">IF(D2027="?OLD","!!!","")</f>
        <v>!!!</v>
      </c>
      <c r="F2027" s="10" t="str">
        <f aca="false">IF(OR(E2027="",E2027="!!!"),"",IF(NOT(ISNA(VLOOKUP(E2027,E$1:E2026,1,FALSE()))),"OLD",IF(AND(E2027&lt;&gt;"",E2027&lt;&gt;"!!!"),"NEW","")))</f>
        <v/>
      </c>
      <c r="G2027" s="11" t="str">
        <f aca="false">IF(OR(E2027="",E2027="!!!"),"",IF(OR(J2027=0,AND(J2027=1,K2027=1),AND(J2027=1,I2027="SBJ"),AND(J2027=1,I2027=0)),"?IN_FOCUS",IF(J2027&lt;=2,"?ACTIVATED",IF(J2027&lt;&gt;"","?FAMILIAR",IF(F2027="NEW",IF(ISNA(VLOOKUP(E2027,#REF!,1,FALSE())),"?TYPE_IDENTIFIABLE","?REFERENTIAL"),"_")))))</f>
        <v/>
      </c>
      <c r="H2027" s="12" t="str">
        <f aca="false">IF(J2027&lt;&gt;1,"",IF(I2027="SBJ","CB","?"))</f>
        <v/>
      </c>
      <c r="I2027" s="13" t="str">
        <f aca="false">IF(OR(E2027="",E2027="!!!",F2027="NEW"),"",INDEX(B$2:B2026,-1+SUMPRODUCT(MAX(ROW(E$2:E2026)*(E2027=E$2:E2026)))))</f>
        <v/>
      </c>
      <c r="J2027" s="14" t="str">
        <f aca="true">IF(OR(E2027="",E2027="!!!",F2027="NEW"),"",COUNTBLANK(OFFSET(A$1,,,SUMPRODUCT(MAX(ROW(E$2:E2027)*(E2027=E$2:E2027)))))-COUNTBLANK(OFFSET(A$1,,,SUMPRODUCT(MAX(ROW(E$1:E2026)*(E2027=E$1:E2026))))))</f>
        <v/>
      </c>
      <c r="K2027" s="14" t="str">
        <f aca="false">IF(OR(E2027="",E2027="!!!",F2027="NEW"),"",INDEX(J$1:J2026,SUMPRODUCT(MAX(ROW(E$1:E2026)*(E2027=E$1:E2026)))))</f>
        <v/>
      </c>
      <c r="L2027" s="15"/>
    </row>
    <row r="2028" customFormat="false" ht="12.75" hidden="false" customHeight="false" outlineLevel="0" collapsed="false">
      <c r="A2028" s="0" t="s">
        <v>19</v>
      </c>
      <c r="E2028" s="9" t="str">
        <f aca="false">IF(D2028="?OLD","!!!","")</f>
        <v/>
      </c>
      <c r="F2028" s="10" t="str">
        <f aca="false">IF(OR(E2028="",E2028="!!!"),"",IF(NOT(ISNA(VLOOKUP(E2028,E$1:E2027,1,FALSE()))),"OLD",IF(AND(E2028&lt;&gt;"",E2028&lt;&gt;"!!!"),"NEW","")))</f>
        <v/>
      </c>
      <c r="G2028" s="11" t="str">
        <f aca="false">IF(OR(E2028="",E2028="!!!"),"",IF(OR(J2028=0,AND(J2028=1,K2028=1),AND(J2028=1,I2028="SBJ"),AND(J2028=1,I2028=0)),"?IN_FOCUS",IF(J2028&lt;=2,"?ACTIVATED",IF(J2028&lt;&gt;"","?FAMILIAR",IF(F2028="NEW",IF(ISNA(VLOOKUP(E2028,#REF!,1,FALSE())),"?TYPE_IDENTIFIABLE","?REFERENTIAL"),"_")))))</f>
        <v/>
      </c>
      <c r="H2028" s="12" t="str">
        <f aca="false">IF(J2028&lt;&gt;1,"",IF(I2028="SBJ","CB","?"))</f>
        <v/>
      </c>
      <c r="I2028" s="13" t="str">
        <f aca="false">IF(OR(E2028="",E2028="!!!",F2028="NEW"),"",INDEX(B$2:B2027,-1+SUMPRODUCT(MAX(ROW(E$2:E2027)*(E2028=E$2:E2027)))))</f>
        <v/>
      </c>
      <c r="J2028" s="14" t="str">
        <f aca="true">IF(OR(E2028="",E2028="!!!",F2028="NEW"),"",COUNTBLANK(OFFSET(A$1,,,SUMPRODUCT(MAX(ROW(E$2:E2028)*(E2028=E$2:E2028)))))-COUNTBLANK(OFFSET(A$1,,,SUMPRODUCT(MAX(ROW(E$1:E2027)*(E2028=E$1:E2027))))))</f>
        <v/>
      </c>
      <c r="K2028" s="14" t="str">
        <f aca="false">IF(OR(E2028="",E2028="!!!",F2028="NEW"),"",INDEX(J$1:J2027,SUMPRODUCT(MAX(ROW(E$1:E2027)*(E2028=E$1:E2027)))))</f>
        <v/>
      </c>
      <c r="L2028" s="15"/>
    </row>
    <row r="2029" customFormat="false" ht="12.75" hidden="false" customHeight="false" outlineLevel="0" collapsed="false">
      <c r="A2029" s="0" t="s">
        <v>36</v>
      </c>
      <c r="B2029" s="0" t="s">
        <v>54</v>
      </c>
      <c r="C2029" s="0" t="s">
        <v>38</v>
      </c>
      <c r="D2029" s="0" t="s">
        <v>29</v>
      </c>
      <c r="E2029" s="9" t="str">
        <f aca="false">IF(D2029="?OLD","!!!","")</f>
        <v>!!!</v>
      </c>
      <c r="F2029" s="10" t="str">
        <f aca="false">IF(OR(E2029="",E2029="!!!"),"",IF(NOT(ISNA(VLOOKUP(E2029,E$1:E2028,1,FALSE()))),"OLD",IF(AND(E2029&lt;&gt;"",E2029&lt;&gt;"!!!"),"NEW","")))</f>
        <v/>
      </c>
      <c r="G2029" s="11" t="str">
        <f aca="false">IF(OR(E2029="",E2029="!!!"),"",IF(OR(J2029=0,AND(J2029=1,K2029=1),AND(J2029=1,I2029="SBJ"),AND(J2029=1,I2029=0)),"?IN_FOCUS",IF(J2029&lt;=2,"?ACTIVATED",IF(J2029&lt;&gt;"","?FAMILIAR",IF(F2029="NEW",IF(ISNA(VLOOKUP(E2029,#REF!,1,FALSE())),"?TYPE_IDENTIFIABLE","?REFERENTIAL"),"_")))))</f>
        <v/>
      </c>
      <c r="H2029" s="12" t="str">
        <f aca="false">IF(J2029&lt;&gt;1,"",IF(I2029="SBJ","CB","?"))</f>
        <v/>
      </c>
      <c r="I2029" s="13" t="str">
        <f aca="false">IF(OR(E2029="",E2029="!!!",F2029="NEW"),"",INDEX(B$2:B2028,-1+SUMPRODUCT(MAX(ROW(E$2:E2028)*(E2029=E$2:E2028)))))</f>
        <v/>
      </c>
      <c r="J2029" s="14" t="str">
        <f aca="true">IF(OR(E2029="",E2029="!!!",F2029="NEW"),"",COUNTBLANK(OFFSET(A$1,,,SUMPRODUCT(MAX(ROW(E$2:E2029)*(E2029=E$2:E2029)))))-COUNTBLANK(OFFSET(A$1,,,SUMPRODUCT(MAX(ROW(E$1:E2028)*(E2029=E$1:E2028))))))</f>
        <v/>
      </c>
      <c r="K2029" s="14" t="str">
        <f aca="false">IF(OR(E2029="",E2029="!!!",F2029="NEW"),"",INDEX(J$1:J2028,SUMPRODUCT(MAX(ROW(E$1:E2028)*(E2029=E$1:E2028)))))</f>
        <v/>
      </c>
      <c r="L2029" s="15"/>
    </row>
    <row r="2030" customFormat="false" ht="12.75" hidden="false" customHeight="false" outlineLevel="0" collapsed="false">
      <c r="A2030" s="0" t="s">
        <v>73</v>
      </c>
      <c r="E2030" s="9" t="str">
        <f aca="false">IF(D2030="?OLD","!!!","")</f>
        <v/>
      </c>
      <c r="F2030" s="10" t="str">
        <f aca="false">IF(OR(E2030="",E2030="!!!"),"",IF(NOT(ISNA(VLOOKUP(E2030,E$1:E2029,1,FALSE()))),"OLD",IF(AND(E2030&lt;&gt;"",E2030&lt;&gt;"!!!"),"NEW","")))</f>
        <v/>
      </c>
      <c r="G2030" s="11" t="str">
        <f aca="false">IF(OR(E2030="",E2030="!!!"),"",IF(OR(J2030=0,AND(J2030=1,K2030=1),AND(J2030=1,I2030="SBJ"),AND(J2030=1,I2030=0)),"?IN_FOCUS",IF(J2030&lt;=2,"?ACTIVATED",IF(J2030&lt;&gt;"","?FAMILIAR",IF(F2030="NEW",IF(ISNA(VLOOKUP(E2030,#REF!,1,FALSE())),"?TYPE_IDENTIFIABLE","?REFERENTIAL"),"_")))))</f>
        <v/>
      </c>
      <c r="H2030" s="12" t="str">
        <f aca="false">IF(J2030&lt;&gt;1,"",IF(I2030="SBJ","CB","?"))</f>
        <v/>
      </c>
      <c r="I2030" s="13" t="str">
        <f aca="false">IF(OR(E2030="",E2030="!!!",F2030="NEW"),"",INDEX(B$2:B2029,-1+SUMPRODUCT(MAX(ROW(E$2:E2029)*(E2030=E$2:E2029)))))</f>
        <v/>
      </c>
      <c r="J2030" s="14" t="str">
        <f aca="true">IF(OR(E2030="",E2030="!!!",F2030="NEW"),"",COUNTBLANK(OFFSET(A$1,,,SUMPRODUCT(MAX(ROW(E$2:E2030)*(E2030=E$2:E2030)))))-COUNTBLANK(OFFSET(A$1,,,SUMPRODUCT(MAX(ROW(E$1:E2029)*(E2030=E$1:E2029))))))</f>
        <v/>
      </c>
      <c r="K2030" s="14" t="str">
        <f aca="false">IF(OR(E2030="",E2030="!!!",F2030="NEW"),"",INDEX(J$1:J2029,SUMPRODUCT(MAX(ROW(E$1:E2029)*(E2030=E$1:E2029)))))</f>
        <v/>
      </c>
      <c r="L2030" s="15"/>
    </row>
    <row r="2031" customFormat="false" ht="12.75" hidden="false" customHeight="false" outlineLevel="0" collapsed="false">
      <c r="E2031" s="9" t="str">
        <f aca="false">IF(D2031="?OLD","!!!","")</f>
        <v/>
      </c>
      <c r="F2031" s="10" t="str">
        <f aca="false">IF(OR(E2031="",E2031="!!!"),"",IF(NOT(ISNA(VLOOKUP(E2031,E$1:E2030,1,FALSE()))),"OLD",IF(AND(E2031&lt;&gt;"",E2031&lt;&gt;"!!!"),"NEW","")))</f>
        <v/>
      </c>
      <c r="G2031" s="11" t="str">
        <f aca="false">IF(OR(E2031="",E2031="!!!"),"",IF(OR(J2031=0,AND(J2031=1,K2031=1),AND(J2031=1,I2031="SBJ"),AND(J2031=1,I2031=0)),"?IN_FOCUS",IF(J2031&lt;=2,"?ACTIVATED",IF(J2031&lt;&gt;"","?FAMILIAR",IF(F2031="NEW",IF(ISNA(VLOOKUP(E2031,#REF!,1,FALSE())),"?TYPE_IDENTIFIABLE","?REFERENTIAL"),"_")))))</f>
        <v/>
      </c>
      <c r="H2031" s="12" t="str">
        <f aca="false">IF(J2031&lt;&gt;1,"",IF(I2031="SBJ","CB","?"))</f>
        <v/>
      </c>
      <c r="I2031" s="13" t="str">
        <f aca="false">IF(OR(E2031="",E2031="!!!",F2031="NEW"),"",INDEX(B$2:B2030,-1+SUMPRODUCT(MAX(ROW(E$2:E2030)*(E2031=E$2:E2030)))))</f>
        <v/>
      </c>
      <c r="J2031" s="14" t="str">
        <f aca="true">IF(OR(E2031="",E2031="!!!",F2031="NEW"),"",COUNTBLANK(OFFSET(A$1,,,SUMPRODUCT(MAX(ROW(E$2:E2031)*(E2031=E$2:E2031)))))-COUNTBLANK(OFFSET(A$1,,,SUMPRODUCT(MAX(ROW(E$1:E2030)*(E2031=E$1:E2030))))))</f>
        <v/>
      </c>
      <c r="K2031" s="14" t="str">
        <f aca="false">IF(OR(E2031="",E2031="!!!",F2031="NEW"),"",INDEX(J$1:J2030,SUMPRODUCT(MAX(ROW(E$1:E2030)*(E2031=E$1:E2030)))))</f>
        <v/>
      </c>
      <c r="L2031" s="15"/>
    </row>
    <row r="2032" customFormat="false" ht="12.75" hidden="false" customHeight="false" outlineLevel="0" collapsed="false">
      <c r="A2032" s="0" t="s">
        <v>802</v>
      </c>
      <c r="E2032" s="9" t="str">
        <f aca="false">IF(D2032="?OLD","!!!","")</f>
        <v/>
      </c>
      <c r="F2032" s="10" t="str">
        <f aca="false">IF(OR(E2032="",E2032="!!!"),"",IF(NOT(ISNA(VLOOKUP(E2032,E$1:E2031,1,FALSE()))),"OLD",IF(AND(E2032&lt;&gt;"",E2032&lt;&gt;"!!!"),"NEW","")))</f>
        <v/>
      </c>
      <c r="G2032" s="11" t="str">
        <f aca="false">IF(OR(E2032="",E2032="!!!"),"",IF(OR(J2032=0,AND(J2032=1,K2032=1),AND(J2032=1,I2032="SBJ"),AND(J2032=1,I2032=0)),"?IN_FOCUS",IF(J2032&lt;=2,"?ACTIVATED",IF(J2032&lt;&gt;"","?FAMILIAR",IF(F2032="NEW",IF(ISNA(VLOOKUP(E2032,#REF!,1,FALSE())),"?TYPE_IDENTIFIABLE","?REFERENTIAL"),"_")))))</f>
        <v/>
      </c>
      <c r="H2032" s="12" t="str">
        <f aca="false">IF(J2032&lt;&gt;1,"",IF(I2032="SBJ","CB","?"))</f>
        <v/>
      </c>
      <c r="I2032" s="13" t="str">
        <f aca="false">IF(OR(E2032="",E2032="!!!",F2032="NEW"),"",INDEX(B$2:B2031,-1+SUMPRODUCT(MAX(ROW(E$2:E2031)*(E2032=E$2:E2031)))))</f>
        <v/>
      </c>
      <c r="J2032" s="14" t="str">
        <f aca="true">IF(OR(E2032="",E2032="!!!",F2032="NEW"),"",COUNTBLANK(OFFSET(A$1,,,SUMPRODUCT(MAX(ROW(E$2:E2032)*(E2032=E$2:E2032)))))-COUNTBLANK(OFFSET(A$1,,,SUMPRODUCT(MAX(ROW(E$1:E2031)*(E2032=E$1:E2031))))))</f>
        <v/>
      </c>
      <c r="K2032" s="14" t="str">
        <f aca="false">IF(OR(E2032="",E2032="!!!",F2032="NEW"),"",INDEX(J$1:J2031,SUMPRODUCT(MAX(ROW(E$1:E2031)*(E2032=E$1:E2031)))))</f>
        <v/>
      </c>
      <c r="L2032" s="15"/>
    </row>
    <row r="2033" customFormat="false" ht="12.75" hidden="false" customHeight="false" outlineLevel="0" collapsed="false">
      <c r="A2033" s="0" t="s">
        <v>122</v>
      </c>
      <c r="B2033" s="0" t="s">
        <v>14</v>
      </c>
      <c r="C2033" s="0" t="s">
        <v>38</v>
      </c>
      <c r="D2033" s="0" t="s">
        <v>29</v>
      </c>
      <c r="E2033" s="9" t="str">
        <f aca="false">IF(D2033="?OLD","!!!","")</f>
        <v>!!!</v>
      </c>
      <c r="F2033" s="10" t="str">
        <f aca="false">IF(OR(E2033="",E2033="!!!"),"",IF(NOT(ISNA(VLOOKUP(E2033,E$1:E2032,1,FALSE()))),"OLD",IF(AND(E2033&lt;&gt;"",E2033&lt;&gt;"!!!"),"NEW","")))</f>
        <v/>
      </c>
      <c r="G2033" s="11" t="str">
        <f aca="false">IF(OR(E2033="",E2033="!!!"),"",IF(OR(J2033=0,AND(J2033=1,K2033=1),AND(J2033=1,I2033="SBJ"),AND(J2033=1,I2033=0)),"?IN_FOCUS",IF(J2033&lt;=2,"?ACTIVATED",IF(J2033&lt;&gt;"","?FAMILIAR",IF(F2033="NEW",IF(ISNA(VLOOKUP(E2033,#REF!,1,FALSE())),"?TYPE_IDENTIFIABLE","?REFERENTIAL"),"_")))))</f>
        <v/>
      </c>
      <c r="H2033" s="12" t="str">
        <f aca="false">IF(J2033&lt;&gt;1,"",IF(I2033="SBJ","CB","?"))</f>
        <v/>
      </c>
      <c r="I2033" s="13" t="str">
        <f aca="false">IF(OR(E2033="",E2033="!!!",F2033="NEW"),"",INDEX(B$2:B2032,-1+SUMPRODUCT(MAX(ROW(E$2:E2032)*(E2033=E$2:E2032)))))</f>
        <v/>
      </c>
      <c r="J2033" s="14" t="str">
        <f aca="true">IF(OR(E2033="",E2033="!!!",F2033="NEW"),"",COUNTBLANK(OFFSET(A$1,,,SUMPRODUCT(MAX(ROW(E$2:E2033)*(E2033=E$2:E2033)))))-COUNTBLANK(OFFSET(A$1,,,SUMPRODUCT(MAX(ROW(E$1:E2032)*(E2033=E$1:E2032))))))</f>
        <v/>
      </c>
      <c r="K2033" s="14" t="str">
        <f aca="false">IF(OR(E2033="",E2033="!!!",F2033="NEW"),"",INDEX(J$1:J2032,SUMPRODUCT(MAX(ROW(E$1:E2032)*(E2033=E$1:E2032)))))</f>
        <v/>
      </c>
      <c r="L2033" s="15"/>
    </row>
    <row r="2034" customFormat="false" ht="12.75" hidden="false" customHeight="false" outlineLevel="0" collapsed="false">
      <c r="A2034" s="0" t="s">
        <v>48</v>
      </c>
      <c r="E2034" s="9" t="str">
        <f aca="false">IF(D2034="?OLD","!!!","")</f>
        <v/>
      </c>
      <c r="F2034" s="10" t="str">
        <f aca="false">IF(OR(E2034="",E2034="!!!"),"",IF(NOT(ISNA(VLOOKUP(E2034,E$1:E2033,1,FALSE()))),"OLD",IF(AND(E2034&lt;&gt;"",E2034&lt;&gt;"!!!"),"NEW","")))</f>
        <v/>
      </c>
      <c r="G2034" s="11" t="str">
        <f aca="false">IF(OR(E2034="",E2034="!!!"),"",IF(OR(J2034=0,AND(J2034=1,K2034=1),AND(J2034=1,I2034="SBJ"),AND(J2034=1,I2034=0)),"?IN_FOCUS",IF(J2034&lt;=2,"?ACTIVATED",IF(J2034&lt;&gt;"","?FAMILIAR",IF(F2034="NEW",IF(ISNA(VLOOKUP(E2034,#REF!,1,FALSE())),"?TYPE_IDENTIFIABLE","?REFERENTIAL"),"_")))))</f>
        <v/>
      </c>
      <c r="H2034" s="12" t="str">
        <f aca="false">IF(J2034&lt;&gt;1,"",IF(I2034="SBJ","CB","?"))</f>
        <v/>
      </c>
      <c r="I2034" s="13" t="str">
        <f aca="false">IF(OR(E2034="",E2034="!!!",F2034="NEW"),"",INDEX(B$2:B2033,-1+SUMPRODUCT(MAX(ROW(E$2:E2033)*(E2034=E$2:E2033)))))</f>
        <v/>
      </c>
      <c r="J2034" s="14" t="str">
        <f aca="true">IF(OR(E2034="",E2034="!!!",F2034="NEW"),"",COUNTBLANK(OFFSET(A$1,,,SUMPRODUCT(MAX(ROW(E$2:E2034)*(E2034=E$2:E2034)))))-COUNTBLANK(OFFSET(A$1,,,SUMPRODUCT(MAX(ROW(E$1:E2033)*(E2034=E$1:E2033))))))</f>
        <v/>
      </c>
      <c r="K2034" s="14" t="str">
        <f aca="false">IF(OR(E2034="",E2034="!!!",F2034="NEW"),"",INDEX(J$1:J2033,SUMPRODUCT(MAX(ROW(E$1:E2033)*(E2034=E$1:E2033)))))</f>
        <v/>
      </c>
      <c r="L2034" s="15"/>
    </row>
    <row r="2035" customFormat="false" ht="12.75" hidden="false" customHeight="false" outlineLevel="0" collapsed="false">
      <c r="A2035" s="0" t="s">
        <v>145</v>
      </c>
      <c r="E2035" s="9" t="str">
        <f aca="false">IF(D2035="?OLD","!!!","")</f>
        <v/>
      </c>
      <c r="F2035" s="10" t="str">
        <f aca="false">IF(OR(E2035="",E2035="!!!"),"",IF(NOT(ISNA(VLOOKUP(E2035,E$1:E2034,1,FALSE()))),"OLD",IF(AND(E2035&lt;&gt;"",E2035&lt;&gt;"!!!"),"NEW","")))</f>
        <v/>
      </c>
      <c r="G2035" s="11" t="str">
        <f aca="false">IF(OR(E2035="",E2035="!!!"),"",IF(OR(J2035=0,AND(J2035=1,K2035=1),AND(J2035=1,I2035="SBJ"),AND(J2035=1,I2035=0)),"?IN_FOCUS",IF(J2035&lt;=2,"?ACTIVATED",IF(J2035&lt;&gt;"","?FAMILIAR",IF(F2035="NEW",IF(ISNA(VLOOKUP(E2035,#REF!,1,FALSE())),"?TYPE_IDENTIFIABLE","?REFERENTIAL"),"_")))))</f>
        <v/>
      </c>
      <c r="H2035" s="12" t="str">
        <f aca="false">IF(J2035&lt;&gt;1,"",IF(I2035="SBJ","CB","?"))</f>
        <v/>
      </c>
      <c r="I2035" s="13" t="str">
        <f aca="false">IF(OR(E2035="",E2035="!!!",F2035="NEW"),"",INDEX(B$2:B2034,-1+SUMPRODUCT(MAX(ROW(E$2:E2034)*(E2035=E$2:E2034)))))</f>
        <v/>
      </c>
      <c r="J2035" s="14" t="str">
        <f aca="true">IF(OR(E2035="",E2035="!!!",F2035="NEW"),"",COUNTBLANK(OFFSET(A$1,,,SUMPRODUCT(MAX(ROW(E$2:E2035)*(E2035=E$2:E2035)))))-COUNTBLANK(OFFSET(A$1,,,SUMPRODUCT(MAX(ROW(E$1:E2034)*(E2035=E$1:E2034))))))</f>
        <v/>
      </c>
      <c r="K2035" s="14" t="str">
        <f aca="false">IF(OR(E2035="",E2035="!!!",F2035="NEW"),"",INDEX(J$1:J2034,SUMPRODUCT(MAX(ROW(E$1:E2034)*(E2035=E$1:E2034)))))</f>
        <v/>
      </c>
      <c r="L2035" s="15"/>
    </row>
    <row r="2036" customFormat="false" ht="12.75" hidden="false" customHeight="false" outlineLevel="0" collapsed="false">
      <c r="A2036" s="0" t="s">
        <v>21</v>
      </c>
      <c r="B2036" s="0" t="s">
        <v>62</v>
      </c>
      <c r="C2036" s="0" t="s">
        <v>23</v>
      </c>
      <c r="D2036" s="0" t="s">
        <v>29</v>
      </c>
      <c r="E2036" s="9" t="str">
        <f aca="false">IF(D2036="?OLD","!!!","")</f>
        <v>!!!</v>
      </c>
      <c r="F2036" s="10" t="str">
        <f aca="false">IF(OR(E2036="",E2036="!!!"),"",IF(NOT(ISNA(VLOOKUP(E2036,E$1:E2035,1,FALSE()))),"OLD",IF(AND(E2036&lt;&gt;"",E2036&lt;&gt;"!!!"),"NEW","")))</f>
        <v/>
      </c>
      <c r="G2036" s="11" t="str">
        <f aca="false">IF(OR(E2036="",E2036="!!!"),"",IF(OR(J2036=0,AND(J2036=1,K2036=1),AND(J2036=1,I2036="SBJ"),AND(J2036=1,I2036=0)),"?IN_FOCUS",IF(J2036&lt;=2,"?ACTIVATED",IF(J2036&lt;&gt;"","?FAMILIAR",IF(F2036="NEW",IF(ISNA(VLOOKUP(E2036,#REF!,1,FALSE())),"?TYPE_IDENTIFIABLE","?REFERENTIAL"),"_")))))</f>
        <v/>
      </c>
      <c r="H2036" s="12" t="str">
        <f aca="false">IF(J2036&lt;&gt;1,"",IF(I2036="SBJ","CB","?"))</f>
        <v/>
      </c>
      <c r="I2036" s="13" t="str">
        <f aca="false">IF(OR(E2036="",E2036="!!!",F2036="NEW"),"",INDEX(B$2:B2035,-1+SUMPRODUCT(MAX(ROW(E$2:E2035)*(E2036=E$2:E2035)))))</f>
        <v/>
      </c>
      <c r="J2036" s="14" t="str">
        <f aca="true">IF(OR(E2036="",E2036="!!!",F2036="NEW"),"",COUNTBLANK(OFFSET(A$1,,,SUMPRODUCT(MAX(ROW(E$2:E2036)*(E2036=E$2:E2036)))))-COUNTBLANK(OFFSET(A$1,,,SUMPRODUCT(MAX(ROW(E$1:E2035)*(E2036=E$1:E2035))))))</f>
        <v/>
      </c>
      <c r="K2036" s="14" t="str">
        <f aca="false">IF(OR(E2036="",E2036="!!!",F2036="NEW"),"",INDEX(J$1:J2035,SUMPRODUCT(MAX(ROW(E$1:E2035)*(E2036=E$1:E2035)))))</f>
        <v/>
      </c>
      <c r="L2036" s="15"/>
    </row>
    <row r="2037" customFormat="false" ht="12.75" hidden="false" customHeight="false" outlineLevel="0" collapsed="false">
      <c r="A2037" s="0" t="s">
        <v>26</v>
      </c>
      <c r="E2037" s="9" t="str">
        <f aca="false">IF(D2037="?OLD","!!!","")</f>
        <v/>
      </c>
      <c r="F2037" s="10" t="str">
        <f aca="false">IF(OR(E2037="",E2037="!!!"),"",IF(NOT(ISNA(VLOOKUP(E2037,E$1:E2036,1,FALSE()))),"OLD",IF(AND(E2037&lt;&gt;"",E2037&lt;&gt;"!!!"),"NEW","")))</f>
        <v/>
      </c>
      <c r="G2037" s="11" t="str">
        <f aca="false">IF(OR(E2037="",E2037="!!!"),"",IF(OR(J2037=0,AND(J2037=1,K2037=1),AND(J2037=1,I2037="SBJ"),AND(J2037=1,I2037=0)),"?IN_FOCUS",IF(J2037&lt;=2,"?ACTIVATED",IF(J2037&lt;&gt;"","?FAMILIAR",IF(F2037="NEW",IF(ISNA(VLOOKUP(E2037,#REF!,1,FALSE())),"?TYPE_IDENTIFIABLE","?REFERENTIAL"),"_")))))</f>
        <v/>
      </c>
      <c r="H2037" s="12" t="str">
        <f aca="false">IF(J2037&lt;&gt;1,"",IF(I2037="SBJ","CB","?"))</f>
        <v/>
      </c>
      <c r="I2037" s="13" t="str">
        <f aca="false">IF(OR(E2037="",E2037="!!!",F2037="NEW"),"",INDEX(B$2:B2036,-1+SUMPRODUCT(MAX(ROW(E$2:E2036)*(E2037=E$2:E2036)))))</f>
        <v/>
      </c>
      <c r="J2037" s="14" t="str">
        <f aca="true">IF(OR(E2037="",E2037="!!!",F2037="NEW"),"",COUNTBLANK(OFFSET(A$1,,,SUMPRODUCT(MAX(ROW(E$2:E2037)*(E2037=E$2:E2037)))))-COUNTBLANK(OFFSET(A$1,,,SUMPRODUCT(MAX(ROW(E$1:E2036)*(E2037=E$1:E2036))))))</f>
        <v/>
      </c>
      <c r="K2037" s="14" t="str">
        <f aca="false">IF(OR(E2037="",E2037="!!!",F2037="NEW"),"",INDEX(J$1:J2036,SUMPRODUCT(MAX(ROW(E$1:E2036)*(E2037=E$1:E2036)))))</f>
        <v/>
      </c>
      <c r="L2037" s="15"/>
    </row>
    <row r="2038" customFormat="false" ht="12.75" hidden="false" customHeight="false" outlineLevel="0" collapsed="false">
      <c r="A2038" s="0" t="s">
        <v>803</v>
      </c>
      <c r="B2038" s="0" t="s">
        <v>62</v>
      </c>
      <c r="C2038" s="0" t="s">
        <v>15</v>
      </c>
      <c r="D2038" s="0" t="s">
        <v>29</v>
      </c>
      <c r="E2038" s="9" t="str">
        <f aca="false">IF(D2038="?OLD","!!!","")</f>
        <v>!!!</v>
      </c>
      <c r="F2038" s="10" t="str">
        <f aca="false">IF(OR(E2038="",E2038="!!!"),"",IF(NOT(ISNA(VLOOKUP(E2038,E$1:E2037,1,FALSE()))),"OLD",IF(AND(E2038&lt;&gt;"",E2038&lt;&gt;"!!!"),"NEW","")))</f>
        <v/>
      </c>
      <c r="G2038" s="11" t="str">
        <f aca="false">IF(OR(E2038="",E2038="!!!"),"",IF(OR(J2038=0,AND(J2038=1,K2038=1),AND(J2038=1,I2038="SBJ"),AND(J2038=1,I2038=0)),"?IN_FOCUS",IF(J2038&lt;=2,"?ACTIVATED",IF(J2038&lt;&gt;"","?FAMILIAR",IF(F2038="NEW",IF(ISNA(VLOOKUP(E2038,#REF!,1,FALSE())),"?TYPE_IDENTIFIABLE","?REFERENTIAL"),"_")))))</f>
        <v/>
      </c>
      <c r="H2038" s="12" t="str">
        <f aca="false">IF(J2038&lt;&gt;1,"",IF(I2038="SBJ","CB","?"))</f>
        <v/>
      </c>
      <c r="I2038" s="13" t="str">
        <f aca="false">IF(OR(E2038="",E2038="!!!",F2038="NEW"),"",INDEX(B$2:B2037,-1+SUMPRODUCT(MAX(ROW(E$2:E2037)*(E2038=E$2:E2037)))))</f>
        <v/>
      </c>
      <c r="J2038" s="14" t="str">
        <f aca="true">IF(OR(E2038="",E2038="!!!",F2038="NEW"),"",COUNTBLANK(OFFSET(A$1,,,SUMPRODUCT(MAX(ROW(E$2:E2038)*(E2038=E$2:E2038)))))-COUNTBLANK(OFFSET(A$1,,,SUMPRODUCT(MAX(ROW(E$1:E2037)*(E2038=E$1:E2037))))))</f>
        <v/>
      </c>
      <c r="K2038" s="14" t="str">
        <f aca="false">IF(OR(E2038="",E2038="!!!",F2038="NEW"),"",INDEX(J$1:J2037,SUMPRODUCT(MAX(ROW(E$1:E2037)*(E2038=E$1:E2037)))))</f>
        <v/>
      </c>
      <c r="L2038" s="15"/>
    </row>
    <row r="2039" customFormat="false" ht="12.75" hidden="false" customHeight="false" outlineLevel="0" collapsed="false">
      <c r="A2039" s="0" t="s">
        <v>31</v>
      </c>
      <c r="E2039" s="9" t="str">
        <f aca="false">IF(D2039="?OLD","!!!","")</f>
        <v/>
      </c>
      <c r="F2039" s="10" t="str">
        <f aca="false">IF(OR(E2039="",E2039="!!!"),"",IF(NOT(ISNA(VLOOKUP(E2039,E$1:E2038,1,FALSE()))),"OLD",IF(AND(E2039&lt;&gt;"",E2039&lt;&gt;"!!!"),"NEW","")))</f>
        <v/>
      </c>
      <c r="G2039" s="11" t="str">
        <f aca="false">IF(OR(E2039="",E2039="!!!"),"",IF(OR(J2039=0,AND(J2039=1,K2039=1),AND(J2039=1,I2039="SBJ"),AND(J2039=1,I2039=0)),"?IN_FOCUS",IF(J2039&lt;=2,"?ACTIVATED",IF(J2039&lt;&gt;"","?FAMILIAR",IF(F2039="NEW",IF(ISNA(VLOOKUP(E2039,#REF!,1,FALSE())),"?TYPE_IDENTIFIABLE","?REFERENTIAL"),"_")))))</f>
        <v/>
      </c>
      <c r="H2039" s="12" t="str">
        <f aca="false">IF(J2039&lt;&gt;1,"",IF(I2039="SBJ","CB","?"))</f>
        <v/>
      </c>
      <c r="I2039" s="13" t="str">
        <f aca="false">IF(OR(E2039="",E2039="!!!",F2039="NEW"),"",INDEX(B$2:B2038,-1+SUMPRODUCT(MAX(ROW(E$2:E2038)*(E2039=E$2:E2038)))))</f>
        <v/>
      </c>
      <c r="J2039" s="14" t="str">
        <f aca="true">IF(OR(E2039="",E2039="!!!",F2039="NEW"),"",COUNTBLANK(OFFSET(A$1,,,SUMPRODUCT(MAX(ROW(E$2:E2039)*(E2039=E$2:E2039)))))-COUNTBLANK(OFFSET(A$1,,,SUMPRODUCT(MAX(ROW(E$1:E2038)*(E2039=E$1:E2038))))))</f>
        <v/>
      </c>
      <c r="K2039" s="14" t="str">
        <f aca="false">IF(OR(E2039="",E2039="!!!",F2039="NEW"),"",INDEX(J$1:J2038,SUMPRODUCT(MAX(ROW(E$1:E2038)*(E2039=E$1:E2038)))))</f>
        <v/>
      </c>
      <c r="L2039" s="15"/>
    </row>
    <row r="2040" customFormat="false" ht="12.75" hidden="false" customHeight="false" outlineLevel="0" collapsed="false">
      <c r="A2040" s="0" t="s">
        <v>88</v>
      </c>
      <c r="E2040" s="9" t="str">
        <f aca="false">IF(D2040="?OLD","!!!","")</f>
        <v/>
      </c>
      <c r="F2040" s="10" t="str">
        <f aca="false">IF(OR(E2040="",E2040="!!!"),"",IF(NOT(ISNA(VLOOKUP(E2040,E$1:E2039,1,FALSE()))),"OLD",IF(AND(E2040&lt;&gt;"",E2040&lt;&gt;"!!!"),"NEW","")))</f>
        <v/>
      </c>
      <c r="G2040" s="11" t="str">
        <f aca="false">IF(OR(E2040="",E2040="!!!"),"",IF(OR(J2040=0,AND(J2040=1,K2040=1),AND(J2040=1,I2040="SBJ"),AND(J2040=1,I2040=0)),"?IN_FOCUS",IF(J2040&lt;=2,"?ACTIVATED",IF(J2040&lt;&gt;"","?FAMILIAR",IF(F2040="NEW",IF(ISNA(VLOOKUP(E2040,#REF!,1,FALSE())),"?TYPE_IDENTIFIABLE","?REFERENTIAL"),"_")))))</f>
        <v/>
      </c>
      <c r="H2040" s="12" t="str">
        <f aca="false">IF(J2040&lt;&gt;1,"",IF(I2040="SBJ","CB","?"))</f>
        <v/>
      </c>
      <c r="I2040" s="13" t="str">
        <f aca="false">IF(OR(E2040="",E2040="!!!",F2040="NEW"),"",INDEX(B$2:B2039,-1+SUMPRODUCT(MAX(ROW(E$2:E2039)*(E2040=E$2:E2039)))))</f>
        <v/>
      </c>
      <c r="J2040" s="14" t="str">
        <f aca="true">IF(OR(E2040="",E2040="!!!",F2040="NEW"),"",COUNTBLANK(OFFSET(A$1,,,SUMPRODUCT(MAX(ROW(E$2:E2040)*(E2040=E$2:E2040)))))-COUNTBLANK(OFFSET(A$1,,,SUMPRODUCT(MAX(ROW(E$1:E2039)*(E2040=E$1:E2039))))))</f>
        <v/>
      </c>
      <c r="K2040" s="14" t="str">
        <f aca="false">IF(OR(E2040="",E2040="!!!",F2040="NEW"),"",INDEX(J$1:J2039,SUMPRODUCT(MAX(ROW(E$1:E2039)*(E2040=E$1:E2039)))))</f>
        <v/>
      </c>
      <c r="L2040" s="15"/>
    </row>
    <row r="2041" customFormat="false" ht="12.75" hidden="false" customHeight="false" outlineLevel="0" collapsed="false">
      <c r="A2041" s="0" t="s">
        <v>122</v>
      </c>
      <c r="B2041" s="0" t="s">
        <v>42</v>
      </c>
      <c r="C2041" s="0" t="s">
        <v>38</v>
      </c>
      <c r="D2041" s="0" t="s">
        <v>29</v>
      </c>
      <c r="E2041" s="9" t="str">
        <f aca="false">IF(D2041="?OLD","!!!","")</f>
        <v>!!!</v>
      </c>
      <c r="F2041" s="10" t="str">
        <f aca="false">IF(OR(E2041="",E2041="!!!"),"",IF(NOT(ISNA(VLOOKUP(E2041,E$1:E2040,1,FALSE()))),"OLD",IF(AND(E2041&lt;&gt;"",E2041&lt;&gt;"!!!"),"NEW","")))</f>
        <v/>
      </c>
      <c r="G2041" s="11" t="str">
        <f aca="false">IF(OR(E2041="",E2041="!!!"),"",IF(OR(J2041=0,AND(J2041=1,K2041=1),AND(J2041=1,I2041="SBJ"),AND(J2041=1,I2041=0)),"?IN_FOCUS",IF(J2041&lt;=2,"?ACTIVATED",IF(J2041&lt;&gt;"","?FAMILIAR",IF(F2041="NEW",IF(ISNA(VLOOKUP(E2041,#REF!,1,FALSE())),"?TYPE_IDENTIFIABLE","?REFERENTIAL"),"_")))))</f>
        <v/>
      </c>
      <c r="H2041" s="12" t="str">
        <f aca="false">IF(J2041&lt;&gt;1,"",IF(I2041="SBJ","CB","?"))</f>
        <v/>
      </c>
      <c r="I2041" s="13" t="str">
        <f aca="false">IF(OR(E2041="",E2041="!!!",F2041="NEW"),"",INDEX(B$2:B2040,-1+SUMPRODUCT(MAX(ROW(E$2:E2040)*(E2041=E$2:E2040)))))</f>
        <v/>
      </c>
      <c r="J2041" s="14" t="str">
        <f aca="true">IF(OR(E2041="",E2041="!!!",F2041="NEW"),"",COUNTBLANK(OFFSET(A$1,,,SUMPRODUCT(MAX(ROW(E$2:E2041)*(E2041=E$2:E2041)))))-COUNTBLANK(OFFSET(A$1,,,SUMPRODUCT(MAX(ROW(E$1:E2040)*(E2041=E$1:E2040))))))</f>
        <v/>
      </c>
      <c r="K2041" s="14" t="str">
        <f aca="false">IF(OR(E2041="",E2041="!!!",F2041="NEW"),"",INDEX(J$1:J2040,SUMPRODUCT(MAX(ROW(E$1:E2040)*(E2041=E$1:E2040)))))</f>
        <v/>
      </c>
      <c r="L2041" s="15"/>
    </row>
    <row r="2042" customFormat="false" ht="12.75" hidden="false" customHeight="false" outlineLevel="0" collapsed="false">
      <c r="A2042" s="0" t="s">
        <v>776</v>
      </c>
      <c r="E2042" s="9" t="str">
        <f aca="false">IF(D2042="?OLD","!!!","")</f>
        <v/>
      </c>
      <c r="F2042" s="10" t="str">
        <f aca="false">IF(OR(E2042="",E2042="!!!"),"",IF(NOT(ISNA(VLOOKUP(E2042,E$1:E2041,1,FALSE()))),"OLD",IF(AND(E2042&lt;&gt;"",E2042&lt;&gt;"!!!"),"NEW","")))</f>
        <v/>
      </c>
      <c r="G2042" s="11" t="str">
        <f aca="false">IF(OR(E2042="",E2042="!!!"),"",IF(OR(J2042=0,AND(J2042=1,K2042=1),AND(J2042=1,I2042="SBJ"),AND(J2042=1,I2042=0)),"?IN_FOCUS",IF(J2042&lt;=2,"?ACTIVATED",IF(J2042&lt;&gt;"","?FAMILIAR",IF(F2042="NEW",IF(ISNA(VLOOKUP(E2042,#REF!,1,FALSE())),"?TYPE_IDENTIFIABLE","?REFERENTIAL"),"_")))))</f>
        <v/>
      </c>
      <c r="H2042" s="12" t="str">
        <f aca="false">IF(J2042&lt;&gt;1,"",IF(I2042="SBJ","CB","?"))</f>
        <v/>
      </c>
      <c r="I2042" s="13" t="str">
        <f aca="false">IF(OR(E2042="",E2042="!!!",F2042="NEW"),"",INDEX(B$2:B2041,-1+SUMPRODUCT(MAX(ROW(E$2:E2041)*(E2042=E$2:E2041)))))</f>
        <v/>
      </c>
      <c r="J2042" s="14" t="str">
        <f aca="true">IF(OR(E2042="",E2042="!!!",F2042="NEW"),"",COUNTBLANK(OFFSET(A$1,,,SUMPRODUCT(MAX(ROW(E$2:E2042)*(E2042=E$2:E2042)))))-COUNTBLANK(OFFSET(A$1,,,SUMPRODUCT(MAX(ROW(E$1:E2041)*(E2042=E$1:E2041))))))</f>
        <v/>
      </c>
      <c r="K2042" s="14" t="str">
        <f aca="false">IF(OR(E2042="",E2042="!!!",F2042="NEW"),"",INDEX(J$1:J2041,SUMPRODUCT(MAX(ROW(E$1:E2041)*(E2042=E$1:E2041)))))</f>
        <v/>
      </c>
      <c r="L2042" s="15"/>
    </row>
    <row r="2043" customFormat="false" ht="12.75" hidden="false" customHeight="false" outlineLevel="0" collapsed="false">
      <c r="A2043" s="0" t="s">
        <v>115</v>
      </c>
      <c r="E2043" s="9" t="str">
        <f aca="false">IF(D2043="?OLD","!!!","")</f>
        <v/>
      </c>
      <c r="F2043" s="10" t="str">
        <f aca="false">IF(OR(E2043="",E2043="!!!"),"",IF(NOT(ISNA(VLOOKUP(E2043,E$1:E2042,1,FALSE()))),"OLD",IF(AND(E2043&lt;&gt;"",E2043&lt;&gt;"!!!"),"NEW","")))</f>
        <v/>
      </c>
      <c r="G2043" s="11" t="str">
        <f aca="false">IF(OR(E2043="",E2043="!!!"),"",IF(OR(J2043=0,AND(J2043=1,K2043=1),AND(J2043=1,I2043="SBJ"),AND(J2043=1,I2043=0)),"?IN_FOCUS",IF(J2043&lt;=2,"?ACTIVATED",IF(J2043&lt;&gt;"","?FAMILIAR",IF(F2043="NEW",IF(ISNA(VLOOKUP(E2043,#REF!,1,FALSE())),"?TYPE_IDENTIFIABLE","?REFERENTIAL"),"_")))))</f>
        <v/>
      </c>
      <c r="H2043" s="12" t="str">
        <f aca="false">IF(J2043&lt;&gt;1,"",IF(I2043="SBJ","CB","?"))</f>
        <v/>
      </c>
      <c r="I2043" s="13" t="str">
        <f aca="false">IF(OR(E2043="",E2043="!!!",F2043="NEW"),"",INDEX(B$2:B2042,-1+SUMPRODUCT(MAX(ROW(E$2:E2042)*(E2043=E$2:E2042)))))</f>
        <v/>
      </c>
      <c r="J2043" s="14" t="str">
        <f aca="true">IF(OR(E2043="",E2043="!!!",F2043="NEW"),"",COUNTBLANK(OFFSET(A$1,,,SUMPRODUCT(MAX(ROW(E$2:E2043)*(E2043=E$2:E2043)))))-COUNTBLANK(OFFSET(A$1,,,SUMPRODUCT(MAX(ROW(E$1:E2042)*(E2043=E$1:E2042))))))</f>
        <v/>
      </c>
      <c r="K2043" s="14" t="str">
        <f aca="false">IF(OR(E2043="",E2043="!!!",F2043="NEW"),"",INDEX(J$1:J2042,SUMPRODUCT(MAX(ROW(E$1:E2042)*(E2043=E$1:E2042)))))</f>
        <v/>
      </c>
      <c r="L2043" s="15"/>
    </row>
    <row r="2044" customFormat="false" ht="12.75" hidden="false" customHeight="false" outlineLevel="0" collapsed="false">
      <c r="A2044" s="0" t="s">
        <v>373</v>
      </c>
      <c r="E2044" s="9" t="str">
        <f aca="false">IF(D2044="?OLD","!!!","")</f>
        <v/>
      </c>
      <c r="F2044" s="10" t="str">
        <f aca="false">IF(OR(E2044="",E2044="!!!"),"",IF(NOT(ISNA(VLOOKUP(E2044,E$1:E2043,1,FALSE()))),"OLD",IF(AND(E2044&lt;&gt;"",E2044&lt;&gt;"!!!"),"NEW","")))</f>
        <v/>
      </c>
      <c r="G2044" s="11" t="str">
        <f aca="false">IF(OR(E2044="",E2044="!!!"),"",IF(OR(J2044=0,AND(J2044=1,K2044=1),AND(J2044=1,I2044="SBJ"),AND(J2044=1,I2044=0)),"?IN_FOCUS",IF(J2044&lt;=2,"?ACTIVATED",IF(J2044&lt;&gt;"","?FAMILIAR",IF(F2044="NEW",IF(ISNA(VLOOKUP(E2044,#REF!,1,FALSE())),"?TYPE_IDENTIFIABLE","?REFERENTIAL"),"_")))))</f>
        <v/>
      </c>
      <c r="H2044" s="12" t="str">
        <f aca="false">IF(J2044&lt;&gt;1,"",IF(I2044="SBJ","CB","?"))</f>
        <v/>
      </c>
      <c r="I2044" s="13" t="str">
        <f aca="false">IF(OR(E2044="",E2044="!!!",F2044="NEW"),"",INDEX(B$2:B2043,-1+SUMPRODUCT(MAX(ROW(E$2:E2043)*(E2044=E$2:E2043)))))</f>
        <v/>
      </c>
      <c r="J2044" s="14" t="str">
        <f aca="true">IF(OR(E2044="",E2044="!!!",F2044="NEW"),"",COUNTBLANK(OFFSET(A$1,,,SUMPRODUCT(MAX(ROW(E$2:E2044)*(E2044=E$2:E2044)))))-COUNTBLANK(OFFSET(A$1,,,SUMPRODUCT(MAX(ROW(E$1:E2043)*(E2044=E$1:E2043))))))</f>
        <v/>
      </c>
      <c r="K2044" s="14" t="str">
        <f aca="false">IF(OR(E2044="",E2044="!!!",F2044="NEW"),"",INDEX(J$1:J2043,SUMPRODUCT(MAX(ROW(E$1:E2043)*(E2044=E$1:E2043)))))</f>
        <v/>
      </c>
      <c r="L2044" s="15"/>
    </row>
    <row r="2045" customFormat="false" ht="12.75" hidden="false" customHeight="false" outlineLevel="0" collapsed="false">
      <c r="A2045" s="0" t="s">
        <v>67</v>
      </c>
      <c r="B2045" s="0" t="s">
        <v>28</v>
      </c>
      <c r="C2045" s="0" t="s">
        <v>43</v>
      </c>
      <c r="E2045" s="9" t="str">
        <f aca="false">IF(D2045="?OLD","!!!","")</f>
        <v/>
      </c>
      <c r="F2045" s="10" t="str">
        <f aca="false">IF(OR(E2045="",E2045="!!!"),"",IF(NOT(ISNA(VLOOKUP(E2045,E$1:E2044,1,FALSE()))),"OLD",IF(AND(E2045&lt;&gt;"",E2045&lt;&gt;"!!!"),"NEW","")))</f>
        <v/>
      </c>
      <c r="G2045" s="11" t="str">
        <f aca="false">IF(OR(E2045="",E2045="!!!"),"",IF(OR(J2045=0,AND(J2045=1,K2045=1),AND(J2045=1,I2045="SBJ"),AND(J2045=1,I2045=0)),"?IN_FOCUS",IF(J2045&lt;=2,"?ACTIVATED",IF(J2045&lt;&gt;"","?FAMILIAR",IF(F2045="NEW",IF(ISNA(VLOOKUP(E2045,#REF!,1,FALSE())),"?TYPE_IDENTIFIABLE","?REFERENTIAL"),"_")))))</f>
        <v/>
      </c>
      <c r="H2045" s="12" t="str">
        <f aca="false">IF(J2045&lt;&gt;1,"",IF(I2045="SBJ","CB","?"))</f>
        <v/>
      </c>
      <c r="I2045" s="13" t="str">
        <f aca="false">IF(OR(E2045="",E2045="!!!",F2045="NEW"),"",INDEX(B$2:B2044,-1+SUMPRODUCT(MAX(ROW(E$2:E2044)*(E2045=E$2:E2044)))))</f>
        <v/>
      </c>
      <c r="J2045" s="14" t="str">
        <f aca="true">IF(OR(E2045="",E2045="!!!",F2045="NEW"),"",COUNTBLANK(OFFSET(A$1,,,SUMPRODUCT(MAX(ROW(E$2:E2045)*(E2045=E$2:E2045)))))-COUNTBLANK(OFFSET(A$1,,,SUMPRODUCT(MAX(ROW(E$1:E2044)*(E2045=E$1:E2044))))))</f>
        <v/>
      </c>
      <c r="K2045" s="14" t="str">
        <f aca="false">IF(OR(E2045="",E2045="!!!",F2045="NEW"),"",INDEX(J$1:J2044,SUMPRODUCT(MAX(ROW(E$1:E2044)*(E2045=E$1:E2044)))))</f>
        <v/>
      </c>
      <c r="L2045" s="15"/>
    </row>
    <row r="2046" customFormat="false" ht="12.75" hidden="false" customHeight="false" outlineLevel="0" collapsed="false">
      <c r="A2046" s="0" t="s">
        <v>145</v>
      </c>
      <c r="E2046" s="9" t="str">
        <f aca="false">IF(D2046="?OLD","!!!","")</f>
        <v/>
      </c>
      <c r="F2046" s="10" t="str">
        <f aca="false">IF(OR(E2046="",E2046="!!!"),"",IF(NOT(ISNA(VLOOKUP(E2046,E$1:E2045,1,FALSE()))),"OLD",IF(AND(E2046&lt;&gt;"",E2046&lt;&gt;"!!!"),"NEW","")))</f>
        <v/>
      </c>
      <c r="G2046" s="11" t="str">
        <f aca="false">IF(OR(E2046="",E2046="!!!"),"",IF(OR(J2046=0,AND(J2046=1,K2046=1),AND(J2046=1,I2046="SBJ"),AND(J2046=1,I2046=0)),"?IN_FOCUS",IF(J2046&lt;=2,"?ACTIVATED",IF(J2046&lt;&gt;"","?FAMILIAR",IF(F2046="NEW",IF(ISNA(VLOOKUP(E2046,#REF!,1,FALSE())),"?TYPE_IDENTIFIABLE","?REFERENTIAL"),"_")))))</f>
        <v/>
      </c>
      <c r="H2046" s="12" t="str">
        <f aca="false">IF(J2046&lt;&gt;1,"",IF(I2046="SBJ","CB","?"))</f>
        <v/>
      </c>
      <c r="I2046" s="13" t="str">
        <f aca="false">IF(OR(E2046="",E2046="!!!",F2046="NEW"),"",INDEX(B$2:B2045,-1+SUMPRODUCT(MAX(ROW(E$2:E2045)*(E2046=E$2:E2045)))))</f>
        <v/>
      </c>
      <c r="J2046" s="14" t="str">
        <f aca="true">IF(OR(E2046="",E2046="!!!",F2046="NEW"),"",COUNTBLANK(OFFSET(A$1,,,SUMPRODUCT(MAX(ROW(E$2:E2046)*(E2046=E$2:E2046)))))-COUNTBLANK(OFFSET(A$1,,,SUMPRODUCT(MAX(ROW(E$1:E2045)*(E2046=E$1:E2045))))))</f>
        <v/>
      </c>
      <c r="K2046" s="14" t="str">
        <f aca="false">IF(OR(E2046="",E2046="!!!",F2046="NEW"),"",INDEX(J$1:J2045,SUMPRODUCT(MAX(ROW(E$1:E2045)*(E2046=E$1:E2045)))))</f>
        <v/>
      </c>
      <c r="L2046" s="15"/>
    </row>
    <row r="2047" customFormat="false" ht="12.75" hidden="false" customHeight="false" outlineLevel="0" collapsed="false">
      <c r="A2047" s="0" t="s">
        <v>53</v>
      </c>
      <c r="B2047" s="0" t="s">
        <v>64</v>
      </c>
      <c r="C2047" s="0" t="s">
        <v>55</v>
      </c>
      <c r="D2047" s="0" t="s">
        <v>29</v>
      </c>
      <c r="E2047" s="9" t="str">
        <f aca="false">IF(D2047="?OLD","!!!","")</f>
        <v>!!!</v>
      </c>
      <c r="F2047" s="10" t="str">
        <f aca="false">IF(OR(E2047="",E2047="!!!"),"",IF(NOT(ISNA(VLOOKUP(E2047,E$1:E2046,1,FALSE()))),"OLD",IF(AND(E2047&lt;&gt;"",E2047&lt;&gt;"!!!"),"NEW","")))</f>
        <v/>
      </c>
      <c r="G2047" s="11" t="str">
        <f aca="false">IF(OR(E2047="",E2047="!!!"),"",IF(OR(J2047=0,AND(J2047=1,K2047=1),AND(J2047=1,I2047="SBJ"),AND(J2047=1,I2047=0)),"?IN_FOCUS",IF(J2047&lt;=2,"?ACTIVATED",IF(J2047&lt;&gt;"","?FAMILIAR",IF(F2047="NEW",IF(ISNA(VLOOKUP(E2047,#REF!,1,FALSE())),"?TYPE_IDENTIFIABLE","?REFERENTIAL"),"_")))))</f>
        <v/>
      </c>
      <c r="H2047" s="12" t="str">
        <f aca="false">IF(J2047&lt;&gt;1,"",IF(I2047="SBJ","CB","?"))</f>
        <v/>
      </c>
      <c r="I2047" s="13" t="str">
        <f aca="false">IF(OR(E2047="",E2047="!!!",F2047="NEW"),"",INDEX(B$2:B2046,-1+SUMPRODUCT(MAX(ROW(E$2:E2046)*(E2047=E$2:E2046)))))</f>
        <v/>
      </c>
      <c r="J2047" s="14" t="str">
        <f aca="true">IF(OR(E2047="",E2047="!!!",F2047="NEW"),"",COUNTBLANK(OFFSET(A$1,,,SUMPRODUCT(MAX(ROW(E$2:E2047)*(E2047=E$2:E2047)))))-COUNTBLANK(OFFSET(A$1,,,SUMPRODUCT(MAX(ROW(E$1:E2046)*(E2047=E$1:E2046))))))</f>
        <v/>
      </c>
      <c r="K2047" s="14" t="str">
        <f aca="false">IF(OR(E2047="",E2047="!!!",F2047="NEW"),"",INDEX(J$1:J2046,SUMPRODUCT(MAX(ROW(E$1:E2046)*(E2047=E$1:E2046)))))</f>
        <v/>
      </c>
      <c r="L2047" s="15"/>
    </row>
    <row r="2048" customFormat="false" ht="12.75" hidden="false" customHeight="false" outlineLevel="0" collapsed="false">
      <c r="A2048" s="0" t="s">
        <v>582</v>
      </c>
      <c r="B2048" s="0" t="s">
        <v>22</v>
      </c>
      <c r="C2048" s="0" t="s">
        <v>15</v>
      </c>
      <c r="D2048" s="0" t="s">
        <v>29</v>
      </c>
      <c r="E2048" s="9" t="str">
        <f aca="false">IF(D2048="?OLD","!!!","")</f>
        <v>!!!</v>
      </c>
      <c r="F2048" s="10" t="str">
        <f aca="false">IF(OR(E2048="",E2048="!!!"),"",IF(NOT(ISNA(VLOOKUP(E2048,E$1:E2047,1,FALSE()))),"OLD",IF(AND(E2048&lt;&gt;"",E2048&lt;&gt;"!!!"),"NEW","")))</f>
        <v/>
      </c>
      <c r="G2048" s="11" t="str">
        <f aca="false">IF(OR(E2048="",E2048="!!!"),"",IF(OR(J2048=0,AND(J2048=1,K2048=1),AND(J2048=1,I2048="SBJ"),AND(J2048=1,I2048=0)),"?IN_FOCUS",IF(J2048&lt;=2,"?ACTIVATED",IF(J2048&lt;&gt;"","?FAMILIAR",IF(F2048="NEW",IF(ISNA(VLOOKUP(E2048,#REF!,1,FALSE())),"?TYPE_IDENTIFIABLE","?REFERENTIAL"),"_")))))</f>
        <v/>
      </c>
      <c r="H2048" s="12" t="str">
        <f aca="false">IF(J2048&lt;&gt;1,"",IF(I2048="SBJ","CB","?"))</f>
        <v/>
      </c>
      <c r="I2048" s="13" t="str">
        <f aca="false">IF(OR(E2048="",E2048="!!!",F2048="NEW"),"",INDEX(B$2:B2047,-1+SUMPRODUCT(MAX(ROW(E$2:E2047)*(E2048=E$2:E2047)))))</f>
        <v/>
      </c>
      <c r="J2048" s="14" t="str">
        <f aca="true">IF(OR(E2048="",E2048="!!!",F2048="NEW"),"",COUNTBLANK(OFFSET(A$1,,,SUMPRODUCT(MAX(ROW(E$2:E2048)*(E2048=E$2:E2048)))))-COUNTBLANK(OFFSET(A$1,,,SUMPRODUCT(MAX(ROW(E$1:E2047)*(E2048=E$1:E2047))))))</f>
        <v/>
      </c>
      <c r="K2048" s="14" t="str">
        <f aca="false">IF(OR(E2048="",E2048="!!!",F2048="NEW"),"",INDEX(J$1:J2047,SUMPRODUCT(MAX(ROW(E$1:E2047)*(E2048=E$1:E2047)))))</f>
        <v/>
      </c>
      <c r="L2048" s="15"/>
    </row>
    <row r="2049" customFormat="false" ht="12.75" hidden="false" customHeight="false" outlineLevel="0" collapsed="false">
      <c r="A2049" s="0" t="s">
        <v>73</v>
      </c>
      <c r="E2049" s="9" t="str">
        <f aca="false">IF(D2049="?OLD","!!!","")</f>
        <v/>
      </c>
      <c r="F2049" s="10" t="str">
        <f aca="false">IF(OR(E2049="",E2049="!!!"),"",IF(NOT(ISNA(VLOOKUP(E2049,E$1:E2048,1,FALSE()))),"OLD",IF(AND(E2049&lt;&gt;"",E2049&lt;&gt;"!!!"),"NEW","")))</f>
        <v/>
      </c>
      <c r="G2049" s="11" t="str">
        <f aca="false">IF(OR(E2049="",E2049="!!!"),"",IF(OR(J2049=0,AND(J2049=1,K2049=1),AND(J2049=1,I2049="SBJ"),AND(J2049=1,I2049=0)),"?IN_FOCUS",IF(J2049&lt;=2,"?ACTIVATED",IF(J2049&lt;&gt;"","?FAMILIAR",IF(F2049="NEW",IF(ISNA(VLOOKUP(E2049,#REF!,1,FALSE())),"?TYPE_IDENTIFIABLE","?REFERENTIAL"),"_")))))</f>
        <v/>
      </c>
      <c r="H2049" s="12" t="str">
        <f aca="false">IF(J2049&lt;&gt;1,"",IF(I2049="SBJ","CB","?"))</f>
        <v/>
      </c>
      <c r="I2049" s="13" t="str">
        <f aca="false">IF(OR(E2049="",E2049="!!!",F2049="NEW"),"",INDEX(B$2:B2048,-1+SUMPRODUCT(MAX(ROW(E$2:E2048)*(E2049=E$2:E2048)))))</f>
        <v/>
      </c>
      <c r="J2049" s="14" t="str">
        <f aca="true">IF(OR(E2049="",E2049="!!!",F2049="NEW"),"",COUNTBLANK(OFFSET(A$1,,,SUMPRODUCT(MAX(ROW(E$2:E2049)*(E2049=E$2:E2049)))))-COUNTBLANK(OFFSET(A$1,,,SUMPRODUCT(MAX(ROW(E$1:E2048)*(E2049=E$1:E2048))))))</f>
        <v/>
      </c>
      <c r="K2049" s="14" t="str">
        <f aca="false">IF(OR(E2049="",E2049="!!!",F2049="NEW"),"",INDEX(J$1:J2048,SUMPRODUCT(MAX(ROW(E$1:E2048)*(E2049=E$1:E2048)))))</f>
        <v/>
      </c>
      <c r="L2049" s="15"/>
    </row>
    <row r="2050" customFormat="false" ht="12.75" hidden="false" customHeight="false" outlineLevel="0" collapsed="false">
      <c r="E2050" s="9" t="str">
        <f aca="false">IF(D2050="?OLD","!!!","")</f>
        <v/>
      </c>
      <c r="F2050" s="10" t="str">
        <f aca="false">IF(OR(E2050="",E2050="!!!"),"",IF(NOT(ISNA(VLOOKUP(E2050,E$1:E2049,1,FALSE()))),"OLD",IF(AND(E2050&lt;&gt;"",E2050&lt;&gt;"!!!"),"NEW","")))</f>
        <v/>
      </c>
      <c r="G2050" s="11" t="str">
        <f aca="false">IF(OR(E2050="",E2050="!!!"),"",IF(OR(J2050=0,AND(J2050=1,K2050=1),AND(J2050=1,I2050="SBJ"),AND(J2050=1,I2050=0)),"?IN_FOCUS",IF(J2050&lt;=2,"?ACTIVATED",IF(J2050&lt;&gt;"","?FAMILIAR",IF(F2050="NEW",IF(ISNA(VLOOKUP(E2050,#REF!,1,FALSE())),"?TYPE_IDENTIFIABLE","?REFERENTIAL"),"_")))))</f>
        <v/>
      </c>
      <c r="H2050" s="12" t="str">
        <f aca="false">IF(J2050&lt;&gt;1,"",IF(I2050="SBJ","CB","?"))</f>
        <v/>
      </c>
      <c r="I2050" s="13" t="str">
        <f aca="false">IF(OR(E2050="",E2050="!!!",F2050="NEW"),"",INDEX(B$2:B2049,-1+SUMPRODUCT(MAX(ROW(E$2:E2049)*(E2050=E$2:E2049)))))</f>
        <v/>
      </c>
      <c r="J2050" s="14" t="str">
        <f aca="true">IF(OR(E2050="",E2050="!!!",F2050="NEW"),"",COUNTBLANK(OFFSET(A$1,,,SUMPRODUCT(MAX(ROW(E$2:E2050)*(E2050=E$2:E2050)))))-COUNTBLANK(OFFSET(A$1,,,SUMPRODUCT(MAX(ROW(E$1:E2049)*(E2050=E$1:E2049))))))</f>
        <v/>
      </c>
      <c r="K2050" s="14" t="str">
        <f aca="false">IF(OR(E2050="",E2050="!!!",F2050="NEW"),"",INDEX(J$1:J2049,SUMPRODUCT(MAX(ROW(E$1:E2049)*(E2050=E$1:E2049)))))</f>
        <v/>
      </c>
      <c r="L2050" s="15"/>
    </row>
    <row r="2051" customFormat="false" ht="12.75" hidden="false" customHeight="false" outlineLevel="0" collapsed="false">
      <c r="A2051" s="0" t="s">
        <v>804</v>
      </c>
      <c r="E2051" s="9" t="str">
        <f aca="false">IF(D2051="?OLD","!!!","")</f>
        <v/>
      </c>
      <c r="F2051" s="10" t="str">
        <f aca="false">IF(OR(E2051="",E2051="!!!"),"",IF(NOT(ISNA(VLOOKUP(E2051,E$1:E2050,1,FALSE()))),"OLD",IF(AND(E2051&lt;&gt;"",E2051&lt;&gt;"!!!"),"NEW","")))</f>
        <v/>
      </c>
      <c r="G2051" s="11" t="str">
        <f aca="false">IF(OR(E2051="",E2051="!!!"),"",IF(OR(J2051=0,AND(J2051=1,K2051=1),AND(J2051=1,I2051="SBJ"),AND(J2051=1,I2051=0)),"?IN_FOCUS",IF(J2051&lt;=2,"?ACTIVATED",IF(J2051&lt;&gt;"","?FAMILIAR",IF(F2051="NEW",IF(ISNA(VLOOKUP(E2051,#REF!,1,FALSE())),"?TYPE_IDENTIFIABLE","?REFERENTIAL"),"_")))))</f>
        <v/>
      </c>
      <c r="H2051" s="12" t="str">
        <f aca="false">IF(J2051&lt;&gt;1,"",IF(I2051="SBJ","CB","?"))</f>
        <v/>
      </c>
      <c r="I2051" s="13" t="str">
        <f aca="false">IF(OR(E2051="",E2051="!!!",F2051="NEW"),"",INDEX(B$2:B2050,-1+SUMPRODUCT(MAX(ROW(E$2:E2050)*(E2051=E$2:E2050)))))</f>
        <v/>
      </c>
      <c r="J2051" s="14" t="str">
        <f aca="true">IF(OR(E2051="",E2051="!!!",F2051="NEW"),"",COUNTBLANK(OFFSET(A$1,,,SUMPRODUCT(MAX(ROW(E$2:E2051)*(E2051=E$2:E2051)))))-COUNTBLANK(OFFSET(A$1,,,SUMPRODUCT(MAX(ROW(E$1:E2050)*(E2051=E$1:E2050))))))</f>
        <v/>
      </c>
      <c r="K2051" s="14" t="str">
        <f aca="false">IF(OR(E2051="",E2051="!!!",F2051="NEW"),"",INDEX(J$1:J2050,SUMPRODUCT(MAX(ROW(E$1:E2050)*(E2051=E$1:E2050)))))</f>
        <v/>
      </c>
      <c r="L2051" s="15"/>
    </row>
    <row r="2052" customFormat="false" ht="12.75" hidden="false" customHeight="false" outlineLevel="0" collapsed="false">
      <c r="A2052" s="0" t="s">
        <v>224</v>
      </c>
      <c r="B2052" s="0" t="s">
        <v>14</v>
      </c>
      <c r="C2052" s="0" t="s">
        <v>38</v>
      </c>
      <c r="D2052" s="0" t="s">
        <v>29</v>
      </c>
      <c r="E2052" s="9" t="str">
        <f aca="false">IF(D2052="?OLD","!!!","")</f>
        <v>!!!</v>
      </c>
      <c r="F2052" s="10" t="str">
        <f aca="false">IF(OR(E2052="",E2052="!!!"),"",IF(NOT(ISNA(VLOOKUP(E2052,E$1:E2051,1,FALSE()))),"OLD",IF(AND(E2052&lt;&gt;"",E2052&lt;&gt;"!!!"),"NEW","")))</f>
        <v/>
      </c>
      <c r="G2052" s="11" t="str">
        <f aca="false">IF(OR(E2052="",E2052="!!!"),"",IF(OR(J2052=0,AND(J2052=1,K2052=1),AND(J2052=1,I2052="SBJ"),AND(J2052=1,I2052=0)),"?IN_FOCUS",IF(J2052&lt;=2,"?ACTIVATED",IF(J2052&lt;&gt;"","?FAMILIAR",IF(F2052="NEW",IF(ISNA(VLOOKUP(E2052,#REF!,1,FALSE())),"?TYPE_IDENTIFIABLE","?REFERENTIAL"),"_")))))</f>
        <v/>
      </c>
      <c r="H2052" s="12" t="str">
        <f aca="false">IF(J2052&lt;&gt;1,"",IF(I2052="SBJ","CB","?"))</f>
        <v/>
      </c>
      <c r="I2052" s="13" t="str">
        <f aca="false">IF(OR(E2052="",E2052="!!!",F2052="NEW"),"",INDEX(B$2:B2051,-1+SUMPRODUCT(MAX(ROW(E$2:E2051)*(E2052=E$2:E2051)))))</f>
        <v/>
      </c>
      <c r="J2052" s="14" t="str">
        <f aca="true">IF(OR(E2052="",E2052="!!!",F2052="NEW"),"",COUNTBLANK(OFFSET(A$1,,,SUMPRODUCT(MAX(ROW(E$2:E2052)*(E2052=E$2:E2052)))))-COUNTBLANK(OFFSET(A$1,,,SUMPRODUCT(MAX(ROW(E$1:E2051)*(E2052=E$1:E2051))))))</f>
        <v/>
      </c>
      <c r="K2052" s="14" t="str">
        <f aca="false">IF(OR(E2052="",E2052="!!!",F2052="NEW"),"",INDEX(J$1:J2051,SUMPRODUCT(MAX(ROW(E$1:E2051)*(E2052=E$1:E2051)))))</f>
        <v/>
      </c>
      <c r="L2052" s="15"/>
    </row>
    <row r="2053" customFormat="false" ht="12.75" hidden="false" customHeight="false" outlineLevel="0" collapsed="false">
      <c r="A2053" s="0" t="s">
        <v>48</v>
      </c>
      <c r="E2053" s="9" t="str">
        <f aca="false">IF(D2053="?OLD","!!!","")</f>
        <v/>
      </c>
      <c r="F2053" s="10" t="str">
        <f aca="false">IF(OR(E2053="",E2053="!!!"),"",IF(NOT(ISNA(VLOOKUP(E2053,E$1:E2052,1,FALSE()))),"OLD",IF(AND(E2053&lt;&gt;"",E2053&lt;&gt;"!!!"),"NEW","")))</f>
        <v/>
      </c>
      <c r="G2053" s="11" t="str">
        <f aca="false">IF(OR(E2053="",E2053="!!!"),"",IF(OR(J2053=0,AND(J2053=1,K2053=1),AND(J2053=1,I2053="SBJ"),AND(J2053=1,I2053=0)),"?IN_FOCUS",IF(J2053&lt;=2,"?ACTIVATED",IF(J2053&lt;&gt;"","?FAMILIAR",IF(F2053="NEW",IF(ISNA(VLOOKUP(E2053,#REF!,1,FALSE())),"?TYPE_IDENTIFIABLE","?REFERENTIAL"),"_")))))</f>
        <v/>
      </c>
      <c r="H2053" s="12" t="str">
        <f aca="false">IF(J2053&lt;&gt;1,"",IF(I2053="SBJ","CB","?"))</f>
        <v/>
      </c>
      <c r="I2053" s="13" t="str">
        <f aca="false">IF(OR(E2053="",E2053="!!!",F2053="NEW"),"",INDEX(B$2:B2052,-1+SUMPRODUCT(MAX(ROW(E$2:E2052)*(E2053=E$2:E2052)))))</f>
        <v/>
      </c>
      <c r="J2053" s="14" t="str">
        <f aca="true">IF(OR(E2053="",E2053="!!!",F2053="NEW"),"",COUNTBLANK(OFFSET(A$1,,,SUMPRODUCT(MAX(ROW(E$2:E2053)*(E2053=E$2:E2053)))))-COUNTBLANK(OFFSET(A$1,,,SUMPRODUCT(MAX(ROW(E$1:E2052)*(E2053=E$1:E2052))))))</f>
        <v/>
      </c>
      <c r="K2053" s="14" t="str">
        <f aca="false">IF(OR(E2053="",E2053="!!!",F2053="NEW"),"",INDEX(J$1:J2052,SUMPRODUCT(MAX(ROW(E$1:E2052)*(E2053=E$1:E2052)))))</f>
        <v/>
      </c>
      <c r="L2053" s="15"/>
    </row>
    <row r="2054" customFormat="false" ht="12.75" hidden="false" customHeight="false" outlineLevel="0" collapsed="false">
      <c r="A2054" s="0" t="s">
        <v>476</v>
      </c>
      <c r="E2054" s="9" t="str">
        <f aca="false">IF(D2054="?OLD","!!!","")</f>
        <v/>
      </c>
      <c r="F2054" s="10" t="str">
        <f aca="false">IF(OR(E2054="",E2054="!!!"),"",IF(NOT(ISNA(VLOOKUP(E2054,E$1:E2053,1,FALSE()))),"OLD",IF(AND(E2054&lt;&gt;"",E2054&lt;&gt;"!!!"),"NEW","")))</f>
        <v/>
      </c>
      <c r="G2054" s="11" t="str">
        <f aca="false">IF(OR(E2054="",E2054="!!!"),"",IF(OR(J2054=0,AND(J2054=1,K2054=1),AND(J2054=1,I2054="SBJ"),AND(J2054=1,I2054=0)),"?IN_FOCUS",IF(J2054&lt;=2,"?ACTIVATED",IF(J2054&lt;&gt;"","?FAMILIAR",IF(F2054="NEW",IF(ISNA(VLOOKUP(E2054,#REF!,1,FALSE())),"?TYPE_IDENTIFIABLE","?REFERENTIAL"),"_")))))</f>
        <v/>
      </c>
      <c r="H2054" s="12" t="str">
        <f aca="false">IF(J2054&lt;&gt;1,"",IF(I2054="SBJ","CB","?"))</f>
        <v/>
      </c>
      <c r="I2054" s="13" t="str">
        <f aca="false">IF(OR(E2054="",E2054="!!!",F2054="NEW"),"",INDEX(B$2:B2053,-1+SUMPRODUCT(MAX(ROW(E$2:E2053)*(E2054=E$2:E2053)))))</f>
        <v/>
      </c>
      <c r="J2054" s="14" t="str">
        <f aca="true">IF(OR(E2054="",E2054="!!!",F2054="NEW"),"",COUNTBLANK(OFFSET(A$1,,,SUMPRODUCT(MAX(ROW(E$2:E2054)*(E2054=E$2:E2054)))))-COUNTBLANK(OFFSET(A$1,,,SUMPRODUCT(MAX(ROW(E$1:E2053)*(E2054=E$1:E2053))))))</f>
        <v/>
      </c>
      <c r="K2054" s="14" t="str">
        <f aca="false">IF(OR(E2054="",E2054="!!!",F2054="NEW"),"",INDEX(J$1:J2053,SUMPRODUCT(MAX(ROW(E$1:E2053)*(E2054=E$1:E2053)))))</f>
        <v/>
      </c>
      <c r="L2054" s="15"/>
    </row>
    <row r="2055" customFormat="false" ht="12.75" hidden="false" customHeight="false" outlineLevel="0" collapsed="false">
      <c r="A2055" s="0" t="s">
        <v>88</v>
      </c>
      <c r="E2055" s="9" t="str">
        <f aca="false">IF(D2055="?OLD","!!!","")</f>
        <v/>
      </c>
      <c r="F2055" s="10" t="str">
        <f aca="false">IF(OR(E2055="",E2055="!!!"),"",IF(NOT(ISNA(VLOOKUP(E2055,E$1:E2054,1,FALSE()))),"OLD",IF(AND(E2055&lt;&gt;"",E2055&lt;&gt;"!!!"),"NEW","")))</f>
        <v/>
      </c>
      <c r="G2055" s="11" t="str">
        <f aca="false">IF(OR(E2055="",E2055="!!!"),"",IF(OR(J2055=0,AND(J2055=1,K2055=1),AND(J2055=1,I2055="SBJ"),AND(J2055=1,I2055=0)),"?IN_FOCUS",IF(J2055&lt;=2,"?ACTIVATED",IF(J2055&lt;&gt;"","?FAMILIAR",IF(F2055="NEW",IF(ISNA(VLOOKUP(E2055,#REF!,1,FALSE())),"?TYPE_IDENTIFIABLE","?REFERENTIAL"),"_")))))</f>
        <v/>
      </c>
      <c r="H2055" s="12" t="str">
        <f aca="false">IF(J2055&lt;&gt;1,"",IF(I2055="SBJ","CB","?"))</f>
        <v/>
      </c>
      <c r="I2055" s="13" t="str">
        <f aca="false">IF(OR(E2055="",E2055="!!!",F2055="NEW"),"",INDEX(B$2:B2054,-1+SUMPRODUCT(MAX(ROW(E$2:E2054)*(E2055=E$2:E2054)))))</f>
        <v/>
      </c>
      <c r="J2055" s="14" t="str">
        <f aca="true">IF(OR(E2055="",E2055="!!!",F2055="NEW"),"",COUNTBLANK(OFFSET(A$1,,,SUMPRODUCT(MAX(ROW(E$2:E2055)*(E2055=E$2:E2055)))))-COUNTBLANK(OFFSET(A$1,,,SUMPRODUCT(MAX(ROW(E$1:E2054)*(E2055=E$1:E2054))))))</f>
        <v/>
      </c>
      <c r="K2055" s="14" t="str">
        <f aca="false">IF(OR(E2055="",E2055="!!!",F2055="NEW"),"",INDEX(J$1:J2054,SUMPRODUCT(MAX(ROW(E$1:E2054)*(E2055=E$1:E2054)))))</f>
        <v/>
      </c>
      <c r="L2055" s="15"/>
    </row>
    <row r="2056" customFormat="false" ht="12.75" hidden="false" customHeight="false" outlineLevel="0" collapsed="false">
      <c r="A2056" s="0" t="s">
        <v>805</v>
      </c>
      <c r="E2056" s="9" t="str">
        <f aca="false">IF(D2056="?OLD","!!!","")</f>
        <v/>
      </c>
      <c r="F2056" s="10" t="str">
        <f aca="false">IF(OR(E2056="",E2056="!!!"),"",IF(NOT(ISNA(VLOOKUP(E2056,E$1:E2055,1,FALSE()))),"OLD",IF(AND(E2056&lt;&gt;"",E2056&lt;&gt;"!!!"),"NEW","")))</f>
        <v/>
      </c>
      <c r="G2056" s="11" t="str">
        <f aca="false">IF(OR(E2056="",E2056="!!!"),"",IF(OR(J2056=0,AND(J2056=1,K2056=1),AND(J2056=1,I2056="SBJ"),AND(J2056=1,I2056=0)),"?IN_FOCUS",IF(J2056&lt;=2,"?ACTIVATED",IF(J2056&lt;&gt;"","?FAMILIAR",IF(F2056="NEW",IF(ISNA(VLOOKUP(E2056,#REF!,1,FALSE())),"?TYPE_IDENTIFIABLE","?REFERENTIAL"),"_")))))</f>
        <v/>
      </c>
      <c r="H2056" s="12" t="str">
        <f aca="false">IF(J2056&lt;&gt;1,"",IF(I2056="SBJ","CB","?"))</f>
        <v/>
      </c>
      <c r="I2056" s="13" t="str">
        <f aca="false">IF(OR(E2056="",E2056="!!!",F2056="NEW"),"",INDEX(B$2:B2055,-1+SUMPRODUCT(MAX(ROW(E$2:E2055)*(E2056=E$2:E2055)))))</f>
        <v/>
      </c>
      <c r="J2056" s="14" t="str">
        <f aca="true">IF(OR(E2056="",E2056="!!!",F2056="NEW"),"",COUNTBLANK(OFFSET(A$1,,,SUMPRODUCT(MAX(ROW(E$2:E2056)*(E2056=E$2:E2056)))))-COUNTBLANK(OFFSET(A$1,,,SUMPRODUCT(MAX(ROW(E$1:E2055)*(E2056=E$1:E2055))))))</f>
        <v/>
      </c>
      <c r="K2056" s="14" t="str">
        <f aca="false">IF(OR(E2056="",E2056="!!!",F2056="NEW"),"",INDEX(J$1:J2055,SUMPRODUCT(MAX(ROW(E$1:E2055)*(E2056=E$1:E2055)))))</f>
        <v/>
      </c>
      <c r="L2056" s="15"/>
    </row>
    <row r="2057" customFormat="false" ht="12.75" hidden="false" customHeight="false" outlineLevel="0" collapsed="false">
      <c r="A2057" s="0" t="s">
        <v>31</v>
      </c>
      <c r="E2057" s="9" t="str">
        <f aca="false">IF(D2057="?OLD","!!!","")</f>
        <v/>
      </c>
      <c r="F2057" s="10" t="str">
        <f aca="false">IF(OR(E2057="",E2057="!!!"),"",IF(NOT(ISNA(VLOOKUP(E2057,E$1:E2056,1,FALSE()))),"OLD",IF(AND(E2057&lt;&gt;"",E2057&lt;&gt;"!!!"),"NEW","")))</f>
        <v/>
      </c>
      <c r="G2057" s="11" t="str">
        <f aca="false">IF(OR(E2057="",E2057="!!!"),"",IF(OR(J2057=0,AND(J2057=1,K2057=1),AND(J2057=1,I2057="SBJ"),AND(J2057=1,I2057=0)),"?IN_FOCUS",IF(J2057&lt;=2,"?ACTIVATED",IF(J2057&lt;&gt;"","?FAMILIAR",IF(F2057="NEW",IF(ISNA(VLOOKUP(E2057,#REF!,1,FALSE())),"?TYPE_IDENTIFIABLE","?REFERENTIAL"),"_")))))</f>
        <v/>
      </c>
      <c r="H2057" s="12" t="str">
        <f aca="false">IF(J2057&lt;&gt;1,"",IF(I2057="SBJ","CB","?"))</f>
        <v/>
      </c>
      <c r="I2057" s="13" t="str">
        <f aca="false">IF(OR(E2057="",E2057="!!!",F2057="NEW"),"",INDEX(B$2:B2056,-1+SUMPRODUCT(MAX(ROW(E$2:E2056)*(E2057=E$2:E2056)))))</f>
        <v/>
      </c>
      <c r="J2057" s="14" t="str">
        <f aca="true">IF(OR(E2057="",E2057="!!!",F2057="NEW"),"",COUNTBLANK(OFFSET(A$1,,,SUMPRODUCT(MAX(ROW(E$2:E2057)*(E2057=E$2:E2057)))))-COUNTBLANK(OFFSET(A$1,,,SUMPRODUCT(MAX(ROW(E$1:E2056)*(E2057=E$1:E2056))))))</f>
        <v/>
      </c>
      <c r="K2057" s="14" t="str">
        <f aca="false">IF(OR(E2057="",E2057="!!!",F2057="NEW"),"",INDEX(J$1:J2056,SUMPRODUCT(MAX(ROW(E$1:E2056)*(E2057=E$1:E2056)))))</f>
        <v/>
      </c>
      <c r="L2057" s="15"/>
    </row>
    <row r="2058" customFormat="false" ht="12.75" hidden="false" customHeight="false" outlineLevel="0" collapsed="false">
      <c r="A2058" s="0" t="s">
        <v>53</v>
      </c>
      <c r="B2058" s="0" t="s">
        <v>28</v>
      </c>
      <c r="C2058" s="0" t="s">
        <v>55</v>
      </c>
      <c r="D2058" s="0" t="s">
        <v>29</v>
      </c>
      <c r="E2058" s="9" t="str">
        <f aca="false">IF(D2058="?OLD","!!!","")</f>
        <v>!!!</v>
      </c>
      <c r="F2058" s="10" t="str">
        <f aca="false">IF(OR(E2058="",E2058="!!!"),"",IF(NOT(ISNA(VLOOKUP(E2058,E$1:E2057,1,FALSE()))),"OLD",IF(AND(E2058&lt;&gt;"",E2058&lt;&gt;"!!!"),"NEW","")))</f>
        <v/>
      </c>
      <c r="G2058" s="11" t="str">
        <f aca="false">IF(OR(E2058="",E2058="!!!"),"",IF(OR(J2058=0,AND(J2058=1,K2058=1),AND(J2058=1,I2058="SBJ"),AND(J2058=1,I2058=0)),"?IN_FOCUS",IF(J2058&lt;=2,"?ACTIVATED",IF(J2058&lt;&gt;"","?FAMILIAR",IF(F2058="NEW",IF(ISNA(VLOOKUP(E2058,#REF!,1,FALSE())),"?TYPE_IDENTIFIABLE","?REFERENTIAL"),"_")))))</f>
        <v/>
      </c>
      <c r="H2058" s="12" t="str">
        <f aca="false">IF(J2058&lt;&gt;1,"",IF(I2058="SBJ","CB","?"))</f>
        <v/>
      </c>
      <c r="I2058" s="13" t="str">
        <f aca="false">IF(OR(E2058="",E2058="!!!",F2058="NEW"),"",INDEX(B$2:B2057,-1+SUMPRODUCT(MAX(ROW(E$2:E2057)*(E2058=E$2:E2057)))))</f>
        <v/>
      </c>
      <c r="J2058" s="14" t="str">
        <f aca="true">IF(OR(E2058="",E2058="!!!",F2058="NEW"),"",COUNTBLANK(OFFSET(A$1,,,SUMPRODUCT(MAX(ROW(E$2:E2058)*(E2058=E$2:E2058)))))-COUNTBLANK(OFFSET(A$1,,,SUMPRODUCT(MAX(ROW(E$1:E2057)*(E2058=E$1:E2057))))))</f>
        <v/>
      </c>
      <c r="K2058" s="14" t="str">
        <f aca="false">IF(OR(E2058="",E2058="!!!",F2058="NEW"),"",INDEX(J$1:J2057,SUMPRODUCT(MAX(ROW(E$1:E2057)*(E2058=E$1:E2057)))))</f>
        <v/>
      </c>
      <c r="L2058" s="15"/>
    </row>
    <row r="2059" customFormat="false" ht="12.75" hidden="false" customHeight="false" outlineLevel="0" collapsed="false">
      <c r="A2059" s="0" t="s">
        <v>806</v>
      </c>
      <c r="B2059" s="0" t="s">
        <v>62</v>
      </c>
      <c r="C2059" s="0" t="s">
        <v>15</v>
      </c>
      <c r="D2059" s="0" t="s">
        <v>29</v>
      </c>
      <c r="E2059" s="9" t="str">
        <f aca="false">IF(D2059="?OLD","!!!","")</f>
        <v>!!!</v>
      </c>
      <c r="F2059" s="10" t="str">
        <f aca="false">IF(OR(E2059="",E2059="!!!"),"",IF(NOT(ISNA(VLOOKUP(E2059,E$1:E2058,1,FALSE()))),"OLD",IF(AND(E2059&lt;&gt;"",E2059&lt;&gt;"!!!"),"NEW","")))</f>
        <v/>
      </c>
      <c r="G2059" s="11" t="str">
        <f aca="false">IF(OR(E2059="",E2059="!!!"),"",IF(OR(J2059=0,AND(J2059=1,K2059=1),AND(J2059=1,I2059="SBJ"),AND(J2059=1,I2059=0)),"?IN_FOCUS",IF(J2059&lt;=2,"?ACTIVATED",IF(J2059&lt;&gt;"","?FAMILIAR",IF(F2059="NEW",IF(ISNA(VLOOKUP(E2059,#REF!,1,FALSE())),"?TYPE_IDENTIFIABLE","?REFERENTIAL"),"_")))))</f>
        <v/>
      </c>
      <c r="H2059" s="12" t="str">
        <f aca="false">IF(J2059&lt;&gt;1,"",IF(I2059="SBJ","CB","?"))</f>
        <v/>
      </c>
      <c r="I2059" s="13" t="str">
        <f aca="false">IF(OR(E2059="",E2059="!!!",F2059="NEW"),"",INDEX(B$2:B2058,-1+SUMPRODUCT(MAX(ROW(E$2:E2058)*(E2059=E$2:E2058)))))</f>
        <v/>
      </c>
      <c r="J2059" s="14" t="str">
        <f aca="true">IF(OR(E2059="",E2059="!!!",F2059="NEW"),"",COUNTBLANK(OFFSET(A$1,,,SUMPRODUCT(MAX(ROW(E$2:E2059)*(E2059=E$2:E2059)))))-COUNTBLANK(OFFSET(A$1,,,SUMPRODUCT(MAX(ROW(E$1:E2058)*(E2059=E$1:E2058))))))</f>
        <v/>
      </c>
      <c r="K2059" s="14" t="str">
        <f aca="false">IF(OR(E2059="",E2059="!!!",F2059="NEW"),"",INDEX(J$1:J2058,SUMPRODUCT(MAX(ROW(E$1:E2058)*(E2059=E$1:E2058)))))</f>
        <v/>
      </c>
      <c r="L2059" s="15"/>
    </row>
    <row r="2060" customFormat="false" ht="12.75" hidden="false" customHeight="false" outlineLevel="0" collapsed="false">
      <c r="A2060" s="0" t="s">
        <v>807</v>
      </c>
      <c r="E2060" s="9" t="str">
        <f aca="false">IF(D2060="?OLD","!!!","")</f>
        <v/>
      </c>
      <c r="F2060" s="10" t="str">
        <f aca="false">IF(OR(E2060="",E2060="!!!"),"",IF(NOT(ISNA(VLOOKUP(E2060,E$1:E2059,1,FALSE()))),"OLD",IF(AND(E2060&lt;&gt;"",E2060&lt;&gt;"!!!"),"NEW","")))</f>
        <v/>
      </c>
      <c r="G2060" s="11" t="str">
        <f aca="false">IF(OR(E2060="",E2060="!!!"),"",IF(OR(J2060=0,AND(J2060=1,K2060=1),AND(J2060=1,I2060="SBJ"),AND(J2060=1,I2060=0)),"?IN_FOCUS",IF(J2060&lt;=2,"?ACTIVATED",IF(J2060&lt;&gt;"","?FAMILIAR",IF(F2060="NEW",IF(ISNA(VLOOKUP(E2060,#REF!,1,FALSE())),"?TYPE_IDENTIFIABLE","?REFERENTIAL"),"_")))))</f>
        <v/>
      </c>
      <c r="H2060" s="12" t="str">
        <f aca="false">IF(J2060&lt;&gt;1,"",IF(I2060="SBJ","CB","?"))</f>
        <v/>
      </c>
      <c r="I2060" s="13" t="str">
        <f aca="false">IF(OR(E2060="",E2060="!!!",F2060="NEW"),"",INDEX(B$2:B2059,-1+SUMPRODUCT(MAX(ROW(E$2:E2059)*(E2060=E$2:E2059)))))</f>
        <v/>
      </c>
      <c r="J2060" s="14" t="str">
        <f aca="true">IF(OR(E2060="",E2060="!!!",F2060="NEW"),"",COUNTBLANK(OFFSET(A$1,,,SUMPRODUCT(MAX(ROW(E$2:E2060)*(E2060=E$2:E2060)))))-COUNTBLANK(OFFSET(A$1,,,SUMPRODUCT(MAX(ROW(E$1:E2059)*(E2060=E$1:E2059))))))</f>
        <v/>
      </c>
      <c r="K2060" s="14" t="str">
        <f aca="false">IF(OR(E2060="",E2060="!!!",F2060="NEW"),"",INDEX(J$1:J2059,SUMPRODUCT(MAX(ROW(E$1:E2059)*(E2060=E$1:E2059)))))</f>
        <v/>
      </c>
      <c r="L2060" s="15"/>
    </row>
    <row r="2061" customFormat="false" ht="12.75" hidden="false" customHeight="false" outlineLevel="0" collapsed="false">
      <c r="A2061" s="0" t="s">
        <v>407</v>
      </c>
      <c r="E2061" s="9" t="str">
        <f aca="false">IF(D2061="?OLD","!!!","")</f>
        <v/>
      </c>
      <c r="F2061" s="10" t="str">
        <f aca="false">IF(OR(E2061="",E2061="!!!"),"",IF(NOT(ISNA(VLOOKUP(E2061,E$1:E2060,1,FALSE()))),"OLD",IF(AND(E2061&lt;&gt;"",E2061&lt;&gt;"!!!"),"NEW","")))</f>
        <v/>
      </c>
      <c r="G2061" s="11" t="str">
        <f aca="false">IF(OR(E2061="",E2061="!!!"),"",IF(OR(J2061=0,AND(J2061=1,K2061=1),AND(J2061=1,I2061="SBJ"),AND(J2061=1,I2061=0)),"?IN_FOCUS",IF(J2061&lt;=2,"?ACTIVATED",IF(J2061&lt;&gt;"","?FAMILIAR",IF(F2061="NEW",IF(ISNA(VLOOKUP(E2061,#REF!,1,FALSE())),"?TYPE_IDENTIFIABLE","?REFERENTIAL"),"_")))))</f>
        <v/>
      </c>
      <c r="H2061" s="12" t="str">
        <f aca="false">IF(J2061&lt;&gt;1,"",IF(I2061="SBJ","CB","?"))</f>
        <v/>
      </c>
      <c r="I2061" s="13" t="str">
        <f aca="false">IF(OR(E2061="",E2061="!!!",F2061="NEW"),"",INDEX(B$2:B2060,-1+SUMPRODUCT(MAX(ROW(E$2:E2060)*(E2061=E$2:E2060)))))</f>
        <v/>
      </c>
      <c r="J2061" s="14" t="str">
        <f aca="true">IF(OR(E2061="",E2061="!!!",F2061="NEW"),"",COUNTBLANK(OFFSET(A$1,,,SUMPRODUCT(MAX(ROW(E$2:E2061)*(E2061=E$2:E2061)))))-COUNTBLANK(OFFSET(A$1,,,SUMPRODUCT(MAX(ROW(E$1:E2060)*(E2061=E$1:E2060))))))</f>
        <v/>
      </c>
      <c r="K2061" s="14" t="str">
        <f aca="false">IF(OR(E2061="",E2061="!!!",F2061="NEW"),"",INDEX(J$1:J2060,SUMPRODUCT(MAX(ROW(E$1:E2060)*(E2061=E$1:E2060)))))</f>
        <v/>
      </c>
      <c r="L2061" s="15"/>
    </row>
    <row r="2062" customFormat="false" ht="12.75" hidden="false" customHeight="false" outlineLevel="0" collapsed="false">
      <c r="A2062" s="0" t="s">
        <v>136</v>
      </c>
      <c r="E2062" s="9" t="str">
        <f aca="false">IF(D2062="?OLD","!!!","")</f>
        <v/>
      </c>
      <c r="F2062" s="10" t="str">
        <f aca="false">IF(OR(E2062="",E2062="!!!"),"",IF(NOT(ISNA(VLOOKUP(E2062,E$1:E2061,1,FALSE()))),"OLD",IF(AND(E2062&lt;&gt;"",E2062&lt;&gt;"!!!"),"NEW","")))</f>
        <v/>
      </c>
      <c r="G2062" s="11" t="str">
        <f aca="false">IF(OR(E2062="",E2062="!!!"),"",IF(OR(J2062=0,AND(J2062=1,K2062=1),AND(J2062=1,I2062="SBJ"),AND(J2062=1,I2062=0)),"?IN_FOCUS",IF(J2062&lt;=2,"?ACTIVATED",IF(J2062&lt;&gt;"","?FAMILIAR",IF(F2062="NEW",IF(ISNA(VLOOKUP(E2062,#REF!,1,FALSE())),"?TYPE_IDENTIFIABLE","?REFERENTIAL"),"_")))))</f>
        <v/>
      </c>
      <c r="H2062" s="12" t="str">
        <f aca="false">IF(J2062&lt;&gt;1,"",IF(I2062="SBJ","CB","?"))</f>
        <v/>
      </c>
      <c r="I2062" s="13" t="str">
        <f aca="false">IF(OR(E2062="",E2062="!!!",F2062="NEW"),"",INDEX(B$2:B2061,-1+SUMPRODUCT(MAX(ROW(E$2:E2061)*(E2062=E$2:E2061)))))</f>
        <v/>
      </c>
      <c r="J2062" s="14" t="str">
        <f aca="true">IF(OR(E2062="",E2062="!!!",F2062="NEW"),"",COUNTBLANK(OFFSET(A$1,,,SUMPRODUCT(MAX(ROW(E$2:E2062)*(E2062=E$2:E2062)))))-COUNTBLANK(OFFSET(A$1,,,SUMPRODUCT(MAX(ROW(E$1:E2061)*(E2062=E$1:E2061))))))</f>
        <v/>
      </c>
      <c r="K2062" s="14" t="str">
        <f aca="false">IF(OR(E2062="",E2062="!!!",F2062="NEW"),"",INDEX(J$1:J2061,SUMPRODUCT(MAX(ROW(E$1:E2061)*(E2062=E$1:E2061)))))</f>
        <v/>
      </c>
      <c r="L2062" s="15"/>
    </row>
    <row r="2063" customFormat="false" ht="12.75" hidden="false" customHeight="false" outlineLevel="0" collapsed="false">
      <c r="A2063" s="0" t="s">
        <v>66</v>
      </c>
      <c r="E2063" s="9" t="str">
        <f aca="false">IF(D2063="?OLD","!!!","")</f>
        <v/>
      </c>
      <c r="F2063" s="10" t="str">
        <f aca="false">IF(OR(E2063="",E2063="!!!"),"",IF(NOT(ISNA(VLOOKUP(E2063,E$1:E2062,1,FALSE()))),"OLD",IF(AND(E2063&lt;&gt;"",E2063&lt;&gt;"!!!"),"NEW","")))</f>
        <v/>
      </c>
      <c r="G2063" s="11" t="str">
        <f aca="false">IF(OR(E2063="",E2063="!!!"),"",IF(OR(J2063=0,AND(J2063=1,K2063=1),AND(J2063=1,I2063="SBJ"),AND(J2063=1,I2063=0)),"?IN_FOCUS",IF(J2063&lt;=2,"?ACTIVATED",IF(J2063&lt;&gt;"","?FAMILIAR",IF(F2063="NEW",IF(ISNA(VLOOKUP(E2063,#REF!,1,FALSE())),"?TYPE_IDENTIFIABLE","?REFERENTIAL"),"_")))))</f>
        <v/>
      </c>
      <c r="H2063" s="12" t="str">
        <f aca="false">IF(J2063&lt;&gt;1,"",IF(I2063="SBJ","CB","?"))</f>
        <v/>
      </c>
      <c r="I2063" s="13" t="str">
        <f aca="false">IF(OR(E2063="",E2063="!!!",F2063="NEW"),"",INDEX(B$2:B2062,-1+SUMPRODUCT(MAX(ROW(E$2:E2062)*(E2063=E$2:E2062)))))</f>
        <v/>
      </c>
      <c r="J2063" s="14" t="str">
        <f aca="true">IF(OR(E2063="",E2063="!!!",F2063="NEW"),"",COUNTBLANK(OFFSET(A$1,,,SUMPRODUCT(MAX(ROW(E$2:E2063)*(E2063=E$2:E2063)))))-COUNTBLANK(OFFSET(A$1,,,SUMPRODUCT(MAX(ROW(E$1:E2062)*(E2063=E$1:E2062))))))</f>
        <v/>
      </c>
      <c r="K2063" s="14" t="str">
        <f aca="false">IF(OR(E2063="",E2063="!!!",F2063="NEW"),"",INDEX(J$1:J2062,SUMPRODUCT(MAX(ROW(E$1:E2062)*(E2063=E$1:E2062)))))</f>
        <v/>
      </c>
      <c r="L2063" s="15"/>
    </row>
    <row r="2064" customFormat="false" ht="12.75" hidden="false" customHeight="false" outlineLevel="0" collapsed="false">
      <c r="A2064" s="0" t="s">
        <v>808</v>
      </c>
      <c r="B2064" s="0" t="s">
        <v>22</v>
      </c>
      <c r="C2064" s="0" t="s">
        <v>111</v>
      </c>
      <c r="D2064" s="0" t="s">
        <v>29</v>
      </c>
      <c r="E2064" s="9" t="str">
        <f aca="false">IF(D2064="?OLD","!!!","")</f>
        <v>!!!</v>
      </c>
      <c r="F2064" s="10" t="str">
        <f aca="false">IF(OR(E2064="",E2064="!!!"),"",IF(NOT(ISNA(VLOOKUP(E2064,E$1:E2063,1,FALSE()))),"OLD",IF(AND(E2064&lt;&gt;"",E2064&lt;&gt;"!!!"),"NEW","")))</f>
        <v/>
      </c>
      <c r="G2064" s="11" t="str">
        <f aca="false">IF(OR(E2064="",E2064="!!!"),"",IF(OR(J2064=0,AND(J2064=1,K2064=1),AND(J2064=1,I2064="SBJ"),AND(J2064=1,I2064=0)),"?IN_FOCUS",IF(J2064&lt;=2,"?ACTIVATED",IF(J2064&lt;&gt;"","?FAMILIAR",IF(F2064="NEW",IF(ISNA(VLOOKUP(E2064,#REF!,1,FALSE())),"?TYPE_IDENTIFIABLE","?REFERENTIAL"),"_")))))</f>
        <v/>
      </c>
      <c r="H2064" s="12" t="str">
        <f aca="false">IF(J2064&lt;&gt;1,"",IF(I2064="SBJ","CB","?"))</f>
        <v/>
      </c>
      <c r="I2064" s="13" t="str">
        <f aca="false">IF(OR(E2064="",E2064="!!!",F2064="NEW"),"",INDEX(B$2:B2063,-1+SUMPRODUCT(MAX(ROW(E$2:E2063)*(E2064=E$2:E2063)))))</f>
        <v/>
      </c>
      <c r="J2064" s="14" t="str">
        <f aca="true">IF(OR(E2064="",E2064="!!!",F2064="NEW"),"",COUNTBLANK(OFFSET(A$1,,,SUMPRODUCT(MAX(ROW(E$2:E2064)*(E2064=E$2:E2064)))))-COUNTBLANK(OFFSET(A$1,,,SUMPRODUCT(MAX(ROW(E$1:E2063)*(E2064=E$1:E2063))))))</f>
        <v/>
      </c>
      <c r="K2064" s="14" t="str">
        <f aca="false">IF(OR(E2064="",E2064="!!!",F2064="NEW"),"",INDEX(J$1:J2063,SUMPRODUCT(MAX(ROW(E$1:E2063)*(E2064=E$1:E2063)))))</f>
        <v/>
      </c>
      <c r="L2064" s="15"/>
    </row>
    <row r="2065" customFormat="false" ht="12.75" hidden="false" customHeight="false" outlineLevel="0" collapsed="false">
      <c r="A2065" s="0" t="s">
        <v>73</v>
      </c>
      <c r="E2065" s="9" t="str">
        <f aca="false">IF(D2065="?OLD","!!!","")</f>
        <v/>
      </c>
      <c r="F2065" s="10" t="str">
        <f aca="false">IF(OR(E2065="",E2065="!!!"),"",IF(NOT(ISNA(VLOOKUP(E2065,E$1:E2064,1,FALSE()))),"OLD",IF(AND(E2065&lt;&gt;"",E2065&lt;&gt;"!!!"),"NEW","")))</f>
        <v/>
      </c>
      <c r="G2065" s="11" t="str">
        <f aca="false">IF(OR(E2065="",E2065="!!!"),"",IF(OR(J2065=0,AND(J2065=1,K2065=1),AND(J2065=1,I2065="SBJ"),AND(J2065=1,I2065=0)),"?IN_FOCUS",IF(J2065&lt;=2,"?ACTIVATED",IF(J2065&lt;&gt;"","?FAMILIAR",IF(F2065="NEW",IF(ISNA(VLOOKUP(E2065,#REF!,1,FALSE())),"?TYPE_IDENTIFIABLE","?REFERENTIAL"),"_")))))</f>
        <v/>
      </c>
      <c r="H2065" s="12" t="str">
        <f aca="false">IF(J2065&lt;&gt;1,"",IF(I2065="SBJ","CB","?"))</f>
        <v/>
      </c>
      <c r="I2065" s="13" t="str">
        <f aca="false">IF(OR(E2065="",E2065="!!!",F2065="NEW"),"",INDEX(B$2:B2064,-1+SUMPRODUCT(MAX(ROW(E$2:E2064)*(E2065=E$2:E2064)))))</f>
        <v/>
      </c>
      <c r="J2065" s="14" t="str">
        <f aca="true">IF(OR(E2065="",E2065="!!!",F2065="NEW"),"",COUNTBLANK(OFFSET(A$1,,,SUMPRODUCT(MAX(ROW(E$2:E2065)*(E2065=E$2:E2065)))))-COUNTBLANK(OFFSET(A$1,,,SUMPRODUCT(MAX(ROW(E$1:E2064)*(E2065=E$1:E2064))))))</f>
        <v/>
      </c>
      <c r="K2065" s="14" t="str">
        <f aca="false">IF(OR(E2065="",E2065="!!!",F2065="NEW"),"",INDEX(J$1:J2064,SUMPRODUCT(MAX(ROW(E$1:E2064)*(E2065=E$1:E2064)))))</f>
        <v/>
      </c>
      <c r="L2065" s="15"/>
    </row>
    <row r="2066" customFormat="false" ht="12.75" hidden="false" customHeight="false" outlineLevel="0" collapsed="false">
      <c r="E2066" s="9" t="str">
        <f aca="false">IF(D2066="?OLD","!!!","")</f>
        <v/>
      </c>
      <c r="F2066" s="10" t="str">
        <f aca="false">IF(OR(E2066="",E2066="!!!"),"",IF(NOT(ISNA(VLOOKUP(E2066,E$1:E2065,1,FALSE()))),"OLD",IF(AND(E2066&lt;&gt;"",E2066&lt;&gt;"!!!"),"NEW","")))</f>
        <v/>
      </c>
      <c r="G2066" s="11" t="str">
        <f aca="false">IF(OR(E2066="",E2066="!!!"),"",IF(OR(J2066=0,AND(J2066=1,K2066=1),AND(J2066=1,I2066="SBJ"),AND(J2066=1,I2066=0)),"?IN_FOCUS",IF(J2066&lt;=2,"?ACTIVATED",IF(J2066&lt;&gt;"","?FAMILIAR",IF(F2066="NEW",IF(ISNA(VLOOKUP(E2066,#REF!,1,FALSE())),"?TYPE_IDENTIFIABLE","?REFERENTIAL"),"_")))))</f>
        <v/>
      </c>
      <c r="H2066" s="12" t="str">
        <f aca="false">IF(J2066&lt;&gt;1,"",IF(I2066="SBJ","CB","?"))</f>
        <v/>
      </c>
      <c r="I2066" s="13" t="str">
        <f aca="false">IF(OR(E2066="",E2066="!!!",F2066="NEW"),"",INDEX(B$2:B2065,-1+SUMPRODUCT(MAX(ROW(E$2:E2065)*(E2066=E$2:E2065)))))</f>
        <v/>
      </c>
      <c r="J2066" s="14" t="str">
        <f aca="true">IF(OR(E2066="",E2066="!!!",F2066="NEW"),"",COUNTBLANK(OFFSET(A$1,,,SUMPRODUCT(MAX(ROW(E$2:E2066)*(E2066=E$2:E2066)))))-COUNTBLANK(OFFSET(A$1,,,SUMPRODUCT(MAX(ROW(E$1:E2065)*(E2066=E$1:E2065))))))</f>
        <v/>
      </c>
      <c r="K2066" s="14" t="str">
        <f aca="false">IF(OR(E2066="",E2066="!!!",F2066="NEW"),"",INDEX(J$1:J2065,SUMPRODUCT(MAX(ROW(E$1:E2065)*(E2066=E$1:E2065)))))</f>
        <v/>
      </c>
      <c r="L2066" s="15"/>
    </row>
    <row r="2067" customFormat="false" ht="12.75" hidden="false" customHeight="false" outlineLevel="0" collapsed="false">
      <c r="A2067" s="0" t="s">
        <v>809</v>
      </c>
      <c r="E2067" s="9" t="str">
        <f aca="false">IF(D2067="?OLD","!!!","")</f>
        <v/>
      </c>
      <c r="F2067" s="10" t="str">
        <f aca="false">IF(OR(E2067="",E2067="!!!"),"",IF(NOT(ISNA(VLOOKUP(E2067,E$1:E2066,1,FALSE()))),"OLD",IF(AND(E2067&lt;&gt;"",E2067&lt;&gt;"!!!"),"NEW","")))</f>
        <v/>
      </c>
      <c r="G2067" s="11" t="str">
        <f aca="false">IF(OR(E2067="",E2067="!!!"),"",IF(OR(J2067=0,AND(J2067=1,K2067=1),AND(J2067=1,I2067="SBJ"),AND(J2067=1,I2067=0)),"?IN_FOCUS",IF(J2067&lt;=2,"?ACTIVATED",IF(J2067&lt;&gt;"","?FAMILIAR",IF(F2067="NEW",IF(ISNA(VLOOKUP(E2067,#REF!,1,FALSE())),"?TYPE_IDENTIFIABLE","?REFERENTIAL"),"_")))))</f>
        <v/>
      </c>
      <c r="H2067" s="12" t="str">
        <f aca="false">IF(J2067&lt;&gt;1,"",IF(I2067="SBJ","CB","?"))</f>
        <v/>
      </c>
      <c r="I2067" s="13" t="str">
        <f aca="false">IF(OR(E2067="",E2067="!!!",F2067="NEW"),"",INDEX(B$2:B2066,-1+SUMPRODUCT(MAX(ROW(E$2:E2066)*(E2067=E$2:E2066)))))</f>
        <v/>
      </c>
      <c r="J2067" s="14" t="str">
        <f aca="true">IF(OR(E2067="",E2067="!!!",F2067="NEW"),"",COUNTBLANK(OFFSET(A$1,,,SUMPRODUCT(MAX(ROW(E$2:E2067)*(E2067=E$2:E2067)))))-COUNTBLANK(OFFSET(A$1,,,SUMPRODUCT(MAX(ROW(E$1:E2066)*(E2067=E$1:E2066))))))</f>
        <v/>
      </c>
      <c r="K2067" s="14" t="str">
        <f aca="false">IF(OR(E2067="",E2067="!!!",F2067="NEW"),"",INDEX(J$1:J2066,SUMPRODUCT(MAX(ROW(E$1:E2066)*(E2067=E$1:E2066)))))</f>
        <v/>
      </c>
      <c r="L2067" s="15"/>
    </row>
    <row r="2068" customFormat="false" ht="12.75" hidden="false" customHeight="false" outlineLevel="0" collapsed="false">
      <c r="A2068" s="0" t="s">
        <v>810</v>
      </c>
      <c r="E2068" s="9" t="str">
        <f aca="false">IF(D2068="?OLD","!!!","")</f>
        <v/>
      </c>
      <c r="F2068" s="10" t="str">
        <f aca="false">IF(OR(E2068="",E2068="!!!"),"",IF(NOT(ISNA(VLOOKUP(E2068,E$1:E2067,1,FALSE()))),"OLD",IF(AND(E2068&lt;&gt;"",E2068&lt;&gt;"!!!"),"NEW","")))</f>
        <v/>
      </c>
      <c r="G2068" s="11" t="str">
        <f aca="false">IF(OR(E2068="",E2068="!!!"),"",IF(OR(J2068=0,AND(J2068=1,K2068=1),AND(J2068=1,I2068="SBJ"),AND(J2068=1,I2068=0)),"?IN_FOCUS",IF(J2068&lt;=2,"?ACTIVATED",IF(J2068&lt;&gt;"","?FAMILIAR",IF(F2068="NEW",IF(ISNA(VLOOKUP(E2068,#REF!,1,FALSE())),"?TYPE_IDENTIFIABLE","?REFERENTIAL"),"_")))))</f>
        <v/>
      </c>
      <c r="H2068" s="12" t="str">
        <f aca="false">IF(J2068&lt;&gt;1,"",IF(I2068="SBJ","CB","?"))</f>
        <v/>
      </c>
      <c r="I2068" s="13" t="str">
        <f aca="false">IF(OR(E2068="",E2068="!!!",F2068="NEW"),"",INDEX(B$2:B2067,-1+SUMPRODUCT(MAX(ROW(E$2:E2067)*(E2068=E$2:E2067)))))</f>
        <v/>
      </c>
      <c r="J2068" s="14" t="str">
        <f aca="true">IF(OR(E2068="",E2068="!!!",F2068="NEW"),"",COUNTBLANK(OFFSET(A$1,,,SUMPRODUCT(MAX(ROW(E$2:E2068)*(E2068=E$2:E2068)))))-COUNTBLANK(OFFSET(A$1,,,SUMPRODUCT(MAX(ROW(E$1:E2067)*(E2068=E$1:E2067))))))</f>
        <v/>
      </c>
      <c r="K2068" s="14" t="str">
        <f aca="false">IF(OR(E2068="",E2068="!!!",F2068="NEW"),"",INDEX(J$1:J2067,SUMPRODUCT(MAX(ROW(E$1:E2067)*(E2068=E$1:E2067)))))</f>
        <v/>
      </c>
      <c r="L2068" s="15"/>
    </row>
    <row r="2069" customFormat="false" ht="12.75" hidden="false" customHeight="false" outlineLevel="0" collapsed="false">
      <c r="A2069" s="0" t="s">
        <v>644</v>
      </c>
      <c r="E2069" s="9" t="str">
        <f aca="false">IF(D2069="?OLD","!!!","")</f>
        <v/>
      </c>
      <c r="F2069" s="10" t="str">
        <f aca="false">IF(OR(E2069="",E2069="!!!"),"",IF(NOT(ISNA(VLOOKUP(E2069,E$1:E2068,1,FALSE()))),"OLD",IF(AND(E2069&lt;&gt;"",E2069&lt;&gt;"!!!"),"NEW","")))</f>
        <v/>
      </c>
      <c r="G2069" s="11" t="str">
        <f aca="false">IF(OR(E2069="",E2069="!!!"),"",IF(OR(J2069=0,AND(J2069=1,K2069=1),AND(J2069=1,I2069="SBJ"),AND(J2069=1,I2069=0)),"?IN_FOCUS",IF(J2069&lt;=2,"?ACTIVATED",IF(J2069&lt;&gt;"","?FAMILIAR",IF(F2069="NEW",IF(ISNA(VLOOKUP(E2069,#REF!,1,FALSE())),"?TYPE_IDENTIFIABLE","?REFERENTIAL"),"_")))))</f>
        <v/>
      </c>
      <c r="H2069" s="12" t="str">
        <f aca="false">IF(J2069&lt;&gt;1,"",IF(I2069="SBJ","CB","?"))</f>
        <v/>
      </c>
      <c r="I2069" s="13" t="str">
        <f aca="false">IF(OR(E2069="",E2069="!!!",F2069="NEW"),"",INDEX(B$2:B2068,-1+SUMPRODUCT(MAX(ROW(E$2:E2068)*(E2069=E$2:E2068)))))</f>
        <v/>
      </c>
      <c r="J2069" s="14" t="str">
        <f aca="true">IF(OR(E2069="",E2069="!!!",F2069="NEW"),"",COUNTBLANK(OFFSET(A$1,,,SUMPRODUCT(MAX(ROW(E$2:E2069)*(E2069=E$2:E2069)))))-COUNTBLANK(OFFSET(A$1,,,SUMPRODUCT(MAX(ROW(E$1:E2068)*(E2069=E$1:E2068))))))</f>
        <v/>
      </c>
      <c r="K2069" s="14" t="str">
        <f aca="false">IF(OR(E2069="",E2069="!!!",F2069="NEW"),"",INDEX(J$1:J2068,SUMPRODUCT(MAX(ROW(E$1:E2068)*(E2069=E$1:E2068)))))</f>
        <v/>
      </c>
      <c r="L2069" s="15"/>
    </row>
    <row r="2070" customFormat="false" ht="12.75" hidden="false" customHeight="false" outlineLevel="0" collapsed="false">
      <c r="A2070" s="0" t="s">
        <v>400</v>
      </c>
      <c r="B2070" s="0" t="s">
        <v>14</v>
      </c>
      <c r="C2070" s="0" t="s">
        <v>38</v>
      </c>
      <c r="D2070" s="0" t="s">
        <v>29</v>
      </c>
      <c r="E2070" s="9" t="str">
        <f aca="false">IF(D2070="?OLD","!!!","")</f>
        <v>!!!</v>
      </c>
      <c r="F2070" s="10" t="str">
        <f aca="false">IF(OR(E2070="",E2070="!!!"),"",IF(NOT(ISNA(VLOOKUP(E2070,E$1:E2069,1,FALSE()))),"OLD",IF(AND(E2070&lt;&gt;"",E2070&lt;&gt;"!!!"),"NEW","")))</f>
        <v/>
      </c>
      <c r="G2070" s="11" t="str">
        <f aca="false">IF(OR(E2070="",E2070="!!!"),"",IF(OR(J2070=0,AND(J2070=1,K2070=1),AND(J2070=1,I2070="SBJ"),AND(J2070=1,I2070=0)),"?IN_FOCUS",IF(J2070&lt;=2,"?ACTIVATED",IF(J2070&lt;&gt;"","?FAMILIAR",IF(F2070="NEW",IF(ISNA(VLOOKUP(E2070,#REF!,1,FALSE())),"?TYPE_IDENTIFIABLE","?REFERENTIAL"),"_")))))</f>
        <v/>
      </c>
      <c r="H2070" s="12" t="str">
        <f aca="false">IF(J2070&lt;&gt;1,"",IF(I2070="SBJ","CB","?"))</f>
        <v/>
      </c>
      <c r="I2070" s="13" t="str">
        <f aca="false">IF(OR(E2070="",E2070="!!!",F2070="NEW"),"",INDEX(B$2:B2069,-1+SUMPRODUCT(MAX(ROW(E$2:E2069)*(E2070=E$2:E2069)))))</f>
        <v/>
      </c>
      <c r="J2070" s="14" t="str">
        <f aca="true">IF(OR(E2070="",E2070="!!!",F2070="NEW"),"",COUNTBLANK(OFFSET(A$1,,,SUMPRODUCT(MAX(ROW(E$2:E2070)*(E2070=E$2:E2070)))))-COUNTBLANK(OFFSET(A$1,,,SUMPRODUCT(MAX(ROW(E$1:E2069)*(E2070=E$1:E2069))))))</f>
        <v/>
      </c>
      <c r="K2070" s="14" t="str">
        <f aca="false">IF(OR(E2070="",E2070="!!!",F2070="NEW"),"",INDEX(J$1:J2069,SUMPRODUCT(MAX(ROW(E$1:E2069)*(E2070=E$1:E2069)))))</f>
        <v/>
      </c>
      <c r="L2070" s="15"/>
    </row>
    <row r="2071" customFormat="false" ht="12.75" hidden="false" customHeight="false" outlineLevel="0" collapsed="false">
      <c r="A2071" s="0" t="s">
        <v>256</v>
      </c>
      <c r="E2071" s="9" t="str">
        <f aca="false">IF(D2071="?OLD","!!!","")</f>
        <v/>
      </c>
      <c r="F2071" s="10" t="str">
        <f aca="false">IF(OR(E2071="",E2071="!!!"),"",IF(NOT(ISNA(VLOOKUP(E2071,E$1:E2070,1,FALSE()))),"OLD",IF(AND(E2071&lt;&gt;"",E2071&lt;&gt;"!!!"),"NEW","")))</f>
        <v/>
      </c>
      <c r="G2071" s="11" t="str">
        <f aca="false">IF(OR(E2071="",E2071="!!!"),"",IF(OR(J2071=0,AND(J2071=1,K2071=1),AND(J2071=1,I2071="SBJ"),AND(J2071=1,I2071=0)),"?IN_FOCUS",IF(J2071&lt;=2,"?ACTIVATED",IF(J2071&lt;&gt;"","?FAMILIAR",IF(F2071="NEW",IF(ISNA(VLOOKUP(E2071,#REF!,1,FALSE())),"?TYPE_IDENTIFIABLE","?REFERENTIAL"),"_")))))</f>
        <v/>
      </c>
      <c r="H2071" s="12" t="str">
        <f aca="false">IF(J2071&lt;&gt;1,"",IF(I2071="SBJ","CB","?"))</f>
        <v/>
      </c>
      <c r="I2071" s="13" t="str">
        <f aca="false">IF(OR(E2071="",E2071="!!!",F2071="NEW"),"",INDEX(B$2:B2070,-1+SUMPRODUCT(MAX(ROW(E$2:E2070)*(E2071=E$2:E2070)))))</f>
        <v/>
      </c>
      <c r="J2071" s="14" t="str">
        <f aca="true">IF(OR(E2071="",E2071="!!!",F2071="NEW"),"",COUNTBLANK(OFFSET(A$1,,,SUMPRODUCT(MAX(ROW(E$2:E2071)*(E2071=E$2:E2071)))))-COUNTBLANK(OFFSET(A$1,,,SUMPRODUCT(MAX(ROW(E$1:E2070)*(E2071=E$1:E2070))))))</f>
        <v/>
      </c>
      <c r="K2071" s="14" t="str">
        <f aca="false">IF(OR(E2071="",E2071="!!!",F2071="NEW"),"",INDEX(J$1:J2070,SUMPRODUCT(MAX(ROW(E$1:E2070)*(E2071=E$1:E2070)))))</f>
        <v/>
      </c>
      <c r="L2071" s="15"/>
    </row>
    <row r="2072" customFormat="false" ht="12.75" hidden="false" customHeight="false" outlineLevel="0" collapsed="false">
      <c r="A2072" s="0" t="s">
        <v>421</v>
      </c>
      <c r="E2072" s="9" t="str">
        <f aca="false">IF(D2072="?OLD","!!!","")</f>
        <v/>
      </c>
      <c r="F2072" s="10" t="str">
        <f aca="false">IF(OR(E2072="",E2072="!!!"),"",IF(NOT(ISNA(VLOOKUP(E2072,E$1:E2071,1,FALSE()))),"OLD",IF(AND(E2072&lt;&gt;"",E2072&lt;&gt;"!!!"),"NEW","")))</f>
        <v/>
      </c>
      <c r="G2072" s="11" t="str">
        <f aca="false">IF(OR(E2072="",E2072="!!!"),"",IF(OR(J2072=0,AND(J2072=1,K2072=1),AND(J2072=1,I2072="SBJ"),AND(J2072=1,I2072=0)),"?IN_FOCUS",IF(J2072&lt;=2,"?ACTIVATED",IF(J2072&lt;&gt;"","?FAMILIAR",IF(F2072="NEW",IF(ISNA(VLOOKUP(E2072,#REF!,1,FALSE())),"?TYPE_IDENTIFIABLE","?REFERENTIAL"),"_")))))</f>
        <v/>
      </c>
      <c r="H2072" s="12" t="str">
        <f aca="false">IF(J2072&lt;&gt;1,"",IF(I2072="SBJ","CB","?"))</f>
        <v/>
      </c>
      <c r="I2072" s="13" t="str">
        <f aca="false">IF(OR(E2072="",E2072="!!!",F2072="NEW"),"",INDEX(B$2:B2071,-1+SUMPRODUCT(MAX(ROW(E$2:E2071)*(E2072=E$2:E2071)))))</f>
        <v/>
      </c>
      <c r="J2072" s="14" t="str">
        <f aca="true">IF(OR(E2072="",E2072="!!!",F2072="NEW"),"",COUNTBLANK(OFFSET(A$1,,,SUMPRODUCT(MAX(ROW(E$2:E2072)*(E2072=E$2:E2072)))))-COUNTBLANK(OFFSET(A$1,,,SUMPRODUCT(MAX(ROW(E$1:E2071)*(E2072=E$1:E2071))))))</f>
        <v/>
      </c>
      <c r="K2072" s="14" t="str">
        <f aca="false">IF(OR(E2072="",E2072="!!!",F2072="NEW"),"",INDEX(J$1:J2071,SUMPRODUCT(MAX(ROW(E$1:E2071)*(E2072=E$1:E2071)))))</f>
        <v/>
      </c>
      <c r="L2072" s="15"/>
    </row>
    <row r="2073" customFormat="false" ht="12.75" hidden="false" customHeight="false" outlineLevel="0" collapsed="false">
      <c r="A2073" s="0" t="s">
        <v>136</v>
      </c>
      <c r="E2073" s="9" t="str">
        <f aca="false">IF(D2073="?OLD","!!!","")</f>
        <v/>
      </c>
      <c r="F2073" s="10" t="str">
        <f aca="false">IF(OR(E2073="",E2073="!!!"),"",IF(NOT(ISNA(VLOOKUP(E2073,E$1:E2072,1,FALSE()))),"OLD",IF(AND(E2073&lt;&gt;"",E2073&lt;&gt;"!!!"),"NEW","")))</f>
        <v/>
      </c>
      <c r="G2073" s="11" t="str">
        <f aca="false">IF(OR(E2073="",E2073="!!!"),"",IF(OR(J2073=0,AND(J2073=1,K2073=1),AND(J2073=1,I2073="SBJ"),AND(J2073=1,I2073=0)),"?IN_FOCUS",IF(J2073&lt;=2,"?ACTIVATED",IF(J2073&lt;&gt;"","?FAMILIAR",IF(F2073="NEW",IF(ISNA(VLOOKUP(E2073,#REF!,1,FALSE())),"?TYPE_IDENTIFIABLE","?REFERENTIAL"),"_")))))</f>
        <v/>
      </c>
      <c r="H2073" s="12" t="str">
        <f aca="false">IF(J2073&lt;&gt;1,"",IF(I2073="SBJ","CB","?"))</f>
        <v/>
      </c>
      <c r="I2073" s="13" t="str">
        <f aca="false">IF(OR(E2073="",E2073="!!!",F2073="NEW"),"",INDEX(B$2:B2072,-1+SUMPRODUCT(MAX(ROW(E$2:E2072)*(E2073=E$2:E2072)))))</f>
        <v/>
      </c>
      <c r="J2073" s="14" t="str">
        <f aca="true">IF(OR(E2073="",E2073="!!!",F2073="NEW"),"",COUNTBLANK(OFFSET(A$1,,,SUMPRODUCT(MAX(ROW(E$2:E2073)*(E2073=E$2:E2073)))))-COUNTBLANK(OFFSET(A$1,,,SUMPRODUCT(MAX(ROW(E$1:E2072)*(E2073=E$1:E2072))))))</f>
        <v/>
      </c>
      <c r="K2073" s="14" t="str">
        <f aca="false">IF(OR(E2073="",E2073="!!!",F2073="NEW"),"",INDEX(J$1:J2072,SUMPRODUCT(MAX(ROW(E$1:E2072)*(E2073=E$1:E2072)))))</f>
        <v/>
      </c>
      <c r="L2073" s="15"/>
    </row>
    <row r="2074" customFormat="false" ht="12.75" hidden="false" customHeight="false" outlineLevel="0" collapsed="false">
      <c r="A2074" s="0" t="s">
        <v>40</v>
      </c>
      <c r="E2074" s="9" t="str">
        <f aca="false">IF(D2074="?OLD","!!!","")</f>
        <v/>
      </c>
      <c r="F2074" s="10" t="str">
        <f aca="false">IF(OR(E2074="",E2074="!!!"),"",IF(NOT(ISNA(VLOOKUP(E2074,E$1:E2073,1,FALSE()))),"OLD",IF(AND(E2074&lt;&gt;"",E2074&lt;&gt;"!!!"),"NEW","")))</f>
        <v/>
      </c>
      <c r="G2074" s="11" t="str">
        <f aca="false">IF(OR(E2074="",E2074="!!!"),"",IF(OR(J2074=0,AND(J2074=1,K2074=1),AND(J2074=1,I2074="SBJ"),AND(J2074=1,I2074=0)),"?IN_FOCUS",IF(J2074&lt;=2,"?ACTIVATED",IF(J2074&lt;&gt;"","?FAMILIAR",IF(F2074="NEW",IF(ISNA(VLOOKUP(E2074,#REF!,1,FALSE())),"?TYPE_IDENTIFIABLE","?REFERENTIAL"),"_")))))</f>
        <v/>
      </c>
      <c r="H2074" s="12" t="str">
        <f aca="false">IF(J2074&lt;&gt;1,"",IF(I2074="SBJ","CB","?"))</f>
        <v/>
      </c>
      <c r="I2074" s="13" t="str">
        <f aca="false">IF(OR(E2074="",E2074="!!!",F2074="NEW"),"",INDEX(B$2:B2073,-1+SUMPRODUCT(MAX(ROW(E$2:E2073)*(E2074=E$2:E2073)))))</f>
        <v/>
      </c>
      <c r="J2074" s="14" t="str">
        <f aca="true">IF(OR(E2074="",E2074="!!!",F2074="NEW"),"",COUNTBLANK(OFFSET(A$1,,,SUMPRODUCT(MAX(ROW(E$2:E2074)*(E2074=E$2:E2074)))))-COUNTBLANK(OFFSET(A$1,,,SUMPRODUCT(MAX(ROW(E$1:E2073)*(E2074=E$1:E2073))))))</f>
        <v/>
      </c>
      <c r="K2074" s="14" t="str">
        <f aca="false">IF(OR(E2074="",E2074="!!!",F2074="NEW"),"",INDEX(J$1:J2073,SUMPRODUCT(MAX(ROW(E$1:E2073)*(E2074=E$1:E2073)))))</f>
        <v/>
      </c>
      <c r="L2074" s="15"/>
    </row>
    <row r="2075" customFormat="false" ht="12.75" hidden="false" customHeight="false" outlineLevel="0" collapsed="false">
      <c r="A2075" s="0" t="s">
        <v>811</v>
      </c>
      <c r="B2075" s="0" t="s">
        <v>62</v>
      </c>
      <c r="C2075" s="0" t="s">
        <v>43</v>
      </c>
      <c r="E2075" s="9" t="str">
        <f aca="false">IF(D2075="?OLD","!!!","")</f>
        <v/>
      </c>
      <c r="F2075" s="10" t="str">
        <f aca="false">IF(OR(E2075="",E2075="!!!"),"",IF(NOT(ISNA(VLOOKUP(E2075,E$1:E2074,1,FALSE()))),"OLD",IF(AND(E2075&lt;&gt;"",E2075&lt;&gt;"!!!"),"NEW","")))</f>
        <v/>
      </c>
      <c r="G2075" s="11" t="str">
        <f aca="false">IF(OR(E2075="",E2075="!!!"),"",IF(OR(J2075=0,AND(J2075=1,K2075=1),AND(J2075=1,I2075="SBJ"),AND(J2075=1,I2075=0)),"?IN_FOCUS",IF(J2075&lt;=2,"?ACTIVATED",IF(J2075&lt;&gt;"","?FAMILIAR",IF(F2075="NEW",IF(ISNA(VLOOKUP(E2075,#REF!,1,FALSE())),"?TYPE_IDENTIFIABLE","?REFERENTIAL"),"_")))))</f>
        <v/>
      </c>
      <c r="H2075" s="12" t="str">
        <f aca="false">IF(J2075&lt;&gt;1,"",IF(I2075="SBJ","CB","?"))</f>
        <v/>
      </c>
      <c r="I2075" s="13" t="str">
        <f aca="false">IF(OR(E2075="",E2075="!!!",F2075="NEW"),"",INDEX(B$2:B2074,-1+SUMPRODUCT(MAX(ROW(E$2:E2074)*(E2075=E$2:E2074)))))</f>
        <v/>
      </c>
      <c r="J2075" s="14" t="str">
        <f aca="true">IF(OR(E2075="",E2075="!!!",F2075="NEW"),"",COUNTBLANK(OFFSET(A$1,,,SUMPRODUCT(MAX(ROW(E$2:E2075)*(E2075=E$2:E2075)))))-COUNTBLANK(OFFSET(A$1,,,SUMPRODUCT(MAX(ROW(E$1:E2074)*(E2075=E$1:E2074))))))</f>
        <v/>
      </c>
      <c r="K2075" s="14" t="str">
        <f aca="false">IF(OR(E2075="",E2075="!!!",F2075="NEW"),"",INDEX(J$1:J2074,SUMPRODUCT(MAX(ROW(E$1:E2074)*(E2075=E$1:E2074)))))</f>
        <v/>
      </c>
      <c r="L2075" s="15"/>
    </row>
    <row r="2076" customFormat="false" ht="12.75" hidden="false" customHeight="false" outlineLevel="0" collapsed="false">
      <c r="A2076" s="0" t="s">
        <v>31</v>
      </c>
      <c r="E2076" s="9" t="str">
        <f aca="false">IF(D2076="?OLD","!!!","")</f>
        <v/>
      </c>
      <c r="F2076" s="10" t="str">
        <f aca="false">IF(OR(E2076="",E2076="!!!"),"",IF(NOT(ISNA(VLOOKUP(E2076,E$1:E2075,1,FALSE()))),"OLD",IF(AND(E2076&lt;&gt;"",E2076&lt;&gt;"!!!"),"NEW","")))</f>
        <v/>
      </c>
      <c r="G2076" s="11" t="str">
        <f aca="false">IF(OR(E2076="",E2076="!!!"),"",IF(OR(J2076=0,AND(J2076=1,K2076=1),AND(J2076=1,I2076="SBJ"),AND(J2076=1,I2076=0)),"?IN_FOCUS",IF(J2076&lt;=2,"?ACTIVATED",IF(J2076&lt;&gt;"","?FAMILIAR",IF(F2076="NEW",IF(ISNA(VLOOKUP(E2076,#REF!,1,FALSE())),"?TYPE_IDENTIFIABLE","?REFERENTIAL"),"_")))))</f>
        <v/>
      </c>
      <c r="H2076" s="12" t="str">
        <f aca="false">IF(J2076&lt;&gt;1,"",IF(I2076="SBJ","CB","?"))</f>
        <v/>
      </c>
      <c r="I2076" s="13" t="str">
        <f aca="false">IF(OR(E2076="",E2076="!!!",F2076="NEW"),"",INDEX(B$2:B2075,-1+SUMPRODUCT(MAX(ROW(E$2:E2075)*(E2076=E$2:E2075)))))</f>
        <v/>
      </c>
      <c r="J2076" s="14" t="str">
        <f aca="true">IF(OR(E2076="",E2076="!!!",F2076="NEW"),"",COUNTBLANK(OFFSET(A$1,,,SUMPRODUCT(MAX(ROW(E$2:E2076)*(E2076=E$2:E2076)))))-COUNTBLANK(OFFSET(A$1,,,SUMPRODUCT(MAX(ROW(E$1:E2075)*(E2076=E$1:E2075))))))</f>
        <v/>
      </c>
      <c r="K2076" s="14" t="str">
        <f aca="false">IF(OR(E2076="",E2076="!!!",F2076="NEW"),"",INDEX(J$1:J2075,SUMPRODUCT(MAX(ROW(E$1:E2075)*(E2076=E$1:E2075)))))</f>
        <v/>
      </c>
      <c r="L2076" s="15"/>
    </row>
    <row r="2077" customFormat="false" ht="12.75" hidden="false" customHeight="false" outlineLevel="0" collapsed="false">
      <c r="A2077" s="0" t="s">
        <v>812</v>
      </c>
      <c r="E2077" s="9" t="str">
        <f aca="false">IF(D2077="?OLD","!!!","")</f>
        <v/>
      </c>
      <c r="F2077" s="10" t="str">
        <f aca="false">IF(OR(E2077="",E2077="!!!"),"",IF(NOT(ISNA(VLOOKUP(E2077,E$1:E2076,1,FALSE()))),"OLD",IF(AND(E2077&lt;&gt;"",E2077&lt;&gt;"!!!"),"NEW","")))</f>
        <v/>
      </c>
      <c r="G2077" s="11" t="str">
        <f aca="false">IF(OR(E2077="",E2077="!!!"),"",IF(OR(J2077=0,AND(J2077=1,K2077=1),AND(J2077=1,I2077="SBJ"),AND(J2077=1,I2077=0)),"?IN_FOCUS",IF(J2077&lt;=2,"?ACTIVATED",IF(J2077&lt;&gt;"","?FAMILIAR",IF(F2077="NEW",IF(ISNA(VLOOKUP(E2077,#REF!,1,FALSE())),"?TYPE_IDENTIFIABLE","?REFERENTIAL"),"_")))))</f>
        <v/>
      </c>
      <c r="H2077" s="12" t="str">
        <f aca="false">IF(J2077&lt;&gt;1,"",IF(I2077="SBJ","CB","?"))</f>
        <v/>
      </c>
      <c r="I2077" s="13" t="str">
        <f aca="false">IF(OR(E2077="",E2077="!!!",F2077="NEW"),"",INDEX(B$2:B2076,-1+SUMPRODUCT(MAX(ROW(E$2:E2076)*(E2077=E$2:E2076)))))</f>
        <v/>
      </c>
      <c r="J2077" s="14" t="str">
        <f aca="true">IF(OR(E2077="",E2077="!!!",F2077="NEW"),"",COUNTBLANK(OFFSET(A$1,,,SUMPRODUCT(MAX(ROW(E$2:E2077)*(E2077=E$2:E2077)))))-COUNTBLANK(OFFSET(A$1,,,SUMPRODUCT(MAX(ROW(E$1:E2076)*(E2077=E$1:E2076))))))</f>
        <v/>
      </c>
      <c r="K2077" s="14" t="str">
        <f aca="false">IF(OR(E2077="",E2077="!!!",F2077="NEW"),"",INDEX(J$1:J2076,SUMPRODUCT(MAX(ROW(E$1:E2076)*(E2077=E$1:E2076)))))</f>
        <v/>
      </c>
      <c r="L2077" s="15"/>
    </row>
    <row r="2078" customFormat="false" ht="12.75" hidden="false" customHeight="false" outlineLevel="0" collapsed="false">
      <c r="A2078" s="0" t="s">
        <v>813</v>
      </c>
      <c r="B2078" s="0" t="s">
        <v>103</v>
      </c>
      <c r="C2078" s="0" t="s">
        <v>120</v>
      </c>
      <c r="E2078" s="9" t="str">
        <f aca="false">IF(D2078="?OLD","!!!","")</f>
        <v/>
      </c>
      <c r="F2078" s="10" t="str">
        <f aca="false">IF(OR(E2078="",E2078="!!!"),"",IF(NOT(ISNA(VLOOKUP(E2078,E$1:E2077,1,FALSE()))),"OLD",IF(AND(E2078&lt;&gt;"",E2078&lt;&gt;"!!!"),"NEW","")))</f>
        <v/>
      </c>
      <c r="G2078" s="11" t="str">
        <f aca="false">IF(OR(E2078="",E2078="!!!"),"",IF(OR(J2078=0,AND(J2078=1,K2078=1),AND(J2078=1,I2078="SBJ"),AND(J2078=1,I2078=0)),"?IN_FOCUS",IF(J2078&lt;=2,"?ACTIVATED",IF(J2078&lt;&gt;"","?FAMILIAR",IF(F2078="NEW",IF(ISNA(VLOOKUP(E2078,#REF!,1,FALSE())),"?TYPE_IDENTIFIABLE","?REFERENTIAL"),"_")))))</f>
        <v/>
      </c>
      <c r="H2078" s="12" t="str">
        <f aca="false">IF(J2078&lt;&gt;1,"",IF(I2078="SBJ","CB","?"))</f>
        <v/>
      </c>
      <c r="I2078" s="13" t="str">
        <f aca="false">IF(OR(E2078="",E2078="!!!",F2078="NEW"),"",INDEX(B$2:B2077,-1+SUMPRODUCT(MAX(ROW(E$2:E2077)*(E2078=E$2:E2077)))))</f>
        <v/>
      </c>
      <c r="J2078" s="14" t="str">
        <f aca="true">IF(OR(E2078="",E2078="!!!",F2078="NEW"),"",COUNTBLANK(OFFSET(A$1,,,SUMPRODUCT(MAX(ROW(E$2:E2078)*(E2078=E$2:E2078)))))-COUNTBLANK(OFFSET(A$1,,,SUMPRODUCT(MAX(ROW(E$1:E2077)*(E2078=E$1:E2077))))))</f>
        <v/>
      </c>
      <c r="K2078" s="14" t="str">
        <f aca="false">IF(OR(E2078="",E2078="!!!",F2078="NEW"),"",INDEX(J$1:J2077,SUMPRODUCT(MAX(ROW(E$1:E2077)*(E2078=E$1:E2077)))))</f>
        <v/>
      </c>
      <c r="L2078" s="15"/>
    </row>
    <row r="2079" customFormat="false" ht="12.75" hidden="false" customHeight="false" outlineLevel="0" collapsed="false">
      <c r="A2079" s="0" t="s">
        <v>31</v>
      </c>
      <c r="E2079" s="9" t="str">
        <f aca="false">IF(D2079="?OLD","!!!","")</f>
        <v/>
      </c>
      <c r="F2079" s="10" t="str">
        <f aca="false">IF(OR(E2079="",E2079="!!!"),"",IF(NOT(ISNA(VLOOKUP(E2079,E$1:E2078,1,FALSE()))),"OLD",IF(AND(E2079&lt;&gt;"",E2079&lt;&gt;"!!!"),"NEW","")))</f>
        <v/>
      </c>
      <c r="G2079" s="11" t="str">
        <f aca="false">IF(OR(E2079="",E2079="!!!"),"",IF(OR(J2079=0,AND(J2079=1,K2079=1),AND(J2079=1,I2079="SBJ"),AND(J2079=1,I2079=0)),"?IN_FOCUS",IF(J2079&lt;=2,"?ACTIVATED",IF(J2079&lt;&gt;"","?FAMILIAR",IF(F2079="NEW",IF(ISNA(VLOOKUP(E2079,#REF!,1,FALSE())),"?TYPE_IDENTIFIABLE","?REFERENTIAL"),"_")))))</f>
        <v/>
      </c>
      <c r="H2079" s="12" t="str">
        <f aca="false">IF(J2079&lt;&gt;1,"",IF(I2079="SBJ","CB","?"))</f>
        <v/>
      </c>
      <c r="I2079" s="13" t="str">
        <f aca="false">IF(OR(E2079="",E2079="!!!",F2079="NEW"),"",INDEX(B$2:B2078,-1+SUMPRODUCT(MAX(ROW(E$2:E2078)*(E2079=E$2:E2078)))))</f>
        <v/>
      </c>
      <c r="J2079" s="14" t="str">
        <f aca="true">IF(OR(E2079="",E2079="!!!",F2079="NEW"),"",COUNTBLANK(OFFSET(A$1,,,SUMPRODUCT(MAX(ROW(E$2:E2079)*(E2079=E$2:E2079)))))-COUNTBLANK(OFFSET(A$1,,,SUMPRODUCT(MAX(ROW(E$1:E2078)*(E2079=E$1:E2078))))))</f>
        <v/>
      </c>
      <c r="K2079" s="14" t="str">
        <f aca="false">IF(OR(E2079="",E2079="!!!",F2079="NEW"),"",INDEX(J$1:J2078,SUMPRODUCT(MAX(ROW(E$1:E2078)*(E2079=E$1:E2078)))))</f>
        <v/>
      </c>
      <c r="L2079" s="15"/>
    </row>
    <row r="2080" customFormat="false" ht="12.75" hidden="false" customHeight="false" outlineLevel="0" collapsed="false">
      <c r="A2080" s="0" t="s">
        <v>88</v>
      </c>
      <c r="E2080" s="9" t="str">
        <f aca="false">IF(D2080="?OLD","!!!","")</f>
        <v/>
      </c>
      <c r="F2080" s="10" t="str">
        <f aca="false">IF(OR(E2080="",E2080="!!!"),"",IF(NOT(ISNA(VLOOKUP(E2080,E$1:E2079,1,FALSE()))),"OLD",IF(AND(E2080&lt;&gt;"",E2080&lt;&gt;"!!!"),"NEW","")))</f>
        <v/>
      </c>
      <c r="G2080" s="11" t="str">
        <f aca="false">IF(OR(E2080="",E2080="!!!"),"",IF(OR(J2080=0,AND(J2080=1,K2080=1),AND(J2080=1,I2080="SBJ"),AND(J2080=1,I2080=0)),"?IN_FOCUS",IF(J2080&lt;=2,"?ACTIVATED",IF(J2080&lt;&gt;"","?FAMILIAR",IF(F2080="NEW",IF(ISNA(VLOOKUP(E2080,#REF!,1,FALSE())),"?TYPE_IDENTIFIABLE","?REFERENTIAL"),"_")))))</f>
        <v/>
      </c>
      <c r="H2080" s="12" t="str">
        <f aca="false">IF(J2080&lt;&gt;1,"",IF(I2080="SBJ","CB","?"))</f>
        <v/>
      </c>
      <c r="I2080" s="13" t="str">
        <f aca="false">IF(OR(E2080="",E2080="!!!",F2080="NEW"),"",INDEX(B$2:B2079,-1+SUMPRODUCT(MAX(ROW(E$2:E2079)*(E2080=E$2:E2079)))))</f>
        <v/>
      </c>
      <c r="J2080" s="14" t="str">
        <f aca="true">IF(OR(E2080="",E2080="!!!",F2080="NEW"),"",COUNTBLANK(OFFSET(A$1,,,SUMPRODUCT(MAX(ROW(E$2:E2080)*(E2080=E$2:E2080)))))-COUNTBLANK(OFFSET(A$1,,,SUMPRODUCT(MAX(ROW(E$1:E2079)*(E2080=E$1:E2079))))))</f>
        <v/>
      </c>
      <c r="K2080" s="14" t="str">
        <f aca="false">IF(OR(E2080="",E2080="!!!",F2080="NEW"),"",INDEX(J$1:J2079,SUMPRODUCT(MAX(ROW(E$1:E2079)*(E2080=E$1:E2079)))))</f>
        <v/>
      </c>
      <c r="L2080" s="15"/>
    </row>
    <row r="2081" customFormat="false" ht="12.75" hidden="false" customHeight="false" outlineLevel="0" collapsed="false">
      <c r="A2081" s="0" t="s">
        <v>53</v>
      </c>
      <c r="B2081" s="0" t="s">
        <v>28</v>
      </c>
      <c r="C2081" s="0" t="s">
        <v>55</v>
      </c>
      <c r="D2081" s="0" t="s">
        <v>29</v>
      </c>
      <c r="E2081" s="9" t="str">
        <f aca="false">IF(D2081="?OLD","!!!","")</f>
        <v>!!!</v>
      </c>
      <c r="F2081" s="10" t="str">
        <f aca="false">IF(OR(E2081="",E2081="!!!"),"",IF(NOT(ISNA(VLOOKUP(E2081,E$1:E2080,1,FALSE()))),"OLD",IF(AND(E2081&lt;&gt;"",E2081&lt;&gt;"!!!"),"NEW","")))</f>
        <v/>
      </c>
      <c r="G2081" s="11" t="str">
        <f aca="false">IF(OR(E2081="",E2081="!!!"),"",IF(OR(J2081=0,AND(J2081=1,K2081=1),AND(J2081=1,I2081="SBJ"),AND(J2081=1,I2081=0)),"?IN_FOCUS",IF(J2081&lt;=2,"?ACTIVATED",IF(J2081&lt;&gt;"","?FAMILIAR",IF(F2081="NEW",IF(ISNA(VLOOKUP(E2081,#REF!,1,FALSE())),"?TYPE_IDENTIFIABLE","?REFERENTIAL"),"_")))))</f>
        <v/>
      </c>
      <c r="H2081" s="12" t="str">
        <f aca="false">IF(J2081&lt;&gt;1,"",IF(I2081="SBJ","CB","?"))</f>
        <v/>
      </c>
      <c r="I2081" s="13" t="str">
        <f aca="false">IF(OR(E2081="",E2081="!!!",F2081="NEW"),"",INDEX(B$2:B2080,-1+SUMPRODUCT(MAX(ROW(E$2:E2080)*(E2081=E$2:E2080)))))</f>
        <v/>
      </c>
      <c r="J2081" s="14" t="str">
        <f aca="true">IF(OR(E2081="",E2081="!!!",F2081="NEW"),"",COUNTBLANK(OFFSET(A$1,,,SUMPRODUCT(MAX(ROW(E$2:E2081)*(E2081=E$2:E2081)))))-COUNTBLANK(OFFSET(A$1,,,SUMPRODUCT(MAX(ROW(E$1:E2080)*(E2081=E$1:E2080))))))</f>
        <v/>
      </c>
      <c r="K2081" s="14" t="str">
        <f aca="false">IF(OR(E2081="",E2081="!!!",F2081="NEW"),"",INDEX(J$1:J2080,SUMPRODUCT(MAX(ROW(E$1:E2080)*(E2081=E$1:E2080)))))</f>
        <v/>
      </c>
      <c r="L2081" s="15"/>
    </row>
    <row r="2082" customFormat="false" ht="12.75" hidden="false" customHeight="false" outlineLevel="0" collapsed="false">
      <c r="A2082" s="0" t="s">
        <v>814</v>
      </c>
      <c r="B2082" s="0" t="s">
        <v>62</v>
      </c>
      <c r="C2082" s="0" t="s">
        <v>15</v>
      </c>
      <c r="D2082" s="0" t="s">
        <v>29</v>
      </c>
      <c r="E2082" s="9" t="str">
        <f aca="false">IF(D2082="?OLD","!!!","")</f>
        <v>!!!</v>
      </c>
      <c r="F2082" s="10" t="str">
        <f aca="false">IF(OR(E2082="",E2082="!!!"),"",IF(NOT(ISNA(VLOOKUP(E2082,E$1:E2081,1,FALSE()))),"OLD",IF(AND(E2082&lt;&gt;"",E2082&lt;&gt;"!!!"),"NEW","")))</f>
        <v/>
      </c>
      <c r="G2082" s="11" t="str">
        <f aca="false">IF(OR(E2082="",E2082="!!!"),"",IF(OR(J2082=0,AND(J2082=1,K2082=1),AND(J2082=1,I2082="SBJ"),AND(J2082=1,I2082=0)),"?IN_FOCUS",IF(J2082&lt;=2,"?ACTIVATED",IF(J2082&lt;&gt;"","?FAMILIAR",IF(F2082="NEW",IF(ISNA(VLOOKUP(E2082,#REF!,1,FALSE())),"?TYPE_IDENTIFIABLE","?REFERENTIAL"),"_")))))</f>
        <v/>
      </c>
      <c r="H2082" s="12" t="str">
        <f aca="false">IF(J2082&lt;&gt;1,"",IF(I2082="SBJ","CB","?"))</f>
        <v/>
      </c>
      <c r="I2082" s="13" t="str">
        <f aca="false">IF(OR(E2082="",E2082="!!!",F2082="NEW"),"",INDEX(B$2:B2081,-1+SUMPRODUCT(MAX(ROW(E$2:E2081)*(E2082=E$2:E2081)))))</f>
        <v/>
      </c>
      <c r="J2082" s="14" t="str">
        <f aca="true">IF(OR(E2082="",E2082="!!!",F2082="NEW"),"",COUNTBLANK(OFFSET(A$1,,,SUMPRODUCT(MAX(ROW(E$2:E2082)*(E2082=E$2:E2082)))))-COUNTBLANK(OFFSET(A$1,,,SUMPRODUCT(MAX(ROW(E$1:E2081)*(E2082=E$1:E2081))))))</f>
        <v/>
      </c>
      <c r="K2082" s="14" t="str">
        <f aca="false">IF(OR(E2082="",E2082="!!!",F2082="NEW"),"",INDEX(J$1:J2081,SUMPRODUCT(MAX(ROW(E$1:E2081)*(E2082=E$1:E2081)))))</f>
        <v/>
      </c>
      <c r="L2082" s="15"/>
    </row>
    <row r="2083" customFormat="false" ht="12.75" hidden="false" customHeight="false" outlineLevel="0" collapsed="false">
      <c r="A2083" s="0" t="s">
        <v>815</v>
      </c>
      <c r="E2083" s="9" t="str">
        <f aca="false">IF(D2083="?OLD","!!!","")</f>
        <v/>
      </c>
      <c r="F2083" s="10" t="str">
        <f aca="false">IF(OR(E2083="",E2083="!!!"),"",IF(NOT(ISNA(VLOOKUP(E2083,E$1:E2082,1,FALSE()))),"OLD",IF(AND(E2083&lt;&gt;"",E2083&lt;&gt;"!!!"),"NEW","")))</f>
        <v/>
      </c>
      <c r="G2083" s="11" t="str">
        <f aca="false">IF(OR(E2083="",E2083="!!!"),"",IF(OR(J2083=0,AND(J2083=1,K2083=1),AND(J2083=1,I2083="SBJ"),AND(J2083=1,I2083=0)),"?IN_FOCUS",IF(J2083&lt;=2,"?ACTIVATED",IF(J2083&lt;&gt;"","?FAMILIAR",IF(F2083="NEW",IF(ISNA(VLOOKUP(E2083,#REF!,1,FALSE())),"?TYPE_IDENTIFIABLE","?REFERENTIAL"),"_")))))</f>
        <v/>
      </c>
      <c r="H2083" s="12" t="str">
        <f aca="false">IF(J2083&lt;&gt;1,"",IF(I2083="SBJ","CB","?"))</f>
        <v/>
      </c>
      <c r="I2083" s="13" t="str">
        <f aca="false">IF(OR(E2083="",E2083="!!!",F2083="NEW"),"",INDEX(B$2:B2082,-1+SUMPRODUCT(MAX(ROW(E$2:E2082)*(E2083=E$2:E2082)))))</f>
        <v/>
      </c>
      <c r="J2083" s="14" t="str">
        <f aca="true">IF(OR(E2083="",E2083="!!!",F2083="NEW"),"",COUNTBLANK(OFFSET(A$1,,,SUMPRODUCT(MAX(ROW(E$2:E2083)*(E2083=E$2:E2083)))))-COUNTBLANK(OFFSET(A$1,,,SUMPRODUCT(MAX(ROW(E$1:E2082)*(E2083=E$1:E2082))))))</f>
        <v/>
      </c>
      <c r="K2083" s="14" t="str">
        <f aca="false">IF(OR(E2083="",E2083="!!!",F2083="NEW"),"",INDEX(J$1:J2082,SUMPRODUCT(MAX(ROW(E$1:E2082)*(E2083=E$1:E2082)))))</f>
        <v/>
      </c>
      <c r="L2083" s="15"/>
    </row>
    <row r="2084" customFormat="false" ht="12.75" hidden="false" customHeight="false" outlineLevel="0" collapsed="false">
      <c r="A2084" s="0" t="s">
        <v>136</v>
      </c>
      <c r="E2084" s="9" t="str">
        <f aca="false">IF(D2084="?OLD","!!!","")</f>
        <v/>
      </c>
      <c r="F2084" s="10" t="str">
        <f aca="false">IF(OR(E2084="",E2084="!!!"),"",IF(NOT(ISNA(VLOOKUP(E2084,E$1:E2083,1,FALSE()))),"OLD",IF(AND(E2084&lt;&gt;"",E2084&lt;&gt;"!!!"),"NEW","")))</f>
        <v/>
      </c>
      <c r="G2084" s="11" t="str">
        <f aca="false">IF(OR(E2084="",E2084="!!!"),"",IF(OR(J2084=0,AND(J2084=1,K2084=1),AND(J2084=1,I2084="SBJ"),AND(J2084=1,I2084=0)),"?IN_FOCUS",IF(J2084&lt;=2,"?ACTIVATED",IF(J2084&lt;&gt;"","?FAMILIAR",IF(F2084="NEW",IF(ISNA(VLOOKUP(E2084,#REF!,1,FALSE())),"?TYPE_IDENTIFIABLE","?REFERENTIAL"),"_")))))</f>
        <v/>
      </c>
      <c r="H2084" s="12" t="str">
        <f aca="false">IF(J2084&lt;&gt;1,"",IF(I2084="SBJ","CB","?"))</f>
        <v/>
      </c>
      <c r="I2084" s="13" t="str">
        <f aca="false">IF(OR(E2084="",E2084="!!!",F2084="NEW"),"",INDEX(B$2:B2083,-1+SUMPRODUCT(MAX(ROW(E$2:E2083)*(E2084=E$2:E2083)))))</f>
        <v/>
      </c>
      <c r="J2084" s="14" t="str">
        <f aca="true">IF(OR(E2084="",E2084="!!!",F2084="NEW"),"",COUNTBLANK(OFFSET(A$1,,,SUMPRODUCT(MAX(ROW(E$2:E2084)*(E2084=E$2:E2084)))))-COUNTBLANK(OFFSET(A$1,,,SUMPRODUCT(MAX(ROW(E$1:E2083)*(E2084=E$1:E2083))))))</f>
        <v/>
      </c>
      <c r="K2084" s="14" t="str">
        <f aca="false">IF(OR(E2084="",E2084="!!!",F2084="NEW"),"",INDEX(J$1:J2083,SUMPRODUCT(MAX(ROW(E$1:E2083)*(E2084=E$1:E2083)))))</f>
        <v/>
      </c>
      <c r="L2084" s="15"/>
    </row>
    <row r="2085" customFormat="false" ht="12.75" hidden="false" customHeight="false" outlineLevel="0" collapsed="false">
      <c r="A2085" s="0" t="s">
        <v>816</v>
      </c>
      <c r="B2085" s="0" t="s">
        <v>22</v>
      </c>
      <c r="C2085" s="0" t="s">
        <v>120</v>
      </c>
      <c r="E2085" s="9" t="str">
        <f aca="false">IF(D2085="?OLD","!!!","")</f>
        <v/>
      </c>
      <c r="F2085" s="10" t="str">
        <f aca="false">IF(OR(E2085="",E2085="!!!"),"",IF(NOT(ISNA(VLOOKUP(E2085,E$1:E2084,1,FALSE()))),"OLD",IF(AND(E2085&lt;&gt;"",E2085&lt;&gt;"!!!"),"NEW","")))</f>
        <v/>
      </c>
      <c r="G2085" s="11" t="str">
        <f aca="false">IF(OR(E2085="",E2085="!!!"),"",IF(OR(J2085=0,AND(J2085=1,K2085=1),AND(J2085=1,I2085="SBJ"),AND(J2085=1,I2085=0)),"?IN_FOCUS",IF(J2085&lt;=2,"?ACTIVATED",IF(J2085&lt;&gt;"","?FAMILIAR",IF(F2085="NEW",IF(ISNA(VLOOKUP(E2085,#REF!,1,FALSE())),"?TYPE_IDENTIFIABLE","?REFERENTIAL"),"_")))))</f>
        <v/>
      </c>
      <c r="H2085" s="12" t="str">
        <f aca="false">IF(J2085&lt;&gt;1,"",IF(I2085="SBJ","CB","?"))</f>
        <v/>
      </c>
      <c r="I2085" s="13" t="str">
        <f aca="false">IF(OR(E2085="",E2085="!!!",F2085="NEW"),"",INDEX(B$2:B2084,-1+SUMPRODUCT(MAX(ROW(E$2:E2084)*(E2085=E$2:E2084)))))</f>
        <v/>
      </c>
      <c r="J2085" s="14" t="str">
        <f aca="true">IF(OR(E2085="",E2085="!!!",F2085="NEW"),"",COUNTBLANK(OFFSET(A$1,,,SUMPRODUCT(MAX(ROW(E$2:E2085)*(E2085=E$2:E2085)))))-COUNTBLANK(OFFSET(A$1,,,SUMPRODUCT(MAX(ROW(E$1:E2084)*(E2085=E$1:E2084))))))</f>
        <v/>
      </c>
      <c r="K2085" s="14" t="str">
        <f aca="false">IF(OR(E2085="",E2085="!!!",F2085="NEW"),"",INDEX(J$1:J2084,SUMPRODUCT(MAX(ROW(E$1:E2084)*(E2085=E$1:E2084)))))</f>
        <v/>
      </c>
      <c r="L2085" s="15"/>
    </row>
    <row r="2086" customFormat="false" ht="12.75" hidden="false" customHeight="false" outlineLevel="0" collapsed="false">
      <c r="A2086" s="0" t="s">
        <v>73</v>
      </c>
      <c r="E2086" s="9" t="str">
        <f aca="false">IF(D2086="?OLD","!!!","")</f>
        <v/>
      </c>
      <c r="F2086" s="10" t="str">
        <f aca="false">IF(OR(E2086="",E2086="!!!"),"",IF(NOT(ISNA(VLOOKUP(E2086,E$1:E2085,1,FALSE()))),"OLD",IF(AND(E2086&lt;&gt;"",E2086&lt;&gt;"!!!"),"NEW","")))</f>
        <v/>
      </c>
      <c r="G2086" s="11" t="str">
        <f aca="false">IF(OR(E2086="",E2086="!!!"),"",IF(OR(J2086=0,AND(J2086=1,K2086=1),AND(J2086=1,I2086="SBJ"),AND(J2086=1,I2086=0)),"?IN_FOCUS",IF(J2086&lt;=2,"?ACTIVATED",IF(J2086&lt;&gt;"","?FAMILIAR",IF(F2086="NEW",IF(ISNA(VLOOKUP(E2086,#REF!,1,FALSE())),"?TYPE_IDENTIFIABLE","?REFERENTIAL"),"_")))))</f>
        <v/>
      </c>
      <c r="H2086" s="12" t="str">
        <f aca="false">IF(J2086&lt;&gt;1,"",IF(I2086="SBJ","CB","?"))</f>
        <v/>
      </c>
      <c r="I2086" s="13" t="str">
        <f aca="false">IF(OR(E2086="",E2086="!!!",F2086="NEW"),"",INDEX(B$2:B2085,-1+SUMPRODUCT(MAX(ROW(E$2:E2085)*(E2086=E$2:E2085)))))</f>
        <v/>
      </c>
      <c r="J2086" s="14" t="str">
        <f aca="true">IF(OR(E2086="",E2086="!!!",F2086="NEW"),"",COUNTBLANK(OFFSET(A$1,,,SUMPRODUCT(MAX(ROW(E$2:E2086)*(E2086=E$2:E2086)))))-COUNTBLANK(OFFSET(A$1,,,SUMPRODUCT(MAX(ROW(E$1:E2085)*(E2086=E$1:E2085))))))</f>
        <v/>
      </c>
      <c r="K2086" s="14" t="str">
        <f aca="false">IF(OR(E2086="",E2086="!!!",F2086="NEW"),"",INDEX(J$1:J2085,SUMPRODUCT(MAX(ROW(E$1:E2085)*(E2086=E$1:E2085)))))</f>
        <v/>
      </c>
      <c r="L2086" s="15"/>
    </row>
    <row r="2087" customFormat="false" ht="12.75" hidden="false" customHeight="false" outlineLevel="0" collapsed="false">
      <c r="E2087" s="9" t="str">
        <f aca="false">IF(D2087="?OLD","!!!","")</f>
        <v/>
      </c>
      <c r="F2087" s="10" t="str">
        <f aca="false">IF(OR(E2087="",E2087="!!!"),"",IF(NOT(ISNA(VLOOKUP(E2087,E$1:E2086,1,FALSE()))),"OLD",IF(AND(E2087&lt;&gt;"",E2087&lt;&gt;"!!!"),"NEW","")))</f>
        <v/>
      </c>
      <c r="G2087" s="11" t="str">
        <f aca="false">IF(OR(E2087="",E2087="!!!"),"",IF(OR(J2087=0,AND(J2087=1,K2087=1),AND(J2087=1,I2087="SBJ"),AND(J2087=1,I2087=0)),"?IN_FOCUS",IF(J2087&lt;=2,"?ACTIVATED",IF(J2087&lt;&gt;"","?FAMILIAR",IF(F2087="NEW",IF(ISNA(VLOOKUP(E2087,#REF!,1,FALSE())),"?TYPE_IDENTIFIABLE","?REFERENTIAL"),"_")))))</f>
        <v/>
      </c>
      <c r="H2087" s="12" t="str">
        <f aca="false">IF(J2087&lt;&gt;1,"",IF(I2087="SBJ","CB","?"))</f>
        <v/>
      </c>
      <c r="I2087" s="13" t="str">
        <f aca="false">IF(OR(E2087="",E2087="!!!",F2087="NEW"),"",INDEX(B$2:B2086,-1+SUMPRODUCT(MAX(ROW(E$2:E2086)*(E2087=E$2:E2086)))))</f>
        <v/>
      </c>
      <c r="J2087" s="14" t="str">
        <f aca="true">IF(OR(E2087="",E2087="!!!",F2087="NEW"),"",COUNTBLANK(OFFSET(A$1,,,SUMPRODUCT(MAX(ROW(E$2:E2087)*(E2087=E$2:E2087)))))-COUNTBLANK(OFFSET(A$1,,,SUMPRODUCT(MAX(ROW(E$1:E2086)*(E2087=E$1:E2086))))))</f>
        <v/>
      </c>
      <c r="K2087" s="14" t="str">
        <f aca="false">IF(OR(E2087="",E2087="!!!",F2087="NEW"),"",INDEX(J$1:J2086,SUMPRODUCT(MAX(ROW(E$1:E2086)*(E2087=E$1:E2086)))))</f>
        <v/>
      </c>
      <c r="L2087" s="15"/>
    </row>
    <row r="2088" customFormat="false" ht="12.75" hidden="false" customHeight="false" outlineLevel="0" collapsed="false">
      <c r="A2088" s="0" t="s">
        <v>817</v>
      </c>
      <c r="E2088" s="9" t="str">
        <f aca="false">IF(D2088="?OLD","!!!","")</f>
        <v/>
      </c>
      <c r="F2088" s="10" t="str">
        <f aca="false">IF(OR(E2088="",E2088="!!!"),"",IF(NOT(ISNA(VLOOKUP(E2088,E$1:E2087,1,FALSE()))),"OLD",IF(AND(E2088&lt;&gt;"",E2088&lt;&gt;"!!!"),"NEW","")))</f>
        <v/>
      </c>
      <c r="G2088" s="11" t="str">
        <f aca="false">IF(OR(E2088="",E2088="!!!"),"",IF(OR(J2088=0,AND(J2088=1,K2088=1),AND(J2088=1,I2088="SBJ"),AND(J2088=1,I2088=0)),"?IN_FOCUS",IF(J2088&lt;=2,"?ACTIVATED",IF(J2088&lt;&gt;"","?FAMILIAR",IF(F2088="NEW",IF(ISNA(VLOOKUP(E2088,#REF!,1,FALSE())),"?TYPE_IDENTIFIABLE","?REFERENTIAL"),"_")))))</f>
        <v/>
      </c>
      <c r="H2088" s="12" t="str">
        <f aca="false">IF(J2088&lt;&gt;1,"",IF(I2088="SBJ","CB","?"))</f>
        <v/>
      </c>
      <c r="I2088" s="13" t="str">
        <f aca="false">IF(OR(E2088="",E2088="!!!",F2088="NEW"),"",INDEX(B$2:B2087,-1+SUMPRODUCT(MAX(ROW(E$2:E2087)*(E2088=E$2:E2087)))))</f>
        <v/>
      </c>
      <c r="J2088" s="14" t="str">
        <f aca="true">IF(OR(E2088="",E2088="!!!",F2088="NEW"),"",COUNTBLANK(OFFSET(A$1,,,SUMPRODUCT(MAX(ROW(E$2:E2088)*(E2088=E$2:E2088)))))-COUNTBLANK(OFFSET(A$1,,,SUMPRODUCT(MAX(ROW(E$1:E2087)*(E2088=E$1:E2087))))))</f>
        <v/>
      </c>
      <c r="K2088" s="14" t="str">
        <f aca="false">IF(OR(E2088="",E2088="!!!",F2088="NEW"),"",INDEX(J$1:J2087,SUMPRODUCT(MAX(ROW(E$1:E2087)*(E2088=E$1:E2087)))))</f>
        <v/>
      </c>
      <c r="L2088" s="15"/>
    </row>
    <row r="2089" customFormat="false" ht="12.75" hidden="false" customHeight="false" outlineLevel="0" collapsed="false">
      <c r="A2089" s="0" t="s">
        <v>734</v>
      </c>
      <c r="E2089" s="9" t="str">
        <f aca="false">IF(D2089="?OLD","!!!","")</f>
        <v/>
      </c>
      <c r="F2089" s="10" t="str">
        <f aca="false">IF(OR(E2089="",E2089="!!!"),"",IF(NOT(ISNA(VLOOKUP(E2089,E$1:E2088,1,FALSE()))),"OLD",IF(AND(E2089&lt;&gt;"",E2089&lt;&gt;"!!!"),"NEW","")))</f>
        <v/>
      </c>
      <c r="G2089" s="11" t="str">
        <f aca="false">IF(OR(E2089="",E2089="!!!"),"",IF(OR(J2089=0,AND(J2089=1,K2089=1),AND(J2089=1,I2089="SBJ"),AND(J2089=1,I2089=0)),"?IN_FOCUS",IF(J2089&lt;=2,"?ACTIVATED",IF(J2089&lt;&gt;"","?FAMILIAR",IF(F2089="NEW",IF(ISNA(VLOOKUP(E2089,#REF!,1,FALSE())),"?TYPE_IDENTIFIABLE","?REFERENTIAL"),"_")))))</f>
        <v/>
      </c>
      <c r="H2089" s="12" t="str">
        <f aca="false">IF(J2089&lt;&gt;1,"",IF(I2089="SBJ","CB","?"))</f>
        <v/>
      </c>
      <c r="I2089" s="13" t="str">
        <f aca="false">IF(OR(E2089="",E2089="!!!",F2089="NEW"),"",INDEX(B$2:B2088,-1+SUMPRODUCT(MAX(ROW(E$2:E2088)*(E2089=E$2:E2088)))))</f>
        <v/>
      </c>
      <c r="J2089" s="14" t="str">
        <f aca="true">IF(OR(E2089="",E2089="!!!",F2089="NEW"),"",COUNTBLANK(OFFSET(A$1,,,SUMPRODUCT(MAX(ROW(E$2:E2089)*(E2089=E$2:E2089)))))-COUNTBLANK(OFFSET(A$1,,,SUMPRODUCT(MAX(ROW(E$1:E2088)*(E2089=E$1:E2088))))))</f>
        <v/>
      </c>
      <c r="K2089" s="14" t="str">
        <f aca="false">IF(OR(E2089="",E2089="!!!",F2089="NEW"),"",INDEX(J$1:J2088,SUMPRODUCT(MAX(ROW(E$1:E2088)*(E2089=E$1:E2088)))))</f>
        <v/>
      </c>
      <c r="L2089" s="15"/>
    </row>
    <row r="2090" customFormat="false" ht="12.75" hidden="false" customHeight="false" outlineLevel="0" collapsed="false">
      <c r="A2090" s="0" t="s">
        <v>66</v>
      </c>
      <c r="E2090" s="9" t="str">
        <f aca="false">IF(D2090="?OLD","!!!","")</f>
        <v/>
      </c>
      <c r="F2090" s="10" t="str">
        <f aca="false">IF(OR(E2090="",E2090="!!!"),"",IF(NOT(ISNA(VLOOKUP(E2090,E$1:E2089,1,FALSE()))),"OLD",IF(AND(E2090&lt;&gt;"",E2090&lt;&gt;"!!!"),"NEW","")))</f>
        <v/>
      </c>
      <c r="G2090" s="11" t="str">
        <f aca="false">IF(OR(E2090="",E2090="!!!"),"",IF(OR(J2090=0,AND(J2090=1,K2090=1),AND(J2090=1,I2090="SBJ"),AND(J2090=1,I2090=0)),"?IN_FOCUS",IF(J2090&lt;=2,"?ACTIVATED",IF(J2090&lt;&gt;"","?FAMILIAR",IF(F2090="NEW",IF(ISNA(VLOOKUP(E2090,#REF!,1,FALSE())),"?TYPE_IDENTIFIABLE","?REFERENTIAL"),"_")))))</f>
        <v/>
      </c>
      <c r="H2090" s="12" t="str">
        <f aca="false">IF(J2090&lt;&gt;1,"",IF(I2090="SBJ","CB","?"))</f>
        <v/>
      </c>
      <c r="I2090" s="13" t="str">
        <f aca="false">IF(OR(E2090="",E2090="!!!",F2090="NEW"),"",INDEX(B$2:B2089,-1+SUMPRODUCT(MAX(ROW(E$2:E2089)*(E2090=E$2:E2089)))))</f>
        <v/>
      </c>
      <c r="J2090" s="14" t="str">
        <f aca="true">IF(OR(E2090="",E2090="!!!",F2090="NEW"),"",COUNTBLANK(OFFSET(A$1,,,SUMPRODUCT(MAX(ROW(E$2:E2090)*(E2090=E$2:E2090)))))-COUNTBLANK(OFFSET(A$1,,,SUMPRODUCT(MAX(ROW(E$1:E2089)*(E2090=E$1:E2089))))))</f>
        <v/>
      </c>
      <c r="K2090" s="14" t="str">
        <f aca="false">IF(OR(E2090="",E2090="!!!",F2090="NEW"),"",INDEX(J$1:J2089,SUMPRODUCT(MAX(ROW(E$1:E2089)*(E2090=E$1:E2089)))))</f>
        <v/>
      </c>
      <c r="L2090" s="15"/>
    </row>
    <row r="2091" customFormat="false" ht="12.75" hidden="false" customHeight="false" outlineLevel="0" collapsed="false">
      <c r="A2091" s="0" t="s">
        <v>818</v>
      </c>
      <c r="E2091" s="9" t="str">
        <f aca="false">IF(D2091="?OLD","!!!","")</f>
        <v/>
      </c>
      <c r="F2091" s="10" t="str">
        <f aca="false">IF(OR(E2091="",E2091="!!!"),"",IF(NOT(ISNA(VLOOKUP(E2091,E$1:E2090,1,FALSE()))),"OLD",IF(AND(E2091&lt;&gt;"",E2091&lt;&gt;"!!!"),"NEW","")))</f>
        <v/>
      </c>
      <c r="G2091" s="11" t="str">
        <f aca="false">IF(OR(E2091="",E2091="!!!"),"",IF(OR(J2091=0,AND(J2091=1,K2091=1),AND(J2091=1,I2091="SBJ"),AND(J2091=1,I2091=0)),"?IN_FOCUS",IF(J2091&lt;=2,"?ACTIVATED",IF(J2091&lt;&gt;"","?FAMILIAR",IF(F2091="NEW",IF(ISNA(VLOOKUP(E2091,#REF!,1,FALSE())),"?TYPE_IDENTIFIABLE","?REFERENTIAL"),"_")))))</f>
        <v/>
      </c>
      <c r="H2091" s="12" t="str">
        <f aca="false">IF(J2091&lt;&gt;1,"",IF(I2091="SBJ","CB","?"))</f>
        <v/>
      </c>
      <c r="I2091" s="13" t="str">
        <f aca="false">IF(OR(E2091="",E2091="!!!",F2091="NEW"),"",INDEX(B$2:B2090,-1+SUMPRODUCT(MAX(ROW(E$2:E2090)*(E2091=E$2:E2090)))))</f>
        <v/>
      </c>
      <c r="J2091" s="14" t="str">
        <f aca="true">IF(OR(E2091="",E2091="!!!",F2091="NEW"),"",COUNTBLANK(OFFSET(A$1,,,SUMPRODUCT(MAX(ROW(E$2:E2091)*(E2091=E$2:E2091)))))-COUNTBLANK(OFFSET(A$1,,,SUMPRODUCT(MAX(ROW(E$1:E2090)*(E2091=E$1:E2090))))))</f>
        <v/>
      </c>
      <c r="K2091" s="14" t="str">
        <f aca="false">IF(OR(E2091="",E2091="!!!",F2091="NEW"),"",INDEX(J$1:J2090,SUMPRODUCT(MAX(ROW(E$1:E2090)*(E2091=E$1:E2090)))))</f>
        <v/>
      </c>
      <c r="L2091" s="15"/>
    </row>
    <row r="2092" customFormat="false" ht="12.75" hidden="false" customHeight="false" outlineLevel="0" collapsed="false">
      <c r="A2092" s="0" t="s">
        <v>67</v>
      </c>
      <c r="E2092" s="9" t="str">
        <f aca="false">IF(D2092="?OLD","!!!","")</f>
        <v/>
      </c>
      <c r="F2092" s="10" t="str">
        <f aca="false">IF(OR(E2092="",E2092="!!!"),"",IF(NOT(ISNA(VLOOKUP(E2092,E$1:E2091,1,FALSE()))),"OLD",IF(AND(E2092&lt;&gt;"",E2092&lt;&gt;"!!!"),"NEW","")))</f>
        <v/>
      </c>
      <c r="G2092" s="11" t="str">
        <f aca="false">IF(OR(E2092="",E2092="!!!"),"",IF(OR(J2092=0,AND(J2092=1,K2092=1),AND(J2092=1,I2092="SBJ"),AND(J2092=1,I2092=0)),"?IN_FOCUS",IF(J2092&lt;=2,"?ACTIVATED",IF(J2092&lt;&gt;"","?FAMILIAR",IF(F2092="NEW",IF(ISNA(VLOOKUP(E2092,#REF!,1,FALSE())),"?TYPE_IDENTIFIABLE","?REFERENTIAL"),"_")))))</f>
        <v/>
      </c>
      <c r="H2092" s="12" t="str">
        <f aca="false">IF(J2092&lt;&gt;1,"",IF(I2092="SBJ","CB","?"))</f>
        <v/>
      </c>
      <c r="I2092" s="13" t="str">
        <f aca="false">IF(OR(E2092="",E2092="!!!",F2092="NEW"),"",INDEX(B$2:B2091,-1+SUMPRODUCT(MAX(ROW(E$2:E2091)*(E2092=E$2:E2091)))))</f>
        <v/>
      </c>
      <c r="J2092" s="14" t="str">
        <f aca="true">IF(OR(E2092="",E2092="!!!",F2092="NEW"),"",COUNTBLANK(OFFSET(A$1,,,SUMPRODUCT(MAX(ROW(E$2:E2092)*(E2092=E$2:E2092)))))-COUNTBLANK(OFFSET(A$1,,,SUMPRODUCT(MAX(ROW(E$1:E2091)*(E2092=E$1:E2091))))))</f>
        <v/>
      </c>
      <c r="K2092" s="14" t="str">
        <f aca="false">IF(OR(E2092="",E2092="!!!",F2092="NEW"),"",INDEX(J$1:J2091,SUMPRODUCT(MAX(ROW(E$1:E2091)*(E2092=E$1:E2091)))))</f>
        <v/>
      </c>
      <c r="L2092" s="15"/>
    </row>
    <row r="2093" customFormat="false" ht="12.75" hidden="false" customHeight="false" outlineLevel="0" collapsed="false">
      <c r="A2093" s="0" t="s">
        <v>265</v>
      </c>
      <c r="B2093" s="0" t="s">
        <v>62</v>
      </c>
      <c r="C2093" s="0" t="s">
        <v>23</v>
      </c>
      <c r="D2093" s="0" t="s">
        <v>29</v>
      </c>
      <c r="E2093" s="9" t="str">
        <f aca="false">IF(D2093="?OLD","!!!","")</f>
        <v>!!!</v>
      </c>
      <c r="F2093" s="10" t="str">
        <f aca="false">IF(OR(E2093="",E2093="!!!"),"",IF(NOT(ISNA(VLOOKUP(E2093,E$1:E2092,1,FALSE()))),"OLD",IF(AND(E2093&lt;&gt;"",E2093&lt;&gt;"!!!"),"NEW","")))</f>
        <v/>
      </c>
      <c r="G2093" s="11" t="str">
        <f aca="false">IF(OR(E2093="",E2093="!!!"),"",IF(OR(J2093=0,AND(J2093=1,K2093=1),AND(J2093=1,I2093="SBJ"),AND(J2093=1,I2093=0)),"?IN_FOCUS",IF(J2093&lt;=2,"?ACTIVATED",IF(J2093&lt;&gt;"","?FAMILIAR",IF(F2093="NEW",IF(ISNA(VLOOKUP(E2093,#REF!,1,FALSE())),"?TYPE_IDENTIFIABLE","?REFERENTIAL"),"_")))))</f>
        <v/>
      </c>
      <c r="H2093" s="12" t="str">
        <f aca="false">IF(J2093&lt;&gt;1,"",IF(I2093="SBJ","CB","?"))</f>
        <v/>
      </c>
      <c r="I2093" s="13" t="str">
        <f aca="false">IF(OR(E2093="",E2093="!!!",F2093="NEW"),"",INDEX(B$2:B2092,-1+SUMPRODUCT(MAX(ROW(E$2:E2092)*(E2093=E$2:E2092)))))</f>
        <v/>
      </c>
      <c r="J2093" s="14" t="str">
        <f aca="true">IF(OR(E2093="",E2093="!!!",F2093="NEW"),"",COUNTBLANK(OFFSET(A$1,,,SUMPRODUCT(MAX(ROW(E$2:E2093)*(E2093=E$2:E2093)))))-COUNTBLANK(OFFSET(A$1,,,SUMPRODUCT(MAX(ROW(E$1:E2092)*(E2093=E$1:E2092))))))</f>
        <v/>
      </c>
      <c r="K2093" s="14" t="str">
        <f aca="false">IF(OR(E2093="",E2093="!!!",F2093="NEW"),"",INDEX(J$1:J2092,SUMPRODUCT(MAX(ROW(E$1:E2092)*(E2093=E$1:E2092)))))</f>
        <v/>
      </c>
      <c r="L2093" s="15"/>
    </row>
    <row r="2094" customFormat="false" ht="12.75" hidden="false" customHeight="false" outlineLevel="0" collapsed="false">
      <c r="A2094" s="0" t="s">
        <v>819</v>
      </c>
      <c r="E2094" s="9" t="str">
        <f aca="false">IF(D2094="?OLD","!!!","")</f>
        <v/>
      </c>
      <c r="F2094" s="10" t="str">
        <f aca="false">IF(OR(E2094="",E2094="!!!"),"",IF(NOT(ISNA(VLOOKUP(E2094,E$1:E2093,1,FALSE()))),"OLD",IF(AND(E2094&lt;&gt;"",E2094&lt;&gt;"!!!"),"NEW","")))</f>
        <v/>
      </c>
      <c r="G2094" s="11" t="str">
        <f aca="false">IF(OR(E2094="",E2094="!!!"),"",IF(OR(J2094=0,AND(J2094=1,K2094=1),AND(J2094=1,I2094="SBJ"),AND(J2094=1,I2094=0)),"?IN_FOCUS",IF(J2094&lt;=2,"?ACTIVATED",IF(J2094&lt;&gt;"","?FAMILIAR",IF(F2094="NEW",IF(ISNA(VLOOKUP(E2094,#REF!,1,FALSE())),"?TYPE_IDENTIFIABLE","?REFERENTIAL"),"_")))))</f>
        <v/>
      </c>
      <c r="H2094" s="12" t="str">
        <f aca="false">IF(J2094&lt;&gt;1,"",IF(I2094="SBJ","CB","?"))</f>
        <v/>
      </c>
      <c r="I2094" s="13" t="str">
        <f aca="false">IF(OR(E2094="",E2094="!!!",F2094="NEW"),"",INDEX(B$2:B2093,-1+SUMPRODUCT(MAX(ROW(E$2:E2093)*(E2094=E$2:E2093)))))</f>
        <v/>
      </c>
      <c r="J2094" s="14" t="str">
        <f aca="true">IF(OR(E2094="",E2094="!!!",F2094="NEW"),"",COUNTBLANK(OFFSET(A$1,,,SUMPRODUCT(MAX(ROW(E$2:E2094)*(E2094=E$2:E2094)))))-COUNTBLANK(OFFSET(A$1,,,SUMPRODUCT(MAX(ROW(E$1:E2093)*(E2094=E$1:E2093))))))</f>
        <v/>
      </c>
      <c r="K2094" s="14" t="str">
        <f aca="false">IF(OR(E2094="",E2094="!!!",F2094="NEW"),"",INDEX(J$1:J2093,SUMPRODUCT(MAX(ROW(E$1:E2093)*(E2094=E$1:E2093)))))</f>
        <v/>
      </c>
      <c r="L2094" s="15"/>
    </row>
    <row r="2095" customFormat="false" ht="12.75" hidden="false" customHeight="false" outlineLevel="0" collapsed="false">
      <c r="A2095" s="0" t="s">
        <v>40</v>
      </c>
      <c r="E2095" s="9" t="str">
        <f aca="false">IF(D2095="?OLD","!!!","")</f>
        <v/>
      </c>
      <c r="F2095" s="10" t="str">
        <f aca="false">IF(OR(E2095="",E2095="!!!"),"",IF(NOT(ISNA(VLOOKUP(E2095,E$1:E2094,1,FALSE()))),"OLD",IF(AND(E2095&lt;&gt;"",E2095&lt;&gt;"!!!"),"NEW","")))</f>
        <v/>
      </c>
      <c r="G2095" s="11" t="str">
        <f aca="false">IF(OR(E2095="",E2095="!!!"),"",IF(OR(J2095=0,AND(J2095=1,K2095=1),AND(J2095=1,I2095="SBJ"),AND(J2095=1,I2095=0)),"?IN_FOCUS",IF(J2095&lt;=2,"?ACTIVATED",IF(J2095&lt;&gt;"","?FAMILIAR",IF(F2095="NEW",IF(ISNA(VLOOKUP(E2095,#REF!,1,FALSE())),"?TYPE_IDENTIFIABLE","?REFERENTIAL"),"_")))))</f>
        <v/>
      </c>
      <c r="H2095" s="12" t="str">
        <f aca="false">IF(J2095&lt;&gt;1,"",IF(I2095="SBJ","CB","?"))</f>
        <v/>
      </c>
      <c r="I2095" s="13" t="str">
        <f aca="false">IF(OR(E2095="",E2095="!!!",F2095="NEW"),"",INDEX(B$2:B2094,-1+SUMPRODUCT(MAX(ROW(E$2:E2094)*(E2095=E$2:E2094)))))</f>
        <v/>
      </c>
      <c r="J2095" s="14" t="str">
        <f aca="true">IF(OR(E2095="",E2095="!!!",F2095="NEW"),"",COUNTBLANK(OFFSET(A$1,,,SUMPRODUCT(MAX(ROW(E$2:E2095)*(E2095=E$2:E2095)))))-COUNTBLANK(OFFSET(A$1,,,SUMPRODUCT(MAX(ROW(E$1:E2094)*(E2095=E$1:E2094))))))</f>
        <v/>
      </c>
      <c r="K2095" s="14" t="str">
        <f aca="false">IF(OR(E2095="",E2095="!!!",F2095="NEW"),"",INDEX(J$1:J2094,SUMPRODUCT(MAX(ROW(E$1:E2094)*(E2095=E$1:E2094)))))</f>
        <v/>
      </c>
      <c r="L2095" s="15"/>
    </row>
    <row r="2096" customFormat="false" ht="12.75" hidden="false" customHeight="false" outlineLevel="0" collapsed="false">
      <c r="A2096" s="0" t="s">
        <v>820</v>
      </c>
      <c r="B2096" s="0" t="s">
        <v>37</v>
      </c>
      <c r="C2096" s="0" t="s">
        <v>43</v>
      </c>
      <c r="E2096" s="9" t="str">
        <f aca="false">IF(D2096="?OLD","!!!","")</f>
        <v/>
      </c>
      <c r="F2096" s="10" t="str">
        <f aca="false">IF(OR(E2096="",E2096="!!!"),"",IF(NOT(ISNA(VLOOKUP(E2096,E$1:E2095,1,FALSE()))),"OLD",IF(AND(E2096&lt;&gt;"",E2096&lt;&gt;"!!!"),"NEW","")))</f>
        <v/>
      </c>
      <c r="G2096" s="11" t="str">
        <f aca="false">IF(OR(E2096="",E2096="!!!"),"",IF(OR(J2096=0,AND(J2096=1,K2096=1),AND(J2096=1,I2096="SBJ"),AND(J2096=1,I2096=0)),"?IN_FOCUS",IF(J2096&lt;=2,"?ACTIVATED",IF(J2096&lt;&gt;"","?FAMILIAR",IF(F2096="NEW",IF(ISNA(VLOOKUP(E2096,#REF!,1,FALSE())),"?TYPE_IDENTIFIABLE","?REFERENTIAL"),"_")))))</f>
        <v/>
      </c>
      <c r="H2096" s="12" t="str">
        <f aca="false">IF(J2096&lt;&gt;1,"",IF(I2096="SBJ","CB","?"))</f>
        <v/>
      </c>
      <c r="I2096" s="13" t="str">
        <f aca="false">IF(OR(E2096="",E2096="!!!",F2096="NEW"),"",INDEX(B$2:B2095,-1+SUMPRODUCT(MAX(ROW(E$2:E2095)*(E2096=E$2:E2095)))))</f>
        <v/>
      </c>
      <c r="J2096" s="14" t="str">
        <f aca="true">IF(OR(E2096="",E2096="!!!",F2096="NEW"),"",COUNTBLANK(OFFSET(A$1,,,SUMPRODUCT(MAX(ROW(E$2:E2096)*(E2096=E$2:E2096)))))-COUNTBLANK(OFFSET(A$1,,,SUMPRODUCT(MAX(ROW(E$1:E2095)*(E2096=E$1:E2095))))))</f>
        <v/>
      </c>
      <c r="K2096" s="14" t="str">
        <f aca="false">IF(OR(E2096="",E2096="!!!",F2096="NEW"),"",INDEX(J$1:J2095,SUMPRODUCT(MAX(ROW(E$1:E2095)*(E2096=E$1:E2095)))))</f>
        <v/>
      </c>
      <c r="L2096" s="15"/>
    </row>
    <row r="2097" customFormat="false" ht="12.75" hidden="false" customHeight="false" outlineLevel="0" collapsed="false">
      <c r="A2097" s="0" t="s">
        <v>19</v>
      </c>
      <c r="E2097" s="9" t="str">
        <f aca="false">IF(D2097="?OLD","!!!","")</f>
        <v/>
      </c>
      <c r="F2097" s="10" t="str">
        <f aca="false">IF(OR(E2097="",E2097="!!!"),"",IF(NOT(ISNA(VLOOKUP(E2097,E$1:E2096,1,FALSE()))),"OLD",IF(AND(E2097&lt;&gt;"",E2097&lt;&gt;"!!!"),"NEW","")))</f>
        <v/>
      </c>
      <c r="G2097" s="11" t="str">
        <f aca="false">IF(OR(E2097="",E2097="!!!"),"",IF(OR(J2097=0,AND(J2097=1,K2097=1),AND(J2097=1,I2097="SBJ"),AND(J2097=1,I2097=0)),"?IN_FOCUS",IF(J2097&lt;=2,"?ACTIVATED",IF(J2097&lt;&gt;"","?FAMILIAR",IF(F2097="NEW",IF(ISNA(VLOOKUP(E2097,#REF!,1,FALSE())),"?TYPE_IDENTIFIABLE","?REFERENTIAL"),"_")))))</f>
        <v/>
      </c>
      <c r="H2097" s="12" t="str">
        <f aca="false">IF(J2097&lt;&gt;1,"",IF(I2097="SBJ","CB","?"))</f>
        <v/>
      </c>
      <c r="I2097" s="13" t="str">
        <f aca="false">IF(OR(E2097="",E2097="!!!",F2097="NEW"),"",INDEX(B$2:B2096,-1+SUMPRODUCT(MAX(ROW(E$2:E2096)*(E2097=E$2:E2096)))))</f>
        <v/>
      </c>
      <c r="J2097" s="14" t="str">
        <f aca="true">IF(OR(E2097="",E2097="!!!",F2097="NEW"),"",COUNTBLANK(OFFSET(A$1,,,SUMPRODUCT(MAX(ROW(E$2:E2097)*(E2097=E$2:E2097)))))-COUNTBLANK(OFFSET(A$1,,,SUMPRODUCT(MAX(ROW(E$1:E2096)*(E2097=E$1:E2096))))))</f>
        <v/>
      </c>
      <c r="K2097" s="14" t="str">
        <f aca="false">IF(OR(E2097="",E2097="!!!",F2097="NEW"),"",INDEX(J$1:J2096,SUMPRODUCT(MAX(ROW(E$1:E2096)*(E2097=E$1:E2096)))))</f>
        <v/>
      </c>
      <c r="L2097" s="15"/>
    </row>
    <row r="2098" customFormat="false" ht="12.75" hidden="false" customHeight="false" outlineLevel="0" collapsed="false">
      <c r="A2098" s="0" t="s">
        <v>821</v>
      </c>
      <c r="B2098" s="0" t="s">
        <v>28</v>
      </c>
      <c r="C2098" s="0" t="s">
        <v>120</v>
      </c>
      <c r="E2098" s="9" t="str">
        <f aca="false">IF(D2098="?OLD","!!!","")</f>
        <v/>
      </c>
      <c r="F2098" s="10" t="str">
        <f aca="false">IF(OR(E2098="",E2098="!!!"),"",IF(NOT(ISNA(VLOOKUP(E2098,E$1:E2097,1,FALSE()))),"OLD",IF(AND(E2098&lt;&gt;"",E2098&lt;&gt;"!!!"),"NEW","")))</f>
        <v/>
      </c>
      <c r="G2098" s="11" t="str">
        <f aca="false">IF(OR(E2098="",E2098="!!!"),"",IF(OR(J2098=0,AND(J2098=1,K2098=1),AND(J2098=1,I2098="SBJ"),AND(J2098=1,I2098=0)),"?IN_FOCUS",IF(J2098&lt;=2,"?ACTIVATED",IF(J2098&lt;&gt;"","?FAMILIAR",IF(F2098="NEW",IF(ISNA(VLOOKUP(E2098,#REF!,1,FALSE())),"?TYPE_IDENTIFIABLE","?REFERENTIAL"),"_")))))</f>
        <v/>
      </c>
      <c r="H2098" s="12" t="str">
        <f aca="false">IF(J2098&lt;&gt;1,"",IF(I2098="SBJ","CB","?"))</f>
        <v/>
      </c>
      <c r="I2098" s="13" t="str">
        <f aca="false">IF(OR(E2098="",E2098="!!!",F2098="NEW"),"",INDEX(B$2:B2097,-1+SUMPRODUCT(MAX(ROW(E$2:E2097)*(E2098=E$2:E2097)))))</f>
        <v/>
      </c>
      <c r="J2098" s="14" t="str">
        <f aca="true">IF(OR(E2098="",E2098="!!!",F2098="NEW"),"",COUNTBLANK(OFFSET(A$1,,,SUMPRODUCT(MAX(ROW(E$2:E2098)*(E2098=E$2:E2098)))))-COUNTBLANK(OFFSET(A$1,,,SUMPRODUCT(MAX(ROW(E$1:E2097)*(E2098=E$1:E2097))))))</f>
        <v/>
      </c>
      <c r="K2098" s="14" t="str">
        <f aca="false">IF(OR(E2098="",E2098="!!!",F2098="NEW"),"",INDEX(J$1:J2097,SUMPRODUCT(MAX(ROW(E$1:E2097)*(E2098=E$1:E2097)))))</f>
        <v/>
      </c>
      <c r="L2098" s="15"/>
    </row>
    <row r="2099" customFormat="false" ht="12.75" hidden="false" customHeight="false" outlineLevel="0" collapsed="false">
      <c r="A2099" s="0" t="s">
        <v>88</v>
      </c>
      <c r="E2099" s="9" t="str">
        <f aca="false">IF(D2099="?OLD","!!!","")</f>
        <v/>
      </c>
      <c r="F2099" s="10" t="str">
        <f aca="false">IF(OR(E2099="",E2099="!!!"),"",IF(NOT(ISNA(VLOOKUP(E2099,E$1:E2098,1,FALSE()))),"OLD",IF(AND(E2099&lt;&gt;"",E2099&lt;&gt;"!!!"),"NEW","")))</f>
        <v/>
      </c>
      <c r="G2099" s="11" t="str">
        <f aca="false">IF(OR(E2099="",E2099="!!!"),"",IF(OR(J2099=0,AND(J2099=1,K2099=1),AND(J2099=1,I2099="SBJ"),AND(J2099=1,I2099=0)),"?IN_FOCUS",IF(J2099&lt;=2,"?ACTIVATED",IF(J2099&lt;&gt;"","?FAMILIAR",IF(F2099="NEW",IF(ISNA(VLOOKUP(E2099,#REF!,1,FALSE())),"?TYPE_IDENTIFIABLE","?REFERENTIAL"),"_")))))</f>
        <v/>
      </c>
      <c r="H2099" s="12" t="str">
        <f aca="false">IF(J2099&lt;&gt;1,"",IF(I2099="SBJ","CB","?"))</f>
        <v/>
      </c>
      <c r="I2099" s="13" t="str">
        <f aca="false">IF(OR(E2099="",E2099="!!!",F2099="NEW"),"",INDEX(B$2:B2098,-1+SUMPRODUCT(MAX(ROW(E$2:E2098)*(E2099=E$2:E2098)))))</f>
        <v/>
      </c>
      <c r="J2099" s="14" t="str">
        <f aca="true">IF(OR(E2099="",E2099="!!!",F2099="NEW"),"",COUNTBLANK(OFFSET(A$1,,,SUMPRODUCT(MAX(ROW(E$2:E2099)*(E2099=E$2:E2099)))))-COUNTBLANK(OFFSET(A$1,,,SUMPRODUCT(MAX(ROW(E$1:E2098)*(E2099=E$1:E2098))))))</f>
        <v/>
      </c>
      <c r="K2099" s="14" t="str">
        <f aca="false">IF(OR(E2099="",E2099="!!!",F2099="NEW"),"",INDEX(J$1:J2098,SUMPRODUCT(MAX(ROW(E$1:E2098)*(E2099=E$1:E2098)))))</f>
        <v/>
      </c>
      <c r="L2099" s="15"/>
    </row>
    <row r="2100" customFormat="false" ht="12.75" hidden="false" customHeight="false" outlineLevel="0" collapsed="false">
      <c r="A2100" s="0" t="s">
        <v>822</v>
      </c>
      <c r="E2100" s="9" t="str">
        <f aca="false">IF(D2100="?OLD","!!!","")</f>
        <v/>
      </c>
      <c r="F2100" s="10" t="str">
        <f aca="false">IF(OR(E2100="",E2100="!!!"),"",IF(NOT(ISNA(VLOOKUP(E2100,E$1:E2099,1,FALSE()))),"OLD",IF(AND(E2100&lt;&gt;"",E2100&lt;&gt;"!!!"),"NEW","")))</f>
        <v/>
      </c>
      <c r="G2100" s="11" t="str">
        <f aca="false">IF(OR(E2100="",E2100="!!!"),"",IF(OR(J2100=0,AND(J2100=1,K2100=1),AND(J2100=1,I2100="SBJ"),AND(J2100=1,I2100=0)),"?IN_FOCUS",IF(J2100&lt;=2,"?ACTIVATED",IF(J2100&lt;&gt;"","?FAMILIAR",IF(F2100="NEW",IF(ISNA(VLOOKUP(E2100,#REF!,1,FALSE())),"?TYPE_IDENTIFIABLE","?REFERENTIAL"),"_")))))</f>
        <v/>
      </c>
      <c r="H2100" s="12" t="str">
        <f aca="false">IF(J2100&lt;&gt;1,"",IF(I2100="SBJ","CB","?"))</f>
        <v/>
      </c>
      <c r="I2100" s="13" t="str">
        <f aca="false">IF(OR(E2100="",E2100="!!!",F2100="NEW"),"",INDEX(B$2:B2099,-1+SUMPRODUCT(MAX(ROW(E$2:E2099)*(E2100=E$2:E2099)))))</f>
        <v/>
      </c>
      <c r="J2100" s="14" t="str">
        <f aca="true">IF(OR(E2100="",E2100="!!!",F2100="NEW"),"",COUNTBLANK(OFFSET(A$1,,,SUMPRODUCT(MAX(ROW(E$2:E2100)*(E2100=E$2:E2100)))))-COUNTBLANK(OFFSET(A$1,,,SUMPRODUCT(MAX(ROW(E$1:E2099)*(E2100=E$1:E2099))))))</f>
        <v/>
      </c>
      <c r="K2100" s="14" t="str">
        <f aca="false">IF(OR(E2100="",E2100="!!!",F2100="NEW"),"",INDEX(J$1:J2099,SUMPRODUCT(MAX(ROW(E$1:E2099)*(E2100=E$1:E2099)))))</f>
        <v/>
      </c>
      <c r="L2100" s="15"/>
    </row>
    <row r="2101" customFormat="false" ht="12.75" hidden="false" customHeight="false" outlineLevel="0" collapsed="false">
      <c r="A2101" s="0" t="s">
        <v>823</v>
      </c>
      <c r="E2101" s="9" t="str">
        <f aca="false">IF(D2101="?OLD","!!!","")</f>
        <v/>
      </c>
      <c r="F2101" s="10" t="str">
        <f aca="false">IF(OR(E2101="",E2101="!!!"),"",IF(NOT(ISNA(VLOOKUP(E2101,E$1:E2100,1,FALSE()))),"OLD",IF(AND(E2101&lt;&gt;"",E2101&lt;&gt;"!!!"),"NEW","")))</f>
        <v/>
      </c>
      <c r="G2101" s="11" t="str">
        <f aca="false">IF(OR(E2101="",E2101="!!!"),"",IF(OR(J2101=0,AND(J2101=1,K2101=1),AND(J2101=1,I2101="SBJ"),AND(J2101=1,I2101=0)),"?IN_FOCUS",IF(J2101&lt;=2,"?ACTIVATED",IF(J2101&lt;&gt;"","?FAMILIAR",IF(F2101="NEW",IF(ISNA(VLOOKUP(E2101,#REF!,1,FALSE())),"?TYPE_IDENTIFIABLE","?REFERENTIAL"),"_")))))</f>
        <v/>
      </c>
      <c r="H2101" s="12" t="str">
        <f aca="false">IF(J2101&lt;&gt;1,"",IF(I2101="SBJ","CB","?"))</f>
        <v/>
      </c>
      <c r="I2101" s="13" t="str">
        <f aca="false">IF(OR(E2101="",E2101="!!!",F2101="NEW"),"",INDEX(B$2:B2100,-1+SUMPRODUCT(MAX(ROW(E$2:E2100)*(E2101=E$2:E2100)))))</f>
        <v/>
      </c>
      <c r="J2101" s="14" t="str">
        <f aca="true">IF(OR(E2101="",E2101="!!!",F2101="NEW"),"",COUNTBLANK(OFFSET(A$1,,,SUMPRODUCT(MAX(ROW(E$2:E2101)*(E2101=E$2:E2101)))))-COUNTBLANK(OFFSET(A$1,,,SUMPRODUCT(MAX(ROW(E$1:E2100)*(E2101=E$1:E2100))))))</f>
        <v/>
      </c>
      <c r="K2101" s="14" t="str">
        <f aca="false">IF(OR(E2101="",E2101="!!!",F2101="NEW"),"",INDEX(J$1:J2100,SUMPRODUCT(MAX(ROW(E$1:E2100)*(E2101=E$1:E2100)))))</f>
        <v/>
      </c>
      <c r="L2101" s="15"/>
    </row>
    <row r="2102" customFormat="false" ht="12.75" hidden="false" customHeight="false" outlineLevel="0" collapsed="false">
      <c r="A2102" s="0" t="s">
        <v>582</v>
      </c>
      <c r="B2102" s="0" t="s">
        <v>103</v>
      </c>
      <c r="C2102" s="0" t="s">
        <v>15</v>
      </c>
      <c r="D2102" s="0" t="s">
        <v>29</v>
      </c>
      <c r="E2102" s="9" t="str">
        <f aca="false">IF(D2102="?OLD","!!!","")</f>
        <v>!!!</v>
      </c>
      <c r="F2102" s="10" t="str">
        <f aca="false">IF(OR(E2102="",E2102="!!!"),"",IF(NOT(ISNA(VLOOKUP(E2102,E$1:E2101,1,FALSE()))),"OLD",IF(AND(E2102&lt;&gt;"",E2102&lt;&gt;"!!!"),"NEW","")))</f>
        <v/>
      </c>
      <c r="G2102" s="11" t="str">
        <f aca="false">IF(OR(E2102="",E2102="!!!"),"",IF(OR(J2102=0,AND(J2102=1,K2102=1),AND(J2102=1,I2102="SBJ"),AND(J2102=1,I2102=0)),"?IN_FOCUS",IF(J2102&lt;=2,"?ACTIVATED",IF(J2102&lt;&gt;"","?FAMILIAR",IF(F2102="NEW",IF(ISNA(VLOOKUP(E2102,#REF!,1,FALSE())),"?TYPE_IDENTIFIABLE","?REFERENTIAL"),"_")))))</f>
        <v/>
      </c>
      <c r="H2102" s="12" t="str">
        <f aca="false">IF(J2102&lt;&gt;1,"",IF(I2102="SBJ","CB","?"))</f>
        <v/>
      </c>
      <c r="I2102" s="13" t="str">
        <f aca="false">IF(OR(E2102="",E2102="!!!",F2102="NEW"),"",INDEX(B$2:B2101,-1+SUMPRODUCT(MAX(ROW(E$2:E2101)*(E2102=E$2:E2101)))))</f>
        <v/>
      </c>
      <c r="J2102" s="14" t="str">
        <f aca="true">IF(OR(E2102="",E2102="!!!",F2102="NEW"),"",COUNTBLANK(OFFSET(A$1,,,SUMPRODUCT(MAX(ROW(E$2:E2102)*(E2102=E$2:E2102)))))-COUNTBLANK(OFFSET(A$1,,,SUMPRODUCT(MAX(ROW(E$1:E2101)*(E2102=E$1:E2101))))))</f>
        <v/>
      </c>
      <c r="K2102" s="14" t="str">
        <f aca="false">IF(OR(E2102="",E2102="!!!",F2102="NEW"),"",INDEX(J$1:J2101,SUMPRODUCT(MAX(ROW(E$1:E2101)*(E2102=E$1:E2101)))))</f>
        <v/>
      </c>
      <c r="L2102" s="15"/>
    </row>
    <row r="2103" customFormat="false" ht="12.75" hidden="false" customHeight="false" outlineLevel="0" collapsed="false">
      <c r="A2103" s="0" t="s">
        <v>824</v>
      </c>
      <c r="E2103" s="9" t="str">
        <f aca="false">IF(D2103="?OLD","!!!","")</f>
        <v/>
      </c>
      <c r="F2103" s="10" t="str">
        <f aca="false">IF(OR(E2103="",E2103="!!!"),"",IF(NOT(ISNA(VLOOKUP(E2103,E$1:E2102,1,FALSE()))),"OLD",IF(AND(E2103&lt;&gt;"",E2103&lt;&gt;"!!!"),"NEW","")))</f>
        <v/>
      </c>
      <c r="G2103" s="11" t="str">
        <f aca="false">IF(OR(E2103="",E2103="!!!"),"",IF(OR(J2103=0,AND(J2103=1,K2103=1),AND(J2103=1,I2103="SBJ"),AND(J2103=1,I2103=0)),"?IN_FOCUS",IF(J2103&lt;=2,"?ACTIVATED",IF(J2103&lt;&gt;"","?FAMILIAR",IF(F2103="NEW",IF(ISNA(VLOOKUP(E2103,#REF!,1,FALSE())),"?TYPE_IDENTIFIABLE","?REFERENTIAL"),"_")))))</f>
        <v/>
      </c>
      <c r="H2103" s="12" t="str">
        <f aca="false">IF(J2103&lt;&gt;1,"",IF(I2103="SBJ","CB","?"))</f>
        <v/>
      </c>
      <c r="I2103" s="13" t="str">
        <f aca="false">IF(OR(E2103="",E2103="!!!",F2103="NEW"),"",INDEX(B$2:B2102,-1+SUMPRODUCT(MAX(ROW(E$2:E2102)*(E2103=E$2:E2102)))))</f>
        <v/>
      </c>
      <c r="J2103" s="14" t="str">
        <f aca="true">IF(OR(E2103="",E2103="!!!",F2103="NEW"),"",COUNTBLANK(OFFSET(A$1,,,SUMPRODUCT(MAX(ROW(E$2:E2103)*(E2103=E$2:E2103)))))-COUNTBLANK(OFFSET(A$1,,,SUMPRODUCT(MAX(ROW(E$1:E2102)*(E2103=E$1:E2102))))))</f>
        <v/>
      </c>
      <c r="K2103" s="14" t="str">
        <f aca="false">IF(OR(E2103="",E2103="!!!",F2103="NEW"),"",INDEX(J$1:J2102,SUMPRODUCT(MAX(ROW(E$1:E2102)*(E2103=E$1:E2102)))))</f>
        <v/>
      </c>
      <c r="L2103" s="15"/>
    </row>
    <row r="2104" customFormat="false" ht="12.75" hidden="false" customHeight="false" outlineLevel="0" collapsed="false">
      <c r="A2104" s="0" t="s">
        <v>178</v>
      </c>
      <c r="E2104" s="9" t="str">
        <f aca="false">IF(D2104="?OLD","!!!","")</f>
        <v/>
      </c>
      <c r="F2104" s="10" t="str">
        <f aca="false">IF(OR(E2104="",E2104="!!!"),"",IF(NOT(ISNA(VLOOKUP(E2104,E$1:E2103,1,FALSE()))),"OLD",IF(AND(E2104&lt;&gt;"",E2104&lt;&gt;"!!!"),"NEW","")))</f>
        <v/>
      </c>
      <c r="G2104" s="11" t="str">
        <f aca="false">IF(OR(E2104="",E2104="!!!"),"",IF(OR(J2104=0,AND(J2104=1,K2104=1),AND(J2104=1,I2104="SBJ"),AND(J2104=1,I2104=0)),"?IN_FOCUS",IF(J2104&lt;=2,"?ACTIVATED",IF(J2104&lt;&gt;"","?FAMILIAR",IF(F2104="NEW",IF(ISNA(VLOOKUP(E2104,#REF!,1,FALSE())),"?TYPE_IDENTIFIABLE","?REFERENTIAL"),"_")))))</f>
        <v/>
      </c>
      <c r="H2104" s="12" t="str">
        <f aca="false">IF(J2104&lt;&gt;1,"",IF(I2104="SBJ","CB","?"))</f>
        <v/>
      </c>
      <c r="I2104" s="13" t="str">
        <f aca="false">IF(OR(E2104="",E2104="!!!",F2104="NEW"),"",INDEX(B$2:B2103,-1+SUMPRODUCT(MAX(ROW(E$2:E2103)*(E2104=E$2:E2103)))))</f>
        <v/>
      </c>
      <c r="J2104" s="14" t="str">
        <f aca="true">IF(OR(E2104="",E2104="!!!",F2104="NEW"),"",COUNTBLANK(OFFSET(A$1,,,SUMPRODUCT(MAX(ROW(E$2:E2104)*(E2104=E$2:E2104)))))-COUNTBLANK(OFFSET(A$1,,,SUMPRODUCT(MAX(ROW(E$1:E2103)*(E2104=E$1:E2103))))))</f>
        <v/>
      </c>
      <c r="K2104" s="14" t="str">
        <f aca="false">IF(OR(E2104="",E2104="!!!",F2104="NEW"),"",INDEX(J$1:J2103,SUMPRODUCT(MAX(ROW(E$1:E2103)*(E2104=E$1:E2103)))))</f>
        <v/>
      </c>
      <c r="L2104" s="15"/>
    </row>
    <row r="2105" customFormat="false" ht="12.75" hidden="false" customHeight="false" outlineLevel="0" collapsed="false">
      <c r="A2105" s="0" t="s">
        <v>66</v>
      </c>
      <c r="E2105" s="9" t="str">
        <f aca="false">IF(D2105="?OLD","!!!","")</f>
        <v/>
      </c>
      <c r="F2105" s="10" t="str">
        <f aca="false">IF(OR(E2105="",E2105="!!!"),"",IF(NOT(ISNA(VLOOKUP(E2105,E$1:E2104,1,FALSE()))),"OLD",IF(AND(E2105&lt;&gt;"",E2105&lt;&gt;"!!!"),"NEW","")))</f>
        <v/>
      </c>
      <c r="G2105" s="11" t="str">
        <f aca="false">IF(OR(E2105="",E2105="!!!"),"",IF(OR(J2105=0,AND(J2105=1,K2105=1),AND(J2105=1,I2105="SBJ"),AND(J2105=1,I2105=0)),"?IN_FOCUS",IF(J2105&lt;=2,"?ACTIVATED",IF(J2105&lt;&gt;"","?FAMILIAR",IF(F2105="NEW",IF(ISNA(VLOOKUP(E2105,#REF!,1,FALSE())),"?TYPE_IDENTIFIABLE","?REFERENTIAL"),"_")))))</f>
        <v/>
      </c>
      <c r="H2105" s="12" t="str">
        <f aca="false">IF(J2105&lt;&gt;1,"",IF(I2105="SBJ","CB","?"))</f>
        <v/>
      </c>
      <c r="I2105" s="13" t="str">
        <f aca="false">IF(OR(E2105="",E2105="!!!",F2105="NEW"),"",INDEX(B$2:B2104,-1+SUMPRODUCT(MAX(ROW(E$2:E2104)*(E2105=E$2:E2104)))))</f>
        <v/>
      </c>
      <c r="J2105" s="14" t="str">
        <f aca="true">IF(OR(E2105="",E2105="!!!",F2105="NEW"),"",COUNTBLANK(OFFSET(A$1,,,SUMPRODUCT(MAX(ROW(E$2:E2105)*(E2105=E$2:E2105)))))-COUNTBLANK(OFFSET(A$1,,,SUMPRODUCT(MAX(ROW(E$1:E2104)*(E2105=E$1:E2104))))))</f>
        <v/>
      </c>
      <c r="K2105" s="14" t="str">
        <f aca="false">IF(OR(E2105="",E2105="!!!",F2105="NEW"),"",INDEX(J$1:J2104,SUMPRODUCT(MAX(ROW(E$1:E2104)*(E2105=E$1:E2104)))))</f>
        <v/>
      </c>
      <c r="L2105" s="15"/>
    </row>
    <row r="2106" customFormat="false" ht="12.75" hidden="false" customHeight="false" outlineLevel="0" collapsed="false">
      <c r="A2106" s="0" t="s">
        <v>711</v>
      </c>
      <c r="B2106" s="0" t="s">
        <v>28</v>
      </c>
      <c r="C2106" s="0" t="s">
        <v>111</v>
      </c>
      <c r="D2106" s="0" t="s">
        <v>29</v>
      </c>
      <c r="E2106" s="9" t="str">
        <f aca="false">IF(D2106="?OLD","!!!","")</f>
        <v>!!!</v>
      </c>
      <c r="F2106" s="10" t="str">
        <f aca="false">IF(OR(E2106="",E2106="!!!"),"",IF(NOT(ISNA(VLOOKUP(E2106,E$1:E2105,1,FALSE()))),"OLD",IF(AND(E2106&lt;&gt;"",E2106&lt;&gt;"!!!"),"NEW","")))</f>
        <v/>
      </c>
      <c r="G2106" s="11" t="str">
        <f aca="false">IF(OR(E2106="",E2106="!!!"),"",IF(OR(J2106=0,AND(J2106=1,K2106=1),AND(J2106=1,I2106="SBJ"),AND(J2106=1,I2106=0)),"?IN_FOCUS",IF(J2106&lt;=2,"?ACTIVATED",IF(J2106&lt;&gt;"","?FAMILIAR",IF(F2106="NEW",IF(ISNA(VLOOKUP(E2106,#REF!,1,FALSE())),"?TYPE_IDENTIFIABLE","?REFERENTIAL"),"_")))))</f>
        <v/>
      </c>
      <c r="H2106" s="12" t="str">
        <f aca="false">IF(J2106&lt;&gt;1,"",IF(I2106="SBJ","CB","?"))</f>
        <v/>
      </c>
      <c r="I2106" s="13" t="str">
        <f aca="false">IF(OR(E2106="",E2106="!!!",F2106="NEW"),"",INDEX(B$2:B2105,-1+SUMPRODUCT(MAX(ROW(E$2:E2105)*(E2106=E$2:E2105)))))</f>
        <v/>
      </c>
      <c r="J2106" s="14" t="str">
        <f aca="true">IF(OR(E2106="",E2106="!!!",F2106="NEW"),"",COUNTBLANK(OFFSET(A$1,,,SUMPRODUCT(MAX(ROW(E$2:E2106)*(E2106=E$2:E2106)))))-COUNTBLANK(OFFSET(A$1,,,SUMPRODUCT(MAX(ROW(E$1:E2105)*(E2106=E$1:E2105))))))</f>
        <v/>
      </c>
      <c r="K2106" s="14" t="str">
        <f aca="false">IF(OR(E2106="",E2106="!!!",F2106="NEW"),"",INDEX(J$1:J2105,SUMPRODUCT(MAX(ROW(E$1:E2105)*(E2106=E$1:E2105)))))</f>
        <v/>
      </c>
      <c r="L2106" s="15"/>
    </row>
    <row r="2107" customFormat="false" ht="12.75" hidden="false" customHeight="false" outlineLevel="0" collapsed="false">
      <c r="A2107" s="0" t="s">
        <v>73</v>
      </c>
      <c r="E2107" s="9" t="str">
        <f aca="false">IF(D2107="?OLD","!!!","")</f>
        <v/>
      </c>
      <c r="F2107" s="10" t="str">
        <f aca="false">IF(OR(E2107="",E2107="!!!"),"",IF(NOT(ISNA(VLOOKUP(E2107,E$1:E2106,1,FALSE()))),"OLD",IF(AND(E2107&lt;&gt;"",E2107&lt;&gt;"!!!"),"NEW","")))</f>
        <v/>
      </c>
      <c r="G2107" s="11" t="str">
        <f aca="false">IF(OR(E2107="",E2107="!!!"),"",IF(OR(J2107=0,AND(J2107=1,K2107=1),AND(J2107=1,I2107="SBJ"),AND(J2107=1,I2107=0)),"?IN_FOCUS",IF(J2107&lt;=2,"?ACTIVATED",IF(J2107&lt;&gt;"","?FAMILIAR",IF(F2107="NEW",IF(ISNA(VLOOKUP(E2107,#REF!,1,FALSE())),"?TYPE_IDENTIFIABLE","?REFERENTIAL"),"_")))))</f>
        <v/>
      </c>
      <c r="H2107" s="12" t="str">
        <f aca="false">IF(J2107&lt;&gt;1,"",IF(I2107="SBJ","CB","?"))</f>
        <v/>
      </c>
      <c r="I2107" s="13" t="str">
        <f aca="false">IF(OR(E2107="",E2107="!!!",F2107="NEW"),"",INDEX(B$2:B2106,-1+SUMPRODUCT(MAX(ROW(E$2:E2106)*(E2107=E$2:E2106)))))</f>
        <v/>
      </c>
      <c r="J2107" s="14" t="str">
        <f aca="true">IF(OR(E2107="",E2107="!!!",F2107="NEW"),"",COUNTBLANK(OFFSET(A$1,,,SUMPRODUCT(MAX(ROW(E$2:E2107)*(E2107=E$2:E2107)))))-COUNTBLANK(OFFSET(A$1,,,SUMPRODUCT(MAX(ROW(E$1:E2106)*(E2107=E$1:E2106))))))</f>
        <v/>
      </c>
      <c r="K2107" s="14" t="str">
        <f aca="false">IF(OR(E2107="",E2107="!!!",F2107="NEW"),"",INDEX(J$1:J2106,SUMPRODUCT(MAX(ROW(E$1:E2106)*(E2107=E$1:E2106)))))</f>
        <v/>
      </c>
      <c r="L2107" s="15"/>
    </row>
    <row r="2108" customFormat="false" ht="12.75" hidden="false" customHeight="false" outlineLevel="0" collapsed="false">
      <c r="E2108" s="9" t="str">
        <f aca="false">IF(D2108="?OLD","!!!","")</f>
        <v/>
      </c>
      <c r="F2108" s="10" t="str">
        <f aca="false">IF(OR(E2108="",E2108="!!!"),"",IF(NOT(ISNA(VLOOKUP(E2108,E$1:E2107,1,FALSE()))),"OLD",IF(AND(E2108&lt;&gt;"",E2108&lt;&gt;"!!!"),"NEW","")))</f>
        <v/>
      </c>
      <c r="G2108" s="11" t="str">
        <f aca="false">IF(OR(E2108="",E2108="!!!"),"",IF(OR(J2108=0,AND(J2108=1,K2108=1),AND(J2108=1,I2108="SBJ"),AND(J2108=1,I2108=0)),"?IN_FOCUS",IF(J2108&lt;=2,"?ACTIVATED",IF(J2108&lt;&gt;"","?FAMILIAR",IF(F2108="NEW",IF(ISNA(VLOOKUP(E2108,#REF!,1,FALSE())),"?TYPE_IDENTIFIABLE","?REFERENTIAL"),"_")))))</f>
        <v/>
      </c>
      <c r="H2108" s="12" t="str">
        <f aca="false">IF(J2108&lt;&gt;1,"",IF(I2108="SBJ","CB","?"))</f>
        <v/>
      </c>
      <c r="I2108" s="13" t="str">
        <f aca="false">IF(OR(E2108="",E2108="!!!",F2108="NEW"),"",INDEX(B$2:B2107,-1+SUMPRODUCT(MAX(ROW(E$2:E2107)*(E2108=E$2:E2107)))))</f>
        <v/>
      </c>
      <c r="J2108" s="14" t="str">
        <f aca="true">IF(OR(E2108="",E2108="!!!",F2108="NEW"),"",COUNTBLANK(OFFSET(A$1,,,SUMPRODUCT(MAX(ROW(E$2:E2108)*(E2108=E$2:E2108)))))-COUNTBLANK(OFFSET(A$1,,,SUMPRODUCT(MAX(ROW(E$1:E2107)*(E2108=E$1:E2107))))))</f>
        <v/>
      </c>
      <c r="K2108" s="14" t="str">
        <f aca="false">IF(OR(E2108="",E2108="!!!",F2108="NEW"),"",INDEX(J$1:J2107,SUMPRODUCT(MAX(ROW(E$1:E2107)*(E2108=E$1:E2107)))))</f>
        <v/>
      </c>
      <c r="L2108" s="15"/>
    </row>
    <row r="2109" customFormat="false" ht="12.75" hidden="false" customHeight="false" outlineLevel="0" collapsed="false">
      <c r="A2109" s="0" t="s">
        <v>825</v>
      </c>
      <c r="E2109" s="9" t="str">
        <f aca="false">IF(D2109="?OLD","!!!","")</f>
        <v/>
      </c>
      <c r="F2109" s="10" t="str">
        <f aca="false">IF(OR(E2109="",E2109="!!!"),"",IF(NOT(ISNA(VLOOKUP(E2109,E$1:E2108,1,FALSE()))),"OLD",IF(AND(E2109&lt;&gt;"",E2109&lt;&gt;"!!!"),"NEW","")))</f>
        <v/>
      </c>
      <c r="G2109" s="11" t="str">
        <f aca="false">IF(OR(E2109="",E2109="!!!"),"",IF(OR(J2109=0,AND(J2109=1,K2109=1),AND(J2109=1,I2109="SBJ"),AND(J2109=1,I2109=0)),"?IN_FOCUS",IF(J2109&lt;=2,"?ACTIVATED",IF(J2109&lt;&gt;"","?FAMILIAR",IF(F2109="NEW",IF(ISNA(VLOOKUP(E2109,#REF!,1,FALSE())),"?TYPE_IDENTIFIABLE","?REFERENTIAL"),"_")))))</f>
        <v/>
      </c>
      <c r="H2109" s="12" t="str">
        <f aca="false">IF(J2109&lt;&gt;1,"",IF(I2109="SBJ","CB","?"))</f>
        <v/>
      </c>
      <c r="I2109" s="13" t="str">
        <f aca="false">IF(OR(E2109="",E2109="!!!",F2109="NEW"),"",INDEX(B$2:B2108,-1+SUMPRODUCT(MAX(ROW(E$2:E2108)*(E2109=E$2:E2108)))))</f>
        <v/>
      </c>
      <c r="J2109" s="14" t="str">
        <f aca="true">IF(OR(E2109="",E2109="!!!",F2109="NEW"),"",COUNTBLANK(OFFSET(A$1,,,SUMPRODUCT(MAX(ROW(E$2:E2109)*(E2109=E$2:E2109)))))-COUNTBLANK(OFFSET(A$1,,,SUMPRODUCT(MAX(ROW(E$1:E2108)*(E2109=E$1:E2108))))))</f>
        <v/>
      </c>
      <c r="K2109" s="14" t="str">
        <f aca="false">IF(OR(E2109="",E2109="!!!",F2109="NEW"),"",INDEX(J$1:J2108,SUMPRODUCT(MAX(ROW(E$1:E2108)*(E2109=E$1:E2108)))))</f>
        <v/>
      </c>
      <c r="L2109" s="15"/>
    </row>
    <row r="2110" customFormat="false" ht="12.75" hidden="false" customHeight="false" outlineLevel="0" collapsed="false">
      <c r="A2110" s="0" t="s">
        <v>122</v>
      </c>
      <c r="B2110" s="0" t="s">
        <v>14</v>
      </c>
      <c r="C2110" s="0" t="s">
        <v>38</v>
      </c>
      <c r="D2110" s="0" t="s">
        <v>29</v>
      </c>
      <c r="E2110" s="9" t="str">
        <f aca="false">IF(D2110="?OLD","!!!","")</f>
        <v>!!!</v>
      </c>
      <c r="F2110" s="10" t="str">
        <f aca="false">IF(OR(E2110="",E2110="!!!"),"",IF(NOT(ISNA(VLOOKUP(E2110,E$1:E2109,1,FALSE()))),"OLD",IF(AND(E2110&lt;&gt;"",E2110&lt;&gt;"!!!"),"NEW","")))</f>
        <v/>
      </c>
      <c r="G2110" s="11" t="str">
        <f aca="false">IF(OR(E2110="",E2110="!!!"),"",IF(OR(J2110=0,AND(J2110=1,K2110=1),AND(J2110=1,I2110="SBJ"),AND(J2110=1,I2110=0)),"?IN_FOCUS",IF(J2110&lt;=2,"?ACTIVATED",IF(J2110&lt;&gt;"","?FAMILIAR",IF(F2110="NEW",IF(ISNA(VLOOKUP(E2110,#REF!,1,FALSE())),"?TYPE_IDENTIFIABLE","?REFERENTIAL"),"_")))))</f>
        <v/>
      </c>
      <c r="H2110" s="12" t="str">
        <f aca="false">IF(J2110&lt;&gt;1,"",IF(I2110="SBJ","CB","?"))</f>
        <v/>
      </c>
      <c r="I2110" s="13" t="str">
        <f aca="false">IF(OR(E2110="",E2110="!!!",F2110="NEW"),"",INDEX(B$2:B2109,-1+SUMPRODUCT(MAX(ROW(E$2:E2109)*(E2110=E$2:E2109)))))</f>
        <v/>
      </c>
      <c r="J2110" s="14" t="str">
        <f aca="true">IF(OR(E2110="",E2110="!!!",F2110="NEW"),"",COUNTBLANK(OFFSET(A$1,,,SUMPRODUCT(MAX(ROW(E$2:E2110)*(E2110=E$2:E2110)))))-COUNTBLANK(OFFSET(A$1,,,SUMPRODUCT(MAX(ROW(E$1:E2109)*(E2110=E$1:E2109))))))</f>
        <v/>
      </c>
      <c r="K2110" s="14" t="str">
        <f aca="false">IF(OR(E2110="",E2110="!!!",F2110="NEW"),"",INDEX(J$1:J2109,SUMPRODUCT(MAX(ROW(E$1:E2109)*(E2110=E$1:E2109)))))</f>
        <v/>
      </c>
      <c r="L2110" s="15"/>
    </row>
    <row r="2111" customFormat="false" ht="12.75" hidden="false" customHeight="false" outlineLevel="0" collapsed="false">
      <c r="A2111" s="0" t="s">
        <v>826</v>
      </c>
      <c r="E2111" s="9" t="str">
        <f aca="false">IF(D2111="?OLD","!!!","")</f>
        <v/>
      </c>
      <c r="F2111" s="10" t="str">
        <f aca="false">IF(OR(E2111="",E2111="!!!"),"",IF(NOT(ISNA(VLOOKUP(E2111,E$1:E2110,1,FALSE()))),"OLD",IF(AND(E2111&lt;&gt;"",E2111&lt;&gt;"!!!"),"NEW","")))</f>
        <v/>
      </c>
      <c r="G2111" s="11" t="str">
        <f aca="false">IF(OR(E2111="",E2111="!!!"),"",IF(OR(J2111=0,AND(J2111=1,K2111=1),AND(J2111=1,I2111="SBJ"),AND(J2111=1,I2111=0)),"?IN_FOCUS",IF(J2111&lt;=2,"?ACTIVATED",IF(J2111&lt;&gt;"","?FAMILIAR",IF(F2111="NEW",IF(ISNA(VLOOKUP(E2111,#REF!,1,FALSE())),"?TYPE_IDENTIFIABLE","?REFERENTIAL"),"_")))))</f>
        <v/>
      </c>
      <c r="H2111" s="12" t="str">
        <f aca="false">IF(J2111&lt;&gt;1,"",IF(I2111="SBJ","CB","?"))</f>
        <v/>
      </c>
      <c r="I2111" s="13" t="str">
        <f aca="false">IF(OR(E2111="",E2111="!!!",F2111="NEW"),"",INDEX(B$2:B2110,-1+SUMPRODUCT(MAX(ROW(E$2:E2110)*(E2111=E$2:E2110)))))</f>
        <v/>
      </c>
      <c r="J2111" s="14" t="str">
        <f aca="true">IF(OR(E2111="",E2111="!!!",F2111="NEW"),"",COUNTBLANK(OFFSET(A$1,,,SUMPRODUCT(MAX(ROW(E$2:E2111)*(E2111=E$2:E2111)))))-COUNTBLANK(OFFSET(A$1,,,SUMPRODUCT(MAX(ROW(E$1:E2110)*(E2111=E$1:E2110))))))</f>
        <v/>
      </c>
      <c r="K2111" s="14" t="str">
        <f aca="false">IF(OR(E2111="",E2111="!!!",F2111="NEW"),"",INDEX(J$1:J2110,SUMPRODUCT(MAX(ROW(E$1:E2110)*(E2111=E$1:E2110)))))</f>
        <v/>
      </c>
      <c r="L2111" s="15"/>
    </row>
    <row r="2112" customFormat="false" ht="12.75" hidden="false" customHeight="false" outlineLevel="0" collapsed="false">
      <c r="A2112" s="0" t="s">
        <v>51</v>
      </c>
      <c r="E2112" s="9" t="str">
        <f aca="false">IF(D2112="?OLD","!!!","")</f>
        <v/>
      </c>
      <c r="F2112" s="10" t="str">
        <f aca="false">IF(OR(E2112="",E2112="!!!"),"",IF(NOT(ISNA(VLOOKUP(E2112,E$1:E2111,1,FALSE()))),"OLD",IF(AND(E2112&lt;&gt;"",E2112&lt;&gt;"!!!"),"NEW","")))</f>
        <v/>
      </c>
      <c r="G2112" s="11" t="str">
        <f aca="false">IF(OR(E2112="",E2112="!!!"),"",IF(OR(J2112=0,AND(J2112=1,K2112=1),AND(J2112=1,I2112="SBJ"),AND(J2112=1,I2112=0)),"?IN_FOCUS",IF(J2112&lt;=2,"?ACTIVATED",IF(J2112&lt;&gt;"","?FAMILIAR",IF(F2112="NEW",IF(ISNA(VLOOKUP(E2112,#REF!,1,FALSE())),"?TYPE_IDENTIFIABLE","?REFERENTIAL"),"_")))))</f>
        <v/>
      </c>
      <c r="H2112" s="12" t="str">
        <f aca="false">IF(J2112&lt;&gt;1,"",IF(I2112="SBJ","CB","?"))</f>
        <v/>
      </c>
      <c r="I2112" s="13" t="str">
        <f aca="false">IF(OR(E2112="",E2112="!!!",F2112="NEW"),"",INDEX(B$2:B2111,-1+SUMPRODUCT(MAX(ROW(E$2:E2111)*(E2112=E$2:E2111)))))</f>
        <v/>
      </c>
      <c r="J2112" s="14" t="str">
        <f aca="true">IF(OR(E2112="",E2112="!!!",F2112="NEW"),"",COUNTBLANK(OFFSET(A$1,,,SUMPRODUCT(MAX(ROW(E$2:E2112)*(E2112=E$2:E2112)))))-COUNTBLANK(OFFSET(A$1,,,SUMPRODUCT(MAX(ROW(E$1:E2111)*(E2112=E$1:E2111))))))</f>
        <v/>
      </c>
      <c r="K2112" s="14" t="str">
        <f aca="false">IF(OR(E2112="",E2112="!!!",F2112="NEW"),"",INDEX(J$1:J2111,SUMPRODUCT(MAX(ROW(E$1:E2111)*(E2112=E$1:E2111)))))</f>
        <v/>
      </c>
      <c r="L2112" s="15"/>
    </row>
    <row r="2113" customFormat="false" ht="12.75" hidden="false" customHeight="false" outlineLevel="0" collapsed="false">
      <c r="A2113" s="0" t="s">
        <v>277</v>
      </c>
      <c r="B2113" s="0" t="s">
        <v>28</v>
      </c>
      <c r="C2113" s="0" t="s">
        <v>55</v>
      </c>
      <c r="D2113" s="0" t="s">
        <v>29</v>
      </c>
      <c r="E2113" s="9" t="str">
        <f aca="false">IF(D2113="?OLD","!!!","")</f>
        <v>!!!</v>
      </c>
      <c r="F2113" s="10" t="str">
        <f aca="false">IF(OR(E2113="",E2113="!!!"),"",IF(NOT(ISNA(VLOOKUP(E2113,E$1:E2112,1,FALSE()))),"OLD",IF(AND(E2113&lt;&gt;"",E2113&lt;&gt;"!!!"),"NEW","")))</f>
        <v/>
      </c>
      <c r="G2113" s="11" t="str">
        <f aca="false">IF(OR(E2113="",E2113="!!!"),"",IF(OR(J2113=0,AND(J2113=1,K2113=1),AND(J2113=1,I2113="SBJ"),AND(J2113=1,I2113=0)),"?IN_FOCUS",IF(J2113&lt;=2,"?ACTIVATED",IF(J2113&lt;&gt;"","?FAMILIAR",IF(F2113="NEW",IF(ISNA(VLOOKUP(E2113,#REF!,1,FALSE())),"?TYPE_IDENTIFIABLE","?REFERENTIAL"),"_")))))</f>
        <v/>
      </c>
      <c r="H2113" s="12" t="str">
        <f aca="false">IF(J2113&lt;&gt;1,"",IF(I2113="SBJ","CB","?"))</f>
        <v/>
      </c>
      <c r="I2113" s="13" t="str">
        <f aca="false">IF(OR(E2113="",E2113="!!!",F2113="NEW"),"",INDEX(B$2:B2112,-1+SUMPRODUCT(MAX(ROW(E$2:E2112)*(E2113=E$2:E2112)))))</f>
        <v/>
      </c>
      <c r="J2113" s="14" t="str">
        <f aca="true">IF(OR(E2113="",E2113="!!!",F2113="NEW"),"",COUNTBLANK(OFFSET(A$1,,,SUMPRODUCT(MAX(ROW(E$2:E2113)*(E2113=E$2:E2113)))))-COUNTBLANK(OFFSET(A$1,,,SUMPRODUCT(MAX(ROW(E$1:E2112)*(E2113=E$1:E2112))))))</f>
        <v/>
      </c>
      <c r="K2113" s="14" t="str">
        <f aca="false">IF(OR(E2113="",E2113="!!!",F2113="NEW"),"",INDEX(J$1:J2112,SUMPRODUCT(MAX(ROW(E$1:E2112)*(E2113=E$1:E2112)))))</f>
        <v/>
      </c>
      <c r="L2113" s="15"/>
    </row>
    <row r="2114" customFormat="false" ht="12.75" hidden="false" customHeight="false" outlineLevel="0" collapsed="false">
      <c r="A2114" s="0" t="s">
        <v>696</v>
      </c>
      <c r="B2114" s="0" t="s">
        <v>62</v>
      </c>
      <c r="C2114" s="0" t="s">
        <v>15</v>
      </c>
      <c r="D2114" s="0" t="s">
        <v>29</v>
      </c>
      <c r="E2114" s="9" t="str">
        <f aca="false">IF(D2114="?OLD","!!!","")</f>
        <v>!!!</v>
      </c>
      <c r="F2114" s="10" t="str">
        <f aca="false">IF(OR(E2114="",E2114="!!!"),"",IF(NOT(ISNA(VLOOKUP(E2114,E$1:E2113,1,FALSE()))),"OLD",IF(AND(E2114&lt;&gt;"",E2114&lt;&gt;"!!!"),"NEW","")))</f>
        <v/>
      </c>
      <c r="G2114" s="11" t="str">
        <f aca="false">IF(OR(E2114="",E2114="!!!"),"",IF(OR(J2114=0,AND(J2114=1,K2114=1),AND(J2114=1,I2114="SBJ"),AND(J2114=1,I2114=0)),"?IN_FOCUS",IF(J2114&lt;=2,"?ACTIVATED",IF(J2114&lt;&gt;"","?FAMILIAR",IF(F2114="NEW",IF(ISNA(VLOOKUP(E2114,#REF!,1,FALSE())),"?TYPE_IDENTIFIABLE","?REFERENTIAL"),"_")))))</f>
        <v/>
      </c>
      <c r="H2114" s="12" t="str">
        <f aca="false">IF(J2114&lt;&gt;1,"",IF(I2114="SBJ","CB","?"))</f>
        <v/>
      </c>
      <c r="I2114" s="13" t="str">
        <f aca="false">IF(OR(E2114="",E2114="!!!",F2114="NEW"),"",INDEX(B$2:B2113,-1+SUMPRODUCT(MAX(ROW(E$2:E2113)*(E2114=E$2:E2113)))))</f>
        <v/>
      </c>
      <c r="J2114" s="14" t="str">
        <f aca="true">IF(OR(E2114="",E2114="!!!",F2114="NEW"),"",COUNTBLANK(OFFSET(A$1,,,SUMPRODUCT(MAX(ROW(E$2:E2114)*(E2114=E$2:E2114)))))-COUNTBLANK(OFFSET(A$1,,,SUMPRODUCT(MAX(ROW(E$1:E2113)*(E2114=E$1:E2113))))))</f>
        <v/>
      </c>
      <c r="K2114" s="14" t="str">
        <f aca="false">IF(OR(E2114="",E2114="!!!",F2114="NEW"),"",INDEX(J$1:J2113,SUMPRODUCT(MAX(ROW(E$1:E2113)*(E2114=E$1:E2113)))))</f>
        <v/>
      </c>
      <c r="L2114" s="15"/>
    </row>
    <row r="2115" customFormat="false" ht="12.75" hidden="false" customHeight="false" outlineLevel="0" collapsed="false">
      <c r="A2115" s="0" t="s">
        <v>31</v>
      </c>
      <c r="E2115" s="9" t="str">
        <f aca="false">IF(D2115="?OLD","!!!","")</f>
        <v/>
      </c>
      <c r="F2115" s="10" t="str">
        <f aca="false">IF(OR(E2115="",E2115="!!!"),"",IF(NOT(ISNA(VLOOKUP(E2115,E$1:E2114,1,FALSE()))),"OLD",IF(AND(E2115&lt;&gt;"",E2115&lt;&gt;"!!!"),"NEW","")))</f>
        <v/>
      </c>
      <c r="G2115" s="11" t="str">
        <f aca="false">IF(OR(E2115="",E2115="!!!"),"",IF(OR(J2115=0,AND(J2115=1,K2115=1),AND(J2115=1,I2115="SBJ"),AND(J2115=1,I2115=0)),"?IN_FOCUS",IF(J2115&lt;=2,"?ACTIVATED",IF(J2115&lt;&gt;"","?FAMILIAR",IF(F2115="NEW",IF(ISNA(VLOOKUP(E2115,#REF!,1,FALSE())),"?TYPE_IDENTIFIABLE","?REFERENTIAL"),"_")))))</f>
        <v/>
      </c>
      <c r="H2115" s="12" t="str">
        <f aca="false">IF(J2115&lt;&gt;1,"",IF(I2115="SBJ","CB","?"))</f>
        <v/>
      </c>
      <c r="I2115" s="13" t="str">
        <f aca="false">IF(OR(E2115="",E2115="!!!",F2115="NEW"),"",INDEX(B$2:B2114,-1+SUMPRODUCT(MAX(ROW(E$2:E2114)*(E2115=E$2:E2114)))))</f>
        <v/>
      </c>
      <c r="J2115" s="14" t="str">
        <f aca="true">IF(OR(E2115="",E2115="!!!",F2115="NEW"),"",COUNTBLANK(OFFSET(A$1,,,SUMPRODUCT(MAX(ROW(E$2:E2115)*(E2115=E$2:E2115)))))-COUNTBLANK(OFFSET(A$1,,,SUMPRODUCT(MAX(ROW(E$1:E2114)*(E2115=E$1:E2114))))))</f>
        <v/>
      </c>
      <c r="K2115" s="14" t="str">
        <f aca="false">IF(OR(E2115="",E2115="!!!",F2115="NEW"),"",INDEX(J$1:J2114,SUMPRODUCT(MAX(ROW(E$1:E2114)*(E2115=E$1:E2114)))))</f>
        <v/>
      </c>
      <c r="L2115" s="15"/>
    </row>
    <row r="2116" customFormat="false" ht="12.75" hidden="false" customHeight="false" outlineLevel="0" collapsed="false">
      <c r="A2116" s="0" t="s">
        <v>277</v>
      </c>
      <c r="B2116" s="0" t="s">
        <v>28</v>
      </c>
      <c r="C2116" s="0" t="s">
        <v>55</v>
      </c>
      <c r="D2116" s="0" t="s">
        <v>29</v>
      </c>
      <c r="E2116" s="9" t="str">
        <f aca="false">IF(D2116="?OLD","!!!","")</f>
        <v>!!!</v>
      </c>
      <c r="F2116" s="10" t="str">
        <f aca="false">IF(OR(E2116="",E2116="!!!"),"",IF(NOT(ISNA(VLOOKUP(E2116,E$1:E2115,1,FALSE()))),"OLD",IF(AND(E2116&lt;&gt;"",E2116&lt;&gt;"!!!"),"NEW","")))</f>
        <v/>
      </c>
      <c r="G2116" s="11" t="str">
        <f aca="false">IF(OR(E2116="",E2116="!!!"),"",IF(OR(J2116=0,AND(J2116=1,K2116=1),AND(J2116=1,I2116="SBJ"),AND(J2116=1,I2116=0)),"?IN_FOCUS",IF(J2116&lt;=2,"?ACTIVATED",IF(J2116&lt;&gt;"","?FAMILIAR",IF(F2116="NEW",IF(ISNA(VLOOKUP(E2116,#REF!,1,FALSE())),"?TYPE_IDENTIFIABLE","?REFERENTIAL"),"_")))))</f>
        <v/>
      </c>
      <c r="H2116" s="12" t="str">
        <f aca="false">IF(J2116&lt;&gt;1,"",IF(I2116="SBJ","CB","?"))</f>
        <v/>
      </c>
      <c r="I2116" s="13" t="str">
        <f aca="false">IF(OR(E2116="",E2116="!!!",F2116="NEW"),"",INDEX(B$2:B2115,-1+SUMPRODUCT(MAX(ROW(E$2:E2115)*(E2116=E$2:E2115)))))</f>
        <v/>
      </c>
      <c r="J2116" s="14" t="str">
        <f aca="true">IF(OR(E2116="",E2116="!!!",F2116="NEW"),"",COUNTBLANK(OFFSET(A$1,,,SUMPRODUCT(MAX(ROW(E$2:E2116)*(E2116=E$2:E2116)))))-COUNTBLANK(OFFSET(A$1,,,SUMPRODUCT(MAX(ROW(E$1:E2115)*(E2116=E$1:E2115))))))</f>
        <v/>
      </c>
      <c r="K2116" s="14" t="str">
        <f aca="false">IF(OR(E2116="",E2116="!!!",F2116="NEW"),"",INDEX(J$1:J2115,SUMPRODUCT(MAX(ROW(E$1:E2115)*(E2116=E$1:E2115)))))</f>
        <v/>
      </c>
      <c r="L2116" s="15"/>
    </row>
    <row r="2117" customFormat="false" ht="12.75" hidden="false" customHeight="false" outlineLevel="0" collapsed="false">
      <c r="A2117" s="0" t="s">
        <v>827</v>
      </c>
      <c r="E2117" s="9" t="str">
        <f aca="false">IF(D2117="?OLD","!!!","")</f>
        <v/>
      </c>
      <c r="F2117" s="10" t="str">
        <f aca="false">IF(OR(E2117="",E2117="!!!"),"",IF(NOT(ISNA(VLOOKUP(E2117,E$1:E2116,1,FALSE()))),"OLD",IF(AND(E2117&lt;&gt;"",E2117&lt;&gt;"!!!"),"NEW","")))</f>
        <v/>
      </c>
      <c r="G2117" s="11" t="str">
        <f aca="false">IF(OR(E2117="",E2117="!!!"),"",IF(OR(J2117=0,AND(J2117=1,K2117=1),AND(J2117=1,I2117="SBJ"),AND(J2117=1,I2117=0)),"?IN_FOCUS",IF(J2117&lt;=2,"?ACTIVATED",IF(J2117&lt;&gt;"","?FAMILIAR",IF(F2117="NEW",IF(ISNA(VLOOKUP(E2117,#REF!,1,FALSE())),"?TYPE_IDENTIFIABLE","?REFERENTIAL"),"_")))))</f>
        <v/>
      </c>
      <c r="H2117" s="12" t="str">
        <f aca="false">IF(J2117&lt;&gt;1,"",IF(I2117="SBJ","CB","?"))</f>
        <v/>
      </c>
      <c r="I2117" s="13" t="str">
        <f aca="false">IF(OR(E2117="",E2117="!!!",F2117="NEW"),"",INDEX(B$2:B2116,-1+SUMPRODUCT(MAX(ROW(E$2:E2116)*(E2117=E$2:E2116)))))</f>
        <v/>
      </c>
      <c r="J2117" s="14" t="str">
        <f aca="true">IF(OR(E2117="",E2117="!!!",F2117="NEW"),"",COUNTBLANK(OFFSET(A$1,,,SUMPRODUCT(MAX(ROW(E$2:E2117)*(E2117=E$2:E2117)))))-COUNTBLANK(OFFSET(A$1,,,SUMPRODUCT(MAX(ROW(E$1:E2116)*(E2117=E$1:E2116))))))</f>
        <v/>
      </c>
      <c r="K2117" s="14" t="str">
        <f aca="false">IF(OR(E2117="",E2117="!!!",F2117="NEW"),"",INDEX(J$1:J2116,SUMPRODUCT(MAX(ROW(E$1:E2116)*(E2117=E$1:E2116)))))</f>
        <v/>
      </c>
      <c r="L2117" s="15"/>
    </row>
    <row r="2118" customFormat="false" ht="12.75" hidden="false" customHeight="false" outlineLevel="0" collapsed="false">
      <c r="A2118" s="0" t="s">
        <v>692</v>
      </c>
      <c r="B2118" s="0" t="s">
        <v>37</v>
      </c>
      <c r="C2118" s="0" t="s">
        <v>15</v>
      </c>
      <c r="D2118" s="0" t="s">
        <v>29</v>
      </c>
      <c r="E2118" s="9" t="str">
        <f aca="false">IF(D2118="?OLD","!!!","")</f>
        <v>!!!</v>
      </c>
      <c r="F2118" s="10" t="str">
        <f aca="false">IF(OR(E2118="",E2118="!!!"),"",IF(NOT(ISNA(VLOOKUP(E2118,E$1:E2117,1,FALSE()))),"OLD",IF(AND(E2118&lt;&gt;"",E2118&lt;&gt;"!!!"),"NEW","")))</f>
        <v/>
      </c>
      <c r="G2118" s="11" t="str">
        <f aca="false">IF(OR(E2118="",E2118="!!!"),"",IF(OR(J2118=0,AND(J2118=1,K2118=1),AND(J2118=1,I2118="SBJ"),AND(J2118=1,I2118=0)),"?IN_FOCUS",IF(J2118&lt;=2,"?ACTIVATED",IF(J2118&lt;&gt;"","?FAMILIAR",IF(F2118="NEW",IF(ISNA(VLOOKUP(E2118,#REF!,1,FALSE())),"?TYPE_IDENTIFIABLE","?REFERENTIAL"),"_")))))</f>
        <v/>
      </c>
      <c r="H2118" s="12" t="str">
        <f aca="false">IF(J2118&lt;&gt;1,"",IF(I2118="SBJ","CB","?"))</f>
        <v/>
      </c>
      <c r="I2118" s="13" t="str">
        <f aca="false">IF(OR(E2118="",E2118="!!!",F2118="NEW"),"",INDEX(B$2:B2117,-1+SUMPRODUCT(MAX(ROW(E$2:E2117)*(E2118=E$2:E2117)))))</f>
        <v/>
      </c>
      <c r="J2118" s="14" t="str">
        <f aca="true">IF(OR(E2118="",E2118="!!!",F2118="NEW"),"",COUNTBLANK(OFFSET(A$1,,,SUMPRODUCT(MAX(ROW(E$2:E2118)*(E2118=E$2:E2118)))))-COUNTBLANK(OFFSET(A$1,,,SUMPRODUCT(MAX(ROW(E$1:E2117)*(E2118=E$1:E2117))))))</f>
        <v/>
      </c>
      <c r="K2118" s="14" t="str">
        <f aca="false">IF(OR(E2118="",E2118="!!!",F2118="NEW"),"",INDEX(J$1:J2117,SUMPRODUCT(MAX(ROW(E$1:E2117)*(E2118=E$1:E2117)))))</f>
        <v/>
      </c>
      <c r="L2118" s="15"/>
    </row>
    <row r="2119" customFormat="false" ht="12.75" hidden="false" customHeight="false" outlineLevel="0" collapsed="false">
      <c r="A2119" s="0" t="s">
        <v>828</v>
      </c>
      <c r="E2119" s="9" t="str">
        <f aca="false">IF(D2119="?OLD","!!!","")</f>
        <v/>
      </c>
      <c r="F2119" s="10" t="str">
        <f aca="false">IF(OR(E2119="",E2119="!!!"),"",IF(NOT(ISNA(VLOOKUP(E2119,E$1:E2118,1,FALSE()))),"OLD",IF(AND(E2119&lt;&gt;"",E2119&lt;&gt;"!!!"),"NEW","")))</f>
        <v/>
      </c>
      <c r="G2119" s="11" t="str">
        <f aca="false">IF(OR(E2119="",E2119="!!!"),"",IF(OR(J2119=0,AND(J2119=1,K2119=1),AND(J2119=1,I2119="SBJ"),AND(J2119=1,I2119=0)),"?IN_FOCUS",IF(J2119&lt;=2,"?ACTIVATED",IF(J2119&lt;&gt;"","?FAMILIAR",IF(F2119="NEW",IF(ISNA(VLOOKUP(E2119,#REF!,1,FALSE())),"?TYPE_IDENTIFIABLE","?REFERENTIAL"),"_")))))</f>
        <v/>
      </c>
      <c r="H2119" s="12" t="str">
        <f aca="false">IF(J2119&lt;&gt;1,"",IF(I2119="SBJ","CB","?"))</f>
        <v/>
      </c>
      <c r="I2119" s="13" t="str">
        <f aca="false">IF(OR(E2119="",E2119="!!!",F2119="NEW"),"",INDEX(B$2:B2118,-1+SUMPRODUCT(MAX(ROW(E$2:E2118)*(E2119=E$2:E2118)))))</f>
        <v/>
      </c>
      <c r="J2119" s="14" t="str">
        <f aca="true">IF(OR(E2119="",E2119="!!!",F2119="NEW"),"",COUNTBLANK(OFFSET(A$1,,,SUMPRODUCT(MAX(ROW(E$2:E2119)*(E2119=E$2:E2119)))))-COUNTBLANK(OFFSET(A$1,,,SUMPRODUCT(MAX(ROW(E$1:E2118)*(E2119=E$1:E2118))))))</f>
        <v/>
      </c>
      <c r="K2119" s="14" t="str">
        <f aca="false">IF(OR(E2119="",E2119="!!!",F2119="NEW"),"",INDEX(J$1:J2118,SUMPRODUCT(MAX(ROW(E$1:E2118)*(E2119=E$1:E2118)))))</f>
        <v/>
      </c>
      <c r="L2119" s="15"/>
    </row>
    <row r="2120" customFormat="false" ht="12.75" hidden="false" customHeight="false" outlineLevel="0" collapsed="false">
      <c r="A2120" s="0" t="s">
        <v>277</v>
      </c>
      <c r="B2120" s="0" t="s">
        <v>64</v>
      </c>
      <c r="C2120" s="0" t="s">
        <v>55</v>
      </c>
      <c r="D2120" s="0" t="s">
        <v>29</v>
      </c>
      <c r="E2120" s="9" t="str">
        <f aca="false">IF(D2120="?OLD","!!!","")</f>
        <v>!!!</v>
      </c>
      <c r="F2120" s="10" t="str">
        <f aca="false">IF(OR(E2120="",E2120="!!!"),"",IF(NOT(ISNA(VLOOKUP(E2120,E$1:E2119,1,FALSE()))),"OLD",IF(AND(E2120&lt;&gt;"",E2120&lt;&gt;"!!!"),"NEW","")))</f>
        <v/>
      </c>
      <c r="G2120" s="11" t="str">
        <f aca="false">IF(OR(E2120="",E2120="!!!"),"",IF(OR(J2120=0,AND(J2120=1,K2120=1),AND(J2120=1,I2120="SBJ"),AND(J2120=1,I2120=0)),"?IN_FOCUS",IF(J2120&lt;=2,"?ACTIVATED",IF(J2120&lt;&gt;"","?FAMILIAR",IF(F2120="NEW",IF(ISNA(VLOOKUP(E2120,#REF!,1,FALSE())),"?TYPE_IDENTIFIABLE","?REFERENTIAL"),"_")))))</f>
        <v/>
      </c>
      <c r="H2120" s="12" t="str">
        <f aca="false">IF(J2120&lt;&gt;1,"",IF(I2120="SBJ","CB","?"))</f>
        <v/>
      </c>
      <c r="I2120" s="13" t="str">
        <f aca="false">IF(OR(E2120="",E2120="!!!",F2120="NEW"),"",INDEX(B$2:B2119,-1+SUMPRODUCT(MAX(ROW(E$2:E2119)*(E2120=E$2:E2119)))))</f>
        <v/>
      </c>
      <c r="J2120" s="14" t="str">
        <f aca="true">IF(OR(E2120="",E2120="!!!",F2120="NEW"),"",COUNTBLANK(OFFSET(A$1,,,SUMPRODUCT(MAX(ROW(E$2:E2120)*(E2120=E$2:E2120)))))-COUNTBLANK(OFFSET(A$1,,,SUMPRODUCT(MAX(ROW(E$1:E2119)*(E2120=E$1:E2119))))))</f>
        <v/>
      </c>
      <c r="K2120" s="14" t="str">
        <f aca="false">IF(OR(E2120="",E2120="!!!",F2120="NEW"),"",INDEX(J$1:J2119,SUMPRODUCT(MAX(ROW(E$1:E2119)*(E2120=E$1:E2119)))))</f>
        <v/>
      </c>
      <c r="L2120" s="15"/>
    </row>
    <row r="2121" customFormat="false" ht="12.75" hidden="false" customHeight="false" outlineLevel="0" collapsed="false">
      <c r="A2121" s="0" t="s">
        <v>786</v>
      </c>
      <c r="B2121" s="0" t="s">
        <v>107</v>
      </c>
      <c r="C2121" s="0" t="s">
        <v>15</v>
      </c>
      <c r="D2121" s="0" t="s">
        <v>29</v>
      </c>
      <c r="E2121" s="9" t="str">
        <f aca="false">IF(D2121="?OLD","!!!","")</f>
        <v>!!!</v>
      </c>
      <c r="F2121" s="10" t="str">
        <f aca="false">IF(OR(E2121="",E2121="!!!"),"",IF(NOT(ISNA(VLOOKUP(E2121,E$1:E2120,1,FALSE()))),"OLD",IF(AND(E2121&lt;&gt;"",E2121&lt;&gt;"!!!"),"NEW","")))</f>
        <v/>
      </c>
      <c r="G2121" s="11" t="str">
        <f aca="false">IF(OR(E2121="",E2121="!!!"),"",IF(OR(J2121=0,AND(J2121=1,K2121=1),AND(J2121=1,I2121="SBJ"),AND(J2121=1,I2121=0)),"?IN_FOCUS",IF(J2121&lt;=2,"?ACTIVATED",IF(J2121&lt;&gt;"","?FAMILIAR",IF(F2121="NEW",IF(ISNA(VLOOKUP(E2121,#REF!,1,FALSE())),"?TYPE_IDENTIFIABLE","?REFERENTIAL"),"_")))))</f>
        <v/>
      </c>
      <c r="H2121" s="12" t="str">
        <f aca="false">IF(J2121&lt;&gt;1,"",IF(I2121="SBJ","CB","?"))</f>
        <v/>
      </c>
      <c r="I2121" s="13" t="str">
        <f aca="false">IF(OR(E2121="",E2121="!!!",F2121="NEW"),"",INDEX(B$2:B2120,-1+SUMPRODUCT(MAX(ROW(E$2:E2120)*(E2121=E$2:E2120)))))</f>
        <v/>
      </c>
      <c r="J2121" s="14" t="str">
        <f aca="true">IF(OR(E2121="",E2121="!!!",F2121="NEW"),"",COUNTBLANK(OFFSET(A$1,,,SUMPRODUCT(MAX(ROW(E$2:E2121)*(E2121=E$2:E2121)))))-COUNTBLANK(OFFSET(A$1,,,SUMPRODUCT(MAX(ROW(E$1:E2120)*(E2121=E$1:E2120))))))</f>
        <v/>
      </c>
      <c r="K2121" s="14" t="str">
        <f aca="false">IF(OR(E2121="",E2121="!!!",F2121="NEW"),"",INDEX(J$1:J2120,SUMPRODUCT(MAX(ROW(E$1:E2120)*(E2121=E$1:E2120)))))</f>
        <v/>
      </c>
      <c r="L2121" s="15"/>
    </row>
    <row r="2122" customFormat="false" ht="12.75" hidden="false" customHeight="false" outlineLevel="0" collapsed="false">
      <c r="A2122" s="0" t="s">
        <v>31</v>
      </c>
      <c r="E2122" s="9" t="str">
        <f aca="false">IF(D2122="?OLD","!!!","")</f>
        <v/>
      </c>
      <c r="F2122" s="10" t="str">
        <f aca="false">IF(OR(E2122="",E2122="!!!"),"",IF(NOT(ISNA(VLOOKUP(E2122,E$1:E2121,1,FALSE()))),"OLD",IF(AND(E2122&lt;&gt;"",E2122&lt;&gt;"!!!"),"NEW","")))</f>
        <v/>
      </c>
      <c r="G2122" s="11" t="str">
        <f aca="false">IF(OR(E2122="",E2122="!!!"),"",IF(OR(J2122=0,AND(J2122=1,K2122=1),AND(J2122=1,I2122="SBJ"),AND(J2122=1,I2122=0)),"?IN_FOCUS",IF(J2122&lt;=2,"?ACTIVATED",IF(J2122&lt;&gt;"","?FAMILIAR",IF(F2122="NEW",IF(ISNA(VLOOKUP(E2122,#REF!,1,FALSE())),"?TYPE_IDENTIFIABLE","?REFERENTIAL"),"_")))))</f>
        <v/>
      </c>
      <c r="H2122" s="12" t="str">
        <f aca="false">IF(J2122&lt;&gt;1,"",IF(I2122="SBJ","CB","?"))</f>
        <v/>
      </c>
      <c r="I2122" s="13" t="str">
        <f aca="false">IF(OR(E2122="",E2122="!!!",F2122="NEW"),"",INDEX(B$2:B2121,-1+SUMPRODUCT(MAX(ROW(E$2:E2121)*(E2122=E$2:E2121)))))</f>
        <v/>
      </c>
      <c r="J2122" s="14" t="str">
        <f aca="true">IF(OR(E2122="",E2122="!!!",F2122="NEW"),"",COUNTBLANK(OFFSET(A$1,,,SUMPRODUCT(MAX(ROW(E$2:E2122)*(E2122=E$2:E2122)))))-COUNTBLANK(OFFSET(A$1,,,SUMPRODUCT(MAX(ROW(E$1:E2121)*(E2122=E$1:E2121))))))</f>
        <v/>
      </c>
      <c r="K2122" s="14" t="str">
        <f aca="false">IF(OR(E2122="",E2122="!!!",F2122="NEW"),"",INDEX(J$1:J2121,SUMPRODUCT(MAX(ROW(E$1:E2121)*(E2122=E$1:E2121)))))</f>
        <v/>
      </c>
      <c r="L2122" s="15"/>
    </row>
    <row r="2123" customFormat="false" ht="12.75" hidden="false" customHeight="false" outlineLevel="0" collapsed="false">
      <c r="A2123" s="0" t="s">
        <v>277</v>
      </c>
      <c r="B2123" s="0" t="s">
        <v>64</v>
      </c>
      <c r="C2123" s="0" t="s">
        <v>55</v>
      </c>
      <c r="D2123" s="0" t="s">
        <v>29</v>
      </c>
      <c r="E2123" s="9" t="str">
        <f aca="false">IF(D2123="?OLD","!!!","")</f>
        <v>!!!</v>
      </c>
      <c r="F2123" s="10" t="str">
        <f aca="false">IF(OR(E2123="",E2123="!!!"),"",IF(NOT(ISNA(VLOOKUP(E2123,E$1:E2122,1,FALSE()))),"OLD",IF(AND(E2123&lt;&gt;"",E2123&lt;&gt;"!!!"),"NEW","")))</f>
        <v/>
      </c>
      <c r="G2123" s="11" t="str">
        <f aca="false">IF(OR(E2123="",E2123="!!!"),"",IF(OR(J2123=0,AND(J2123=1,K2123=1),AND(J2123=1,I2123="SBJ"),AND(J2123=1,I2123=0)),"?IN_FOCUS",IF(J2123&lt;=2,"?ACTIVATED",IF(J2123&lt;&gt;"","?FAMILIAR",IF(F2123="NEW",IF(ISNA(VLOOKUP(E2123,#REF!,1,FALSE())),"?TYPE_IDENTIFIABLE","?REFERENTIAL"),"_")))))</f>
        <v/>
      </c>
      <c r="H2123" s="12" t="str">
        <f aca="false">IF(J2123&lt;&gt;1,"",IF(I2123="SBJ","CB","?"))</f>
        <v/>
      </c>
      <c r="I2123" s="13" t="str">
        <f aca="false">IF(OR(E2123="",E2123="!!!",F2123="NEW"),"",INDEX(B$2:B2122,-1+SUMPRODUCT(MAX(ROW(E$2:E2122)*(E2123=E$2:E2122)))))</f>
        <v/>
      </c>
      <c r="J2123" s="14" t="str">
        <f aca="true">IF(OR(E2123="",E2123="!!!",F2123="NEW"),"",COUNTBLANK(OFFSET(A$1,,,SUMPRODUCT(MAX(ROW(E$2:E2123)*(E2123=E$2:E2123)))))-COUNTBLANK(OFFSET(A$1,,,SUMPRODUCT(MAX(ROW(E$1:E2122)*(E2123=E$1:E2122))))))</f>
        <v/>
      </c>
      <c r="K2123" s="14" t="str">
        <f aca="false">IF(OR(E2123="",E2123="!!!",F2123="NEW"),"",INDEX(J$1:J2122,SUMPRODUCT(MAX(ROW(E$1:E2122)*(E2123=E$1:E2122)))))</f>
        <v/>
      </c>
      <c r="L2123" s="15"/>
    </row>
    <row r="2124" customFormat="false" ht="12.75" hidden="false" customHeight="false" outlineLevel="0" collapsed="false">
      <c r="A2124" s="0" t="s">
        <v>487</v>
      </c>
      <c r="B2124" s="0" t="s">
        <v>107</v>
      </c>
      <c r="C2124" s="0" t="s">
        <v>15</v>
      </c>
      <c r="D2124" s="0" t="s">
        <v>29</v>
      </c>
      <c r="E2124" s="9" t="str">
        <f aca="false">IF(D2124="?OLD","!!!","")</f>
        <v>!!!</v>
      </c>
      <c r="F2124" s="10" t="str">
        <f aca="false">IF(OR(E2124="",E2124="!!!"),"",IF(NOT(ISNA(VLOOKUP(E2124,E$1:E2123,1,FALSE()))),"OLD",IF(AND(E2124&lt;&gt;"",E2124&lt;&gt;"!!!"),"NEW","")))</f>
        <v/>
      </c>
      <c r="G2124" s="11" t="str">
        <f aca="false">IF(OR(E2124="",E2124="!!!"),"",IF(OR(J2124=0,AND(J2124=1,K2124=1),AND(J2124=1,I2124="SBJ"),AND(J2124=1,I2124=0)),"?IN_FOCUS",IF(J2124&lt;=2,"?ACTIVATED",IF(J2124&lt;&gt;"","?FAMILIAR",IF(F2124="NEW",IF(ISNA(VLOOKUP(E2124,#REF!,1,FALSE())),"?TYPE_IDENTIFIABLE","?REFERENTIAL"),"_")))))</f>
        <v/>
      </c>
      <c r="H2124" s="12" t="str">
        <f aca="false">IF(J2124&lt;&gt;1,"",IF(I2124="SBJ","CB","?"))</f>
        <v/>
      </c>
      <c r="I2124" s="13" t="str">
        <f aca="false">IF(OR(E2124="",E2124="!!!",F2124="NEW"),"",INDEX(B$2:B2123,-1+SUMPRODUCT(MAX(ROW(E$2:E2123)*(E2124=E$2:E2123)))))</f>
        <v/>
      </c>
      <c r="J2124" s="14" t="str">
        <f aca="true">IF(OR(E2124="",E2124="!!!",F2124="NEW"),"",COUNTBLANK(OFFSET(A$1,,,SUMPRODUCT(MAX(ROW(E$2:E2124)*(E2124=E$2:E2124)))))-COUNTBLANK(OFFSET(A$1,,,SUMPRODUCT(MAX(ROW(E$1:E2123)*(E2124=E$1:E2123))))))</f>
        <v/>
      </c>
      <c r="K2124" s="14" t="str">
        <f aca="false">IF(OR(E2124="",E2124="!!!",F2124="NEW"),"",INDEX(J$1:J2123,SUMPRODUCT(MAX(ROW(E$1:E2123)*(E2124=E$1:E2123)))))</f>
        <v/>
      </c>
      <c r="L2124" s="15"/>
    </row>
    <row r="2125" customFormat="false" ht="12.75" hidden="false" customHeight="false" outlineLevel="0" collapsed="false">
      <c r="A2125" s="0" t="s">
        <v>829</v>
      </c>
      <c r="E2125" s="9" t="str">
        <f aca="false">IF(D2125="?OLD","!!!","")</f>
        <v/>
      </c>
      <c r="F2125" s="10" t="str">
        <f aca="false">IF(OR(E2125="",E2125="!!!"),"",IF(NOT(ISNA(VLOOKUP(E2125,E$1:E2124,1,FALSE()))),"OLD",IF(AND(E2125&lt;&gt;"",E2125&lt;&gt;"!!!"),"NEW","")))</f>
        <v/>
      </c>
      <c r="G2125" s="11" t="str">
        <f aca="false">IF(OR(E2125="",E2125="!!!"),"",IF(OR(J2125=0,AND(J2125=1,K2125=1),AND(J2125=1,I2125="SBJ"),AND(J2125=1,I2125=0)),"?IN_FOCUS",IF(J2125&lt;=2,"?ACTIVATED",IF(J2125&lt;&gt;"","?FAMILIAR",IF(F2125="NEW",IF(ISNA(VLOOKUP(E2125,#REF!,1,FALSE())),"?TYPE_IDENTIFIABLE","?REFERENTIAL"),"_")))))</f>
        <v/>
      </c>
      <c r="H2125" s="12" t="str">
        <f aca="false">IF(J2125&lt;&gt;1,"",IF(I2125="SBJ","CB","?"))</f>
        <v/>
      </c>
      <c r="I2125" s="13" t="str">
        <f aca="false">IF(OR(E2125="",E2125="!!!",F2125="NEW"),"",INDEX(B$2:B2124,-1+SUMPRODUCT(MAX(ROW(E$2:E2124)*(E2125=E$2:E2124)))))</f>
        <v/>
      </c>
      <c r="J2125" s="14" t="str">
        <f aca="true">IF(OR(E2125="",E2125="!!!",F2125="NEW"),"",COUNTBLANK(OFFSET(A$1,,,SUMPRODUCT(MAX(ROW(E$2:E2125)*(E2125=E$2:E2125)))))-COUNTBLANK(OFFSET(A$1,,,SUMPRODUCT(MAX(ROW(E$1:E2124)*(E2125=E$1:E2124))))))</f>
        <v/>
      </c>
      <c r="K2125" s="14" t="str">
        <f aca="false">IF(OR(E2125="",E2125="!!!",F2125="NEW"),"",INDEX(J$1:J2124,SUMPRODUCT(MAX(ROW(E$1:E2124)*(E2125=E$1:E2124)))))</f>
        <v/>
      </c>
      <c r="L2125" s="15"/>
    </row>
    <row r="2126" customFormat="false" ht="12.75" hidden="false" customHeight="false" outlineLevel="0" collapsed="false">
      <c r="A2126" s="0" t="s">
        <v>212</v>
      </c>
      <c r="E2126" s="9" t="str">
        <f aca="false">IF(D2126="?OLD","!!!","")</f>
        <v/>
      </c>
      <c r="F2126" s="10" t="str">
        <f aca="false">IF(OR(E2126="",E2126="!!!"),"",IF(NOT(ISNA(VLOOKUP(E2126,E$1:E2125,1,FALSE()))),"OLD",IF(AND(E2126&lt;&gt;"",E2126&lt;&gt;"!!!"),"NEW","")))</f>
        <v/>
      </c>
      <c r="G2126" s="11" t="str">
        <f aca="false">IF(OR(E2126="",E2126="!!!"),"",IF(OR(J2126=0,AND(J2126=1,K2126=1),AND(J2126=1,I2126="SBJ"),AND(J2126=1,I2126=0)),"?IN_FOCUS",IF(J2126&lt;=2,"?ACTIVATED",IF(J2126&lt;&gt;"","?FAMILIAR",IF(F2126="NEW",IF(ISNA(VLOOKUP(E2126,#REF!,1,FALSE())),"?TYPE_IDENTIFIABLE","?REFERENTIAL"),"_")))))</f>
        <v/>
      </c>
      <c r="H2126" s="12" t="str">
        <f aca="false">IF(J2126&lt;&gt;1,"",IF(I2126="SBJ","CB","?"))</f>
        <v/>
      </c>
      <c r="I2126" s="13" t="str">
        <f aca="false">IF(OR(E2126="",E2126="!!!",F2126="NEW"),"",INDEX(B$2:B2125,-1+SUMPRODUCT(MAX(ROW(E$2:E2125)*(E2126=E$2:E2125)))))</f>
        <v/>
      </c>
      <c r="J2126" s="14" t="str">
        <f aca="true">IF(OR(E2126="",E2126="!!!",F2126="NEW"),"",COUNTBLANK(OFFSET(A$1,,,SUMPRODUCT(MAX(ROW(E$2:E2126)*(E2126=E$2:E2126)))))-COUNTBLANK(OFFSET(A$1,,,SUMPRODUCT(MAX(ROW(E$1:E2125)*(E2126=E$1:E2125))))))</f>
        <v/>
      </c>
      <c r="K2126" s="14" t="str">
        <f aca="false">IF(OR(E2126="",E2126="!!!",F2126="NEW"),"",INDEX(J$1:J2125,SUMPRODUCT(MAX(ROW(E$1:E2125)*(E2126=E$1:E2125)))))</f>
        <v/>
      </c>
      <c r="L2126" s="15"/>
    </row>
    <row r="2127" customFormat="false" ht="12.75" hidden="false" customHeight="false" outlineLevel="0" collapsed="false">
      <c r="A2127" s="0" t="s">
        <v>66</v>
      </c>
      <c r="E2127" s="9" t="str">
        <f aca="false">IF(D2127="?OLD","!!!","")</f>
        <v/>
      </c>
      <c r="F2127" s="10" t="str">
        <f aca="false">IF(OR(E2127="",E2127="!!!"),"",IF(NOT(ISNA(VLOOKUP(E2127,E$1:E2126,1,FALSE()))),"OLD",IF(AND(E2127&lt;&gt;"",E2127&lt;&gt;"!!!"),"NEW","")))</f>
        <v/>
      </c>
      <c r="G2127" s="11" t="str">
        <f aca="false">IF(OR(E2127="",E2127="!!!"),"",IF(OR(J2127=0,AND(J2127=1,K2127=1),AND(J2127=1,I2127="SBJ"),AND(J2127=1,I2127=0)),"?IN_FOCUS",IF(J2127&lt;=2,"?ACTIVATED",IF(J2127&lt;&gt;"","?FAMILIAR",IF(F2127="NEW",IF(ISNA(VLOOKUP(E2127,#REF!,1,FALSE())),"?TYPE_IDENTIFIABLE","?REFERENTIAL"),"_")))))</f>
        <v/>
      </c>
      <c r="H2127" s="12" t="str">
        <f aca="false">IF(J2127&lt;&gt;1,"",IF(I2127="SBJ","CB","?"))</f>
        <v/>
      </c>
      <c r="I2127" s="13" t="str">
        <f aca="false">IF(OR(E2127="",E2127="!!!",F2127="NEW"),"",INDEX(B$2:B2126,-1+SUMPRODUCT(MAX(ROW(E$2:E2126)*(E2127=E$2:E2126)))))</f>
        <v/>
      </c>
      <c r="J2127" s="14" t="str">
        <f aca="true">IF(OR(E2127="",E2127="!!!",F2127="NEW"),"",COUNTBLANK(OFFSET(A$1,,,SUMPRODUCT(MAX(ROW(E$2:E2127)*(E2127=E$2:E2127)))))-COUNTBLANK(OFFSET(A$1,,,SUMPRODUCT(MAX(ROW(E$1:E2126)*(E2127=E$1:E2126))))))</f>
        <v/>
      </c>
      <c r="K2127" s="14" t="str">
        <f aca="false">IF(OR(E2127="",E2127="!!!",F2127="NEW"),"",INDEX(J$1:J2126,SUMPRODUCT(MAX(ROW(E$1:E2126)*(E2127=E$1:E2126)))))</f>
        <v/>
      </c>
      <c r="L2127" s="15"/>
    </row>
    <row r="2128" customFormat="false" ht="12.75" hidden="false" customHeight="false" outlineLevel="0" collapsed="false">
      <c r="A2128" s="0" t="s">
        <v>830</v>
      </c>
      <c r="E2128" s="9" t="str">
        <f aca="false">IF(D2128="?OLD","!!!","")</f>
        <v/>
      </c>
      <c r="F2128" s="10" t="str">
        <f aca="false">IF(OR(E2128="",E2128="!!!"),"",IF(NOT(ISNA(VLOOKUP(E2128,E$1:E2127,1,FALSE()))),"OLD",IF(AND(E2128&lt;&gt;"",E2128&lt;&gt;"!!!"),"NEW","")))</f>
        <v/>
      </c>
      <c r="G2128" s="11" t="str">
        <f aca="false">IF(OR(E2128="",E2128="!!!"),"",IF(OR(J2128=0,AND(J2128=1,K2128=1),AND(J2128=1,I2128="SBJ"),AND(J2128=1,I2128=0)),"?IN_FOCUS",IF(J2128&lt;=2,"?ACTIVATED",IF(J2128&lt;&gt;"","?FAMILIAR",IF(F2128="NEW",IF(ISNA(VLOOKUP(E2128,#REF!,1,FALSE())),"?TYPE_IDENTIFIABLE","?REFERENTIAL"),"_")))))</f>
        <v/>
      </c>
      <c r="H2128" s="12" t="str">
        <f aca="false">IF(J2128&lt;&gt;1,"",IF(I2128="SBJ","CB","?"))</f>
        <v/>
      </c>
      <c r="I2128" s="13" t="str">
        <f aca="false">IF(OR(E2128="",E2128="!!!",F2128="NEW"),"",INDEX(B$2:B2127,-1+SUMPRODUCT(MAX(ROW(E$2:E2127)*(E2128=E$2:E2127)))))</f>
        <v/>
      </c>
      <c r="J2128" s="14" t="str">
        <f aca="true">IF(OR(E2128="",E2128="!!!",F2128="NEW"),"",COUNTBLANK(OFFSET(A$1,,,SUMPRODUCT(MAX(ROW(E$2:E2128)*(E2128=E$2:E2128)))))-COUNTBLANK(OFFSET(A$1,,,SUMPRODUCT(MAX(ROW(E$1:E2127)*(E2128=E$1:E2127))))))</f>
        <v/>
      </c>
      <c r="K2128" s="14" t="str">
        <f aca="false">IF(OR(E2128="",E2128="!!!",F2128="NEW"),"",INDEX(J$1:J2127,SUMPRODUCT(MAX(ROW(E$1:E2127)*(E2128=E$1:E2127)))))</f>
        <v/>
      </c>
      <c r="L2128" s="15"/>
    </row>
    <row r="2129" customFormat="false" ht="12.75" hidden="false" customHeight="false" outlineLevel="0" collapsed="false">
      <c r="A2129" s="0" t="s">
        <v>831</v>
      </c>
      <c r="B2129" s="0" t="s">
        <v>54</v>
      </c>
      <c r="C2129" s="0" t="s">
        <v>111</v>
      </c>
      <c r="D2129" s="0" t="s">
        <v>29</v>
      </c>
      <c r="E2129" s="9" t="str">
        <f aca="false">IF(D2129="?OLD","!!!","")</f>
        <v>!!!</v>
      </c>
      <c r="F2129" s="10" t="str">
        <f aca="false">IF(OR(E2129="",E2129="!!!"),"",IF(NOT(ISNA(VLOOKUP(E2129,E$1:E2128,1,FALSE()))),"OLD",IF(AND(E2129&lt;&gt;"",E2129&lt;&gt;"!!!"),"NEW","")))</f>
        <v/>
      </c>
      <c r="G2129" s="11" t="str">
        <f aca="false">IF(OR(E2129="",E2129="!!!"),"",IF(OR(J2129=0,AND(J2129=1,K2129=1),AND(J2129=1,I2129="SBJ"),AND(J2129=1,I2129=0)),"?IN_FOCUS",IF(J2129&lt;=2,"?ACTIVATED",IF(J2129&lt;&gt;"","?FAMILIAR",IF(F2129="NEW",IF(ISNA(VLOOKUP(E2129,#REF!,1,FALSE())),"?TYPE_IDENTIFIABLE","?REFERENTIAL"),"_")))))</f>
        <v/>
      </c>
      <c r="H2129" s="12" t="str">
        <f aca="false">IF(J2129&lt;&gt;1,"",IF(I2129="SBJ","CB","?"))</f>
        <v/>
      </c>
      <c r="I2129" s="13" t="str">
        <f aca="false">IF(OR(E2129="",E2129="!!!",F2129="NEW"),"",INDEX(B$2:B2128,-1+SUMPRODUCT(MAX(ROW(E$2:E2128)*(E2129=E$2:E2128)))))</f>
        <v/>
      </c>
      <c r="J2129" s="14" t="str">
        <f aca="true">IF(OR(E2129="",E2129="!!!",F2129="NEW"),"",COUNTBLANK(OFFSET(A$1,,,SUMPRODUCT(MAX(ROW(E$2:E2129)*(E2129=E$2:E2129)))))-COUNTBLANK(OFFSET(A$1,,,SUMPRODUCT(MAX(ROW(E$1:E2128)*(E2129=E$1:E2128))))))</f>
        <v/>
      </c>
      <c r="K2129" s="14" t="str">
        <f aca="false">IF(OR(E2129="",E2129="!!!",F2129="NEW"),"",INDEX(J$1:J2128,SUMPRODUCT(MAX(ROW(E$1:E2128)*(E2129=E$1:E2128)))))</f>
        <v/>
      </c>
      <c r="L2129" s="15"/>
    </row>
    <row r="2130" customFormat="false" ht="12.75" hidden="false" customHeight="false" outlineLevel="0" collapsed="false">
      <c r="A2130" s="0" t="s">
        <v>85</v>
      </c>
      <c r="B2130" s="0" t="s">
        <v>94</v>
      </c>
      <c r="E2130" s="9" t="str">
        <f aca="false">IF(D2130="?OLD","!!!","")</f>
        <v/>
      </c>
      <c r="F2130" s="10" t="str">
        <f aca="false">IF(OR(E2130="",E2130="!!!"),"",IF(NOT(ISNA(VLOOKUP(E2130,E$1:E2129,1,FALSE()))),"OLD",IF(AND(E2130&lt;&gt;"",E2130&lt;&gt;"!!!"),"NEW","")))</f>
        <v/>
      </c>
      <c r="G2130" s="11" t="str">
        <f aca="false">IF(OR(E2130="",E2130="!!!"),"",IF(OR(J2130=0,AND(J2130=1,K2130=1),AND(J2130=1,I2130="SBJ"),AND(J2130=1,I2130=0)),"?IN_FOCUS",IF(J2130&lt;=2,"?ACTIVATED",IF(J2130&lt;&gt;"","?FAMILIAR",IF(F2130="NEW",IF(ISNA(VLOOKUP(E2130,#REF!,1,FALSE())),"?TYPE_IDENTIFIABLE","?REFERENTIAL"),"_")))))</f>
        <v/>
      </c>
      <c r="H2130" s="12" t="str">
        <f aca="false">IF(J2130&lt;&gt;1,"",IF(I2130="SBJ","CB","?"))</f>
        <v/>
      </c>
      <c r="I2130" s="13" t="str">
        <f aca="false">IF(OR(E2130="",E2130="!!!",F2130="NEW"),"",INDEX(B$2:B2129,-1+SUMPRODUCT(MAX(ROW(E$2:E2129)*(E2130=E$2:E2129)))))</f>
        <v/>
      </c>
      <c r="J2130" s="14" t="str">
        <f aca="true">IF(OR(E2130="",E2130="!!!",F2130="NEW"),"",COUNTBLANK(OFFSET(A$1,,,SUMPRODUCT(MAX(ROW(E$2:E2130)*(E2130=E$2:E2130)))))-COUNTBLANK(OFFSET(A$1,,,SUMPRODUCT(MAX(ROW(E$1:E2129)*(E2130=E$1:E2129))))))</f>
        <v/>
      </c>
      <c r="K2130" s="14" t="str">
        <f aca="false">IF(OR(E2130="",E2130="!!!",F2130="NEW"),"",INDEX(J$1:J2129,SUMPRODUCT(MAX(ROW(E$1:E2129)*(E2130=E$1:E2129)))))</f>
        <v/>
      </c>
      <c r="L2130" s="15"/>
    </row>
    <row r="2131" customFormat="false" ht="12.75" hidden="false" customHeight="false" outlineLevel="0" collapsed="false">
      <c r="A2131" s="0" t="s">
        <v>124</v>
      </c>
      <c r="E2131" s="9" t="str">
        <f aca="false">IF(D2131="?OLD","!!!","")</f>
        <v/>
      </c>
      <c r="F2131" s="10" t="str">
        <f aca="false">IF(OR(E2131="",E2131="!!!"),"",IF(NOT(ISNA(VLOOKUP(E2131,E$1:E2130,1,FALSE()))),"OLD",IF(AND(E2131&lt;&gt;"",E2131&lt;&gt;"!!!"),"NEW","")))</f>
        <v/>
      </c>
      <c r="G2131" s="11" t="str">
        <f aca="false">IF(OR(E2131="",E2131="!!!"),"",IF(OR(J2131=0,AND(J2131=1,K2131=1),AND(J2131=1,I2131="SBJ"),AND(J2131=1,I2131=0)),"?IN_FOCUS",IF(J2131&lt;=2,"?ACTIVATED",IF(J2131&lt;&gt;"","?FAMILIAR",IF(F2131="NEW",IF(ISNA(VLOOKUP(E2131,#REF!,1,FALSE())),"?TYPE_IDENTIFIABLE","?REFERENTIAL"),"_")))))</f>
        <v/>
      </c>
      <c r="H2131" s="12" t="str">
        <f aca="false">IF(J2131&lt;&gt;1,"",IF(I2131="SBJ","CB","?"))</f>
        <v/>
      </c>
      <c r="I2131" s="13" t="str">
        <f aca="false">IF(OR(E2131="",E2131="!!!",F2131="NEW"),"",INDEX(B$2:B2130,-1+SUMPRODUCT(MAX(ROW(E$2:E2130)*(E2131=E$2:E2130)))))</f>
        <v/>
      </c>
      <c r="J2131" s="14" t="str">
        <f aca="true">IF(OR(E2131="",E2131="!!!",F2131="NEW"),"",COUNTBLANK(OFFSET(A$1,,,SUMPRODUCT(MAX(ROW(E$2:E2131)*(E2131=E$2:E2131)))))-COUNTBLANK(OFFSET(A$1,,,SUMPRODUCT(MAX(ROW(E$1:E2130)*(E2131=E$1:E2130))))))</f>
        <v/>
      </c>
      <c r="K2131" s="14" t="str">
        <f aca="false">IF(OR(E2131="",E2131="!!!",F2131="NEW"),"",INDEX(J$1:J2130,SUMPRODUCT(MAX(ROW(E$1:E2130)*(E2131=E$1:E2130)))))</f>
        <v/>
      </c>
      <c r="L2131" s="15"/>
    </row>
    <row r="2132" customFormat="false" ht="12.75" hidden="false" customHeight="false" outlineLevel="0" collapsed="false">
      <c r="A2132" s="0" t="s">
        <v>832</v>
      </c>
      <c r="E2132" s="9" t="str">
        <f aca="false">IF(D2132="?OLD","!!!","")</f>
        <v/>
      </c>
      <c r="F2132" s="10" t="str">
        <f aca="false">IF(OR(E2132="",E2132="!!!"),"",IF(NOT(ISNA(VLOOKUP(E2132,E$1:E2131,1,FALSE()))),"OLD",IF(AND(E2132&lt;&gt;"",E2132&lt;&gt;"!!!"),"NEW","")))</f>
        <v/>
      </c>
      <c r="G2132" s="11" t="str">
        <f aca="false">IF(OR(E2132="",E2132="!!!"),"",IF(OR(J2132=0,AND(J2132=1,K2132=1),AND(J2132=1,I2132="SBJ"),AND(J2132=1,I2132=0)),"?IN_FOCUS",IF(J2132&lt;=2,"?ACTIVATED",IF(J2132&lt;&gt;"","?FAMILIAR",IF(F2132="NEW",IF(ISNA(VLOOKUP(E2132,#REF!,1,FALSE())),"?TYPE_IDENTIFIABLE","?REFERENTIAL"),"_")))))</f>
        <v/>
      </c>
      <c r="H2132" s="12" t="str">
        <f aca="false">IF(J2132&lt;&gt;1,"",IF(I2132="SBJ","CB","?"))</f>
        <v/>
      </c>
      <c r="I2132" s="13" t="str">
        <f aca="false">IF(OR(E2132="",E2132="!!!",F2132="NEW"),"",INDEX(B$2:B2131,-1+SUMPRODUCT(MAX(ROW(E$2:E2131)*(E2132=E$2:E2131)))))</f>
        <v/>
      </c>
      <c r="J2132" s="14" t="str">
        <f aca="true">IF(OR(E2132="",E2132="!!!",F2132="NEW"),"",COUNTBLANK(OFFSET(A$1,,,SUMPRODUCT(MAX(ROW(E$2:E2132)*(E2132=E$2:E2132)))))-COUNTBLANK(OFFSET(A$1,,,SUMPRODUCT(MAX(ROW(E$1:E2131)*(E2132=E$1:E2131))))))</f>
        <v/>
      </c>
      <c r="K2132" s="14" t="str">
        <f aca="false">IF(OR(E2132="",E2132="!!!",F2132="NEW"),"",INDEX(J$1:J2131,SUMPRODUCT(MAX(ROW(E$1:E2131)*(E2132=E$1:E2131)))))</f>
        <v/>
      </c>
      <c r="L2132" s="15"/>
    </row>
    <row r="2133" customFormat="false" ht="12.75" hidden="false" customHeight="false" outlineLevel="0" collapsed="false">
      <c r="A2133" s="0" t="s">
        <v>513</v>
      </c>
      <c r="E2133" s="9" t="str">
        <f aca="false">IF(D2133="?OLD","!!!","")</f>
        <v/>
      </c>
      <c r="F2133" s="10" t="str">
        <f aca="false">IF(OR(E2133="",E2133="!!!"),"",IF(NOT(ISNA(VLOOKUP(E2133,E$1:E2132,1,FALSE()))),"OLD",IF(AND(E2133&lt;&gt;"",E2133&lt;&gt;"!!!"),"NEW","")))</f>
        <v/>
      </c>
      <c r="G2133" s="11" t="str">
        <f aca="false">IF(OR(E2133="",E2133="!!!"),"",IF(OR(J2133=0,AND(J2133=1,K2133=1),AND(J2133=1,I2133="SBJ"),AND(J2133=1,I2133=0)),"?IN_FOCUS",IF(J2133&lt;=2,"?ACTIVATED",IF(J2133&lt;&gt;"","?FAMILIAR",IF(F2133="NEW",IF(ISNA(VLOOKUP(E2133,#REF!,1,FALSE())),"?TYPE_IDENTIFIABLE","?REFERENTIAL"),"_")))))</f>
        <v/>
      </c>
      <c r="H2133" s="12" t="str">
        <f aca="false">IF(J2133&lt;&gt;1,"",IF(I2133="SBJ","CB","?"))</f>
        <v/>
      </c>
      <c r="I2133" s="13" t="str">
        <f aca="false">IF(OR(E2133="",E2133="!!!",F2133="NEW"),"",INDEX(B$2:B2132,-1+SUMPRODUCT(MAX(ROW(E$2:E2132)*(E2133=E$2:E2132)))))</f>
        <v/>
      </c>
      <c r="J2133" s="14" t="str">
        <f aca="true">IF(OR(E2133="",E2133="!!!",F2133="NEW"),"",COUNTBLANK(OFFSET(A$1,,,SUMPRODUCT(MAX(ROW(E$2:E2133)*(E2133=E$2:E2133)))))-COUNTBLANK(OFFSET(A$1,,,SUMPRODUCT(MAX(ROW(E$1:E2132)*(E2133=E$1:E2132))))))</f>
        <v/>
      </c>
      <c r="K2133" s="14" t="str">
        <f aca="false">IF(OR(E2133="",E2133="!!!",F2133="NEW"),"",INDEX(J$1:J2132,SUMPRODUCT(MAX(ROW(E$1:E2132)*(E2133=E$1:E2132)))))</f>
        <v/>
      </c>
      <c r="L2133" s="15"/>
    </row>
    <row r="2134" customFormat="false" ht="12.75" hidden="false" customHeight="false" outlineLevel="0" collapsed="false">
      <c r="A2134" s="0" t="s">
        <v>178</v>
      </c>
      <c r="E2134" s="9" t="str">
        <f aca="false">IF(D2134="?OLD","!!!","")</f>
        <v/>
      </c>
      <c r="F2134" s="10" t="str">
        <f aca="false">IF(OR(E2134="",E2134="!!!"),"",IF(NOT(ISNA(VLOOKUP(E2134,E$1:E2133,1,FALSE()))),"OLD",IF(AND(E2134&lt;&gt;"",E2134&lt;&gt;"!!!"),"NEW","")))</f>
        <v/>
      </c>
      <c r="G2134" s="11" t="str">
        <f aca="false">IF(OR(E2134="",E2134="!!!"),"",IF(OR(J2134=0,AND(J2134=1,K2134=1),AND(J2134=1,I2134="SBJ"),AND(J2134=1,I2134=0)),"?IN_FOCUS",IF(J2134&lt;=2,"?ACTIVATED",IF(J2134&lt;&gt;"","?FAMILIAR",IF(F2134="NEW",IF(ISNA(VLOOKUP(E2134,#REF!,1,FALSE())),"?TYPE_IDENTIFIABLE","?REFERENTIAL"),"_")))))</f>
        <v/>
      </c>
      <c r="H2134" s="12" t="str">
        <f aca="false">IF(J2134&lt;&gt;1,"",IF(I2134="SBJ","CB","?"))</f>
        <v/>
      </c>
      <c r="I2134" s="13" t="str">
        <f aca="false">IF(OR(E2134="",E2134="!!!",F2134="NEW"),"",INDEX(B$2:B2133,-1+SUMPRODUCT(MAX(ROW(E$2:E2133)*(E2134=E$2:E2133)))))</f>
        <v/>
      </c>
      <c r="J2134" s="14" t="str">
        <f aca="true">IF(OR(E2134="",E2134="!!!",F2134="NEW"),"",COUNTBLANK(OFFSET(A$1,,,SUMPRODUCT(MAX(ROW(E$2:E2134)*(E2134=E$2:E2134)))))-COUNTBLANK(OFFSET(A$1,,,SUMPRODUCT(MAX(ROW(E$1:E2133)*(E2134=E$1:E2133))))))</f>
        <v/>
      </c>
      <c r="K2134" s="14" t="str">
        <f aca="false">IF(OR(E2134="",E2134="!!!",F2134="NEW"),"",INDEX(J$1:J2133,SUMPRODUCT(MAX(ROW(E$1:E2133)*(E2134=E$1:E2133)))))</f>
        <v/>
      </c>
      <c r="L2134" s="15"/>
    </row>
    <row r="2135" customFormat="false" ht="12.75" hidden="false" customHeight="false" outlineLevel="0" collapsed="false">
      <c r="A2135" s="0" t="s">
        <v>142</v>
      </c>
      <c r="B2135" s="0" t="s">
        <v>163</v>
      </c>
      <c r="C2135" s="0" t="s">
        <v>38</v>
      </c>
      <c r="D2135" s="0" t="s">
        <v>29</v>
      </c>
      <c r="E2135" s="9" t="str">
        <f aca="false">IF(D2135="?OLD","!!!","")</f>
        <v>!!!</v>
      </c>
      <c r="F2135" s="10" t="str">
        <f aca="false">IF(OR(E2135="",E2135="!!!"),"",IF(NOT(ISNA(VLOOKUP(E2135,E$1:E2134,1,FALSE()))),"OLD",IF(AND(E2135&lt;&gt;"",E2135&lt;&gt;"!!!"),"NEW","")))</f>
        <v/>
      </c>
      <c r="G2135" s="11" t="str">
        <f aca="false">IF(OR(E2135="",E2135="!!!"),"",IF(OR(J2135=0,AND(J2135=1,K2135=1),AND(J2135=1,I2135="SBJ"),AND(J2135=1,I2135=0)),"?IN_FOCUS",IF(J2135&lt;=2,"?ACTIVATED",IF(J2135&lt;&gt;"","?FAMILIAR",IF(F2135="NEW",IF(ISNA(VLOOKUP(E2135,#REF!,1,FALSE())),"?TYPE_IDENTIFIABLE","?REFERENTIAL"),"_")))))</f>
        <v/>
      </c>
      <c r="H2135" s="12" t="str">
        <f aca="false">IF(J2135&lt;&gt;1,"",IF(I2135="SBJ","CB","?"))</f>
        <v/>
      </c>
      <c r="I2135" s="13" t="str">
        <f aca="false">IF(OR(E2135="",E2135="!!!",F2135="NEW"),"",INDEX(B$2:B2134,-1+SUMPRODUCT(MAX(ROW(E$2:E2134)*(E2135=E$2:E2134)))))</f>
        <v/>
      </c>
      <c r="J2135" s="14" t="str">
        <f aca="true">IF(OR(E2135="",E2135="!!!",F2135="NEW"),"",COUNTBLANK(OFFSET(A$1,,,SUMPRODUCT(MAX(ROW(E$2:E2135)*(E2135=E$2:E2135)))))-COUNTBLANK(OFFSET(A$1,,,SUMPRODUCT(MAX(ROW(E$1:E2134)*(E2135=E$1:E2134))))))</f>
        <v/>
      </c>
      <c r="K2135" s="14" t="str">
        <f aca="false">IF(OR(E2135="",E2135="!!!",F2135="NEW"),"",INDEX(J$1:J2134,SUMPRODUCT(MAX(ROW(E$1:E2134)*(E2135=E$1:E2134)))))</f>
        <v/>
      </c>
      <c r="L2135" s="15"/>
    </row>
    <row r="2136" customFormat="false" ht="12.75" hidden="false" customHeight="false" outlineLevel="0" collapsed="false">
      <c r="A2136" s="0" t="s">
        <v>79</v>
      </c>
      <c r="E2136" s="9" t="str">
        <f aca="false">IF(D2136="?OLD","!!!","")</f>
        <v/>
      </c>
      <c r="F2136" s="10" t="str">
        <f aca="false">IF(OR(E2136="",E2136="!!!"),"",IF(NOT(ISNA(VLOOKUP(E2136,E$1:E2135,1,FALSE()))),"OLD",IF(AND(E2136&lt;&gt;"",E2136&lt;&gt;"!!!"),"NEW","")))</f>
        <v/>
      </c>
      <c r="G2136" s="11" t="str">
        <f aca="false">IF(OR(E2136="",E2136="!!!"),"",IF(OR(J2136=0,AND(J2136=1,K2136=1),AND(J2136=1,I2136="SBJ"),AND(J2136=1,I2136=0)),"?IN_FOCUS",IF(J2136&lt;=2,"?ACTIVATED",IF(J2136&lt;&gt;"","?FAMILIAR",IF(F2136="NEW",IF(ISNA(VLOOKUP(E2136,#REF!,1,FALSE())),"?TYPE_IDENTIFIABLE","?REFERENTIAL"),"_")))))</f>
        <v/>
      </c>
      <c r="H2136" s="12" t="str">
        <f aca="false">IF(J2136&lt;&gt;1,"",IF(I2136="SBJ","CB","?"))</f>
        <v/>
      </c>
      <c r="I2136" s="13" t="str">
        <f aca="false">IF(OR(E2136="",E2136="!!!",F2136="NEW"),"",INDEX(B$2:B2135,-1+SUMPRODUCT(MAX(ROW(E$2:E2135)*(E2136=E$2:E2135)))))</f>
        <v/>
      </c>
      <c r="J2136" s="14" t="str">
        <f aca="true">IF(OR(E2136="",E2136="!!!",F2136="NEW"),"",COUNTBLANK(OFFSET(A$1,,,SUMPRODUCT(MAX(ROW(E$2:E2136)*(E2136=E$2:E2136)))))-COUNTBLANK(OFFSET(A$1,,,SUMPRODUCT(MAX(ROW(E$1:E2135)*(E2136=E$1:E2135))))))</f>
        <v/>
      </c>
      <c r="K2136" s="14" t="str">
        <f aca="false">IF(OR(E2136="",E2136="!!!",F2136="NEW"),"",INDEX(J$1:J2135,SUMPRODUCT(MAX(ROW(E$1:E2135)*(E2136=E$1:E2135)))))</f>
        <v/>
      </c>
      <c r="L2136" s="15"/>
    </row>
    <row r="2137" customFormat="false" ht="12.75" hidden="false" customHeight="false" outlineLevel="0" collapsed="false">
      <c r="A2137" s="0" t="s">
        <v>66</v>
      </c>
      <c r="E2137" s="9" t="str">
        <f aca="false">IF(D2137="?OLD","!!!","")</f>
        <v/>
      </c>
      <c r="F2137" s="10" t="str">
        <f aca="false">IF(OR(E2137="",E2137="!!!"),"",IF(NOT(ISNA(VLOOKUP(E2137,E$1:E2136,1,FALSE()))),"OLD",IF(AND(E2137&lt;&gt;"",E2137&lt;&gt;"!!!"),"NEW","")))</f>
        <v/>
      </c>
      <c r="G2137" s="11" t="str">
        <f aca="false">IF(OR(E2137="",E2137="!!!"),"",IF(OR(J2137=0,AND(J2137=1,K2137=1),AND(J2137=1,I2137="SBJ"),AND(J2137=1,I2137=0)),"?IN_FOCUS",IF(J2137&lt;=2,"?ACTIVATED",IF(J2137&lt;&gt;"","?FAMILIAR",IF(F2137="NEW",IF(ISNA(VLOOKUP(E2137,#REF!,1,FALSE())),"?TYPE_IDENTIFIABLE","?REFERENTIAL"),"_")))))</f>
        <v/>
      </c>
      <c r="H2137" s="12" t="str">
        <f aca="false">IF(J2137&lt;&gt;1,"",IF(I2137="SBJ","CB","?"))</f>
        <v/>
      </c>
      <c r="I2137" s="13" t="str">
        <f aca="false">IF(OR(E2137="",E2137="!!!",F2137="NEW"),"",INDEX(B$2:B2136,-1+SUMPRODUCT(MAX(ROW(E$2:E2136)*(E2137=E$2:E2136)))))</f>
        <v/>
      </c>
      <c r="J2137" s="14" t="str">
        <f aca="true">IF(OR(E2137="",E2137="!!!",F2137="NEW"),"",COUNTBLANK(OFFSET(A$1,,,SUMPRODUCT(MAX(ROW(E$2:E2137)*(E2137=E$2:E2137)))))-COUNTBLANK(OFFSET(A$1,,,SUMPRODUCT(MAX(ROW(E$1:E2136)*(E2137=E$1:E2136))))))</f>
        <v/>
      </c>
      <c r="K2137" s="14" t="str">
        <f aca="false">IF(OR(E2137="",E2137="!!!",F2137="NEW"),"",INDEX(J$1:J2136,SUMPRODUCT(MAX(ROW(E$1:E2136)*(E2137=E$1:E2136)))))</f>
        <v/>
      </c>
      <c r="L2137" s="15"/>
    </row>
    <row r="2138" customFormat="false" ht="12.75" hidden="false" customHeight="false" outlineLevel="0" collapsed="false">
      <c r="A2138" s="0" t="s">
        <v>833</v>
      </c>
      <c r="B2138" s="0" t="s">
        <v>163</v>
      </c>
      <c r="C2138" s="0" t="s">
        <v>111</v>
      </c>
      <c r="D2138" s="0" t="s">
        <v>29</v>
      </c>
      <c r="E2138" s="9" t="str">
        <f aca="false">IF(D2138="?OLD","!!!","")</f>
        <v>!!!</v>
      </c>
      <c r="F2138" s="10" t="str">
        <f aca="false">IF(OR(E2138="",E2138="!!!"),"",IF(NOT(ISNA(VLOOKUP(E2138,E$1:E2137,1,FALSE()))),"OLD",IF(AND(E2138&lt;&gt;"",E2138&lt;&gt;"!!!"),"NEW","")))</f>
        <v/>
      </c>
      <c r="G2138" s="11" t="str">
        <f aca="false">IF(OR(E2138="",E2138="!!!"),"",IF(OR(J2138=0,AND(J2138=1,K2138=1),AND(J2138=1,I2138="SBJ"),AND(J2138=1,I2138=0)),"?IN_FOCUS",IF(J2138&lt;=2,"?ACTIVATED",IF(J2138&lt;&gt;"","?FAMILIAR",IF(F2138="NEW",IF(ISNA(VLOOKUP(E2138,#REF!,1,FALSE())),"?TYPE_IDENTIFIABLE","?REFERENTIAL"),"_")))))</f>
        <v/>
      </c>
      <c r="H2138" s="12" t="str">
        <f aca="false">IF(J2138&lt;&gt;1,"",IF(I2138="SBJ","CB","?"))</f>
        <v/>
      </c>
      <c r="I2138" s="13" t="str">
        <f aca="false">IF(OR(E2138="",E2138="!!!",F2138="NEW"),"",INDEX(B$2:B2137,-1+SUMPRODUCT(MAX(ROW(E$2:E2137)*(E2138=E$2:E2137)))))</f>
        <v/>
      </c>
      <c r="J2138" s="14" t="str">
        <f aca="true">IF(OR(E2138="",E2138="!!!",F2138="NEW"),"",COUNTBLANK(OFFSET(A$1,,,SUMPRODUCT(MAX(ROW(E$2:E2138)*(E2138=E$2:E2138)))))-COUNTBLANK(OFFSET(A$1,,,SUMPRODUCT(MAX(ROW(E$1:E2137)*(E2138=E$1:E2137))))))</f>
        <v/>
      </c>
      <c r="K2138" s="14" t="str">
        <f aca="false">IF(OR(E2138="",E2138="!!!",F2138="NEW"),"",INDEX(J$1:J2137,SUMPRODUCT(MAX(ROW(E$1:E2137)*(E2138=E$1:E2137)))))</f>
        <v/>
      </c>
      <c r="L2138" s="15"/>
    </row>
    <row r="2139" customFormat="false" ht="12.75" hidden="false" customHeight="false" outlineLevel="0" collapsed="false">
      <c r="A2139" s="0" t="s">
        <v>19</v>
      </c>
      <c r="E2139" s="9" t="str">
        <f aca="false">IF(D2139="?OLD","!!!","")</f>
        <v/>
      </c>
      <c r="F2139" s="10" t="str">
        <f aca="false">IF(OR(E2139="",E2139="!!!"),"",IF(NOT(ISNA(VLOOKUP(E2139,E$1:E2138,1,FALSE()))),"OLD",IF(AND(E2139&lt;&gt;"",E2139&lt;&gt;"!!!"),"NEW","")))</f>
        <v/>
      </c>
      <c r="G2139" s="11" t="str">
        <f aca="false">IF(OR(E2139="",E2139="!!!"),"",IF(OR(J2139=0,AND(J2139=1,K2139=1),AND(J2139=1,I2139="SBJ"),AND(J2139=1,I2139=0)),"?IN_FOCUS",IF(J2139&lt;=2,"?ACTIVATED",IF(J2139&lt;&gt;"","?FAMILIAR",IF(F2139="NEW",IF(ISNA(VLOOKUP(E2139,#REF!,1,FALSE())),"?TYPE_IDENTIFIABLE","?REFERENTIAL"),"_")))))</f>
        <v/>
      </c>
      <c r="H2139" s="12" t="str">
        <f aca="false">IF(J2139&lt;&gt;1,"",IF(I2139="SBJ","CB","?"))</f>
        <v/>
      </c>
      <c r="I2139" s="13" t="str">
        <f aca="false">IF(OR(E2139="",E2139="!!!",F2139="NEW"),"",INDEX(B$2:B2138,-1+SUMPRODUCT(MAX(ROW(E$2:E2138)*(E2139=E$2:E2138)))))</f>
        <v/>
      </c>
      <c r="J2139" s="14" t="str">
        <f aca="true">IF(OR(E2139="",E2139="!!!",F2139="NEW"),"",COUNTBLANK(OFFSET(A$1,,,SUMPRODUCT(MAX(ROW(E$2:E2139)*(E2139=E$2:E2139)))))-COUNTBLANK(OFFSET(A$1,,,SUMPRODUCT(MAX(ROW(E$1:E2138)*(E2139=E$1:E2138))))))</f>
        <v/>
      </c>
      <c r="K2139" s="14" t="str">
        <f aca="false">IF(OR(E2139="",E2139="!!!",F2139="NEW"),"",INDEX(J$1:J2138,SUMPRODUCT(MAX(ROW(E$1:E2138)*(E2139=E$1:E2138)))))</f>
        <v/>
      </c>
      <c r="L2139" s="15"/>
    </row>
    <row r="2140" customFormat="false" ht="12.75" hidden="false" customHeight="false" outlineLevel="0" collapsed="false">
      <c r="A2140" s="0" t="s">
        <v>66</v>
      </c>
      <c r="E2140" s="9" t="str">
        <f aca="false">IF(D2140="?OLD","!!!","")</f>
        <v/>
      </c>
      <c r="F2140" s="10" t="str">
        <f aca="false">IF(OR(E2140="",E2140="!!!"),"",IF(NOT(ISNA(VLOOKUP(E2140,E$1:E2139,1,FALSE()))),"OLD",IF(AND(E2140&lt;&gt;"",E2140&lt;&gt;"!!!"),"NEW","")))</f>
        <v/>
      </c>
      <c r="G2140" s="11" t="str">
        <f aca="false">IF(OR(E2140="",E2140="!!!"),"",IF(OR(J2140=0,AND(J2140=1,K2140=1),AND(J2140=1,I2140="SBJ"),AND(J2140=1,I2140=0)),"?IN_FOCUS",IF(J2140&lt;=2,"?ACTIVATED",IF(J2140&lt;&gt;"","?FAMILIAR",IF(F2140="NEW",IF(ISNA(VLOOKUP(E2140,#REF!,1,FALSE())),"?TYPE_IDENTIFIABLE","?REFERENTIAL"),"_")))))</f>
        <v/>
      </c>
      <c r="H2140" s="12" t="str">
        <f aca="false">IF(J2140&lt;&gt;1,"",IF(I2140="SBJ","CB","?"))</f>
        <v/>
      </c>
      <c r="I2140" s="13" t="str">
        <f aca="false">IF(OR(E2140="",E2140="!!!",F2140="NEW"),"",INDEX(B$2:B2139,-1+SUMPRODUCT(MAX(ROW(E$2:E2139)*(E2140=E$2:E2139)))))</f>
        <v/>
      </c>
      <c r="J2140" s="14" t="str">
        <f aca="true">IF(OR(E2140="",E2140="!!!",F2140="NEW"),"",COUNTBLANK(OFFSET(A$1,,,SUMPRODUCT(MAX(ROW(E$2:E2140)*(E2140=E$2:E2140)))))-COUNTBLANK(OFFSET(A$1,,,SUMPRODUCT(MAX(ROW(E$1:E2139)*(E2140=E$1:E2139))))))</f>
        <v/>
      </c>
      <c r="K2140" s="14" t="str">
        <f aca="false">IF(OR(E2140="",E2140="!!!",F2140="NEW"),"",INDEX(J$1:J2139,SUMPRODUCT(MAX(ROW(E$1:E2139)*(E2140=E$1:E2139)))))</f>
        <v/>
      </c>
      <c r="L2140" s="15"/>
    </row>
    <row r="2141" customFormat="false" ht="12.75" hidden="false" customHeight="false" outlineLevel="0" collapsed="false">
      <c r="A2141" s="0" t="s">
        <v>329</v>
      </c>
      <c r="B2141" s="0" t="s">
        <v>834</v>
      </c>
      <c r="C2141" s="0" t="s">
        <v>111</v>
      </c>
      <c r="D2141" s="0" t="s">
        <v>29</v>
      </c>
      <c r="E2141" s="9" t="str">
        <f aca="false">IF(D2141="?OLD","!!!","")</f>
        <v>!!!</v>
      </c>
      <c r="F2141" s="10" t="str">
        <f aca="false">IF(OR(E2141="",E2141="!!!"),"",IF(NOT(ISNA(VLOOKUP(E2141,E$1:E2140,1,FALSE()))),"OLD",IF(AND(E2141&lt;&gt;"",E2141&lt;&gt;"!!!"),"NEW","")))</f>
        <v/>
      </c>
      <c r="G2141" s="11" t="str">
        <f aca="false">IF(OR(E2141="",E2141="!!!"),"",IF(OR(J2141=0,AND(J2141=1,K2141=1),AND(J2141=1,I2141="SBJ"),AND(J2141=1,I2141=0)),"?IN_FOCUS",IF(J2141&lt;=2,"?ACTIVATED",IF(J2141&lt;&gt;"","?FAMILIAR",IF(F2141="NEW",IF(ISNA(VLOOKUP(E2141,#REF!,1,FALSE())),"?TYPE_IDENTIFIABLE","?REFERENTIAL"),"_")))))</f>
        <v/>
      </c>
      <c r="H2141" s="12" t="str">
        <f aca="false">IF(J2141&lt;&gt;1,"",IF(I2141="SBJ","CB","?"))</f>
        <v/>
      </c>
      <c r="I2141" s="13" t="str">
        <f aca="false">IF(OR(E2141="",E2141="!!!",F2141="NEW"),"",INDEX(B$2:B2140,-1+SUMPRODUCT(MAX(ROW(E$2:E2140)*(E2141=E$2:E2140)))))</f>
        <v/>
      </c>
      <c r="J2141" s="14" t="str">
        <f aca="true">IF(OR(E2141="",E2141="!!!",F2141="NEW"),"",COUNTBLANK(OFFSET(A$1,,,SUMPRODUCT(MAX(ROW(E$2:E2141)*(E2141=E$2:E2141)))))-COUNTBLANK(OFFSET(A$1,,,SUMPRODUCT(MAX(ROW(E$1:E2140)*(E2141=E$1:E2140))))))</f>
        <v/>
      </c>
      <c r="K2141" s="14" t="str">
        <f aca="false">IF(OR(E2141="",E2141="!!!",F2141="NEW"),"",INDEX(J$1:J2140,SUMPRODUCT(MAX(ROW(E$1:E2140)*(E2141=E$1:E2140)))))</f>
        <v/>
      </c>
      <c r="L2141" s="15"/>
    </row>
    <row r="2142" customFormat="false" ht="12.75" hidden="false" customHeight="false" outlineLevel="0" collapsed="false">
      <c r="A2142" s="0" t="s">
        <v>73</v>
      </c>
      <c r="E2142" s="9" t="str">
        <f aca="false">IF(D2142="?OLD","!!!","")</f>
        <v/>
      </c>
      <c r="F2142" s="10" t="str">
        <f aca="false">IF(OR(E2142="",E2142="!!!"),"",IF(NOT(ISNA(VLOOKUP(E2142,E$1:E2141,1,FALSE()))),"OLD",IF(AND(E2142&lt;&gt;"",E2142&lt;&gt;"!!!"),"NEW","")))</f>
        <v/>
      </c>
      <c r="G2142" s="11" t="str">
        <f aca="false">IF(OR(E2142="",E2142="!!!"),"",IF(OR(J2142=0,AND(J2142=1,K2142=1),AND(J2142=1,I2142="SBJ"),AND(J2142=1,I2142=0)),"?IN_FOCUS",IF(J2142&lt;=2,"?ACTIVATED",IF(J2142&lt;&gt;"","?FAMILIAR",IF(F2142="NEW",IF(ISNA(VLOOKUP(E2142,#REF!,1,FALSE())),"?TYPE_IDENTIFIABLE","?REFERENTIAL"),"_")))))</f>
        <v/>
      </c>
      <c r="H2142" s="12" t="str">
        <f aca="false">IF(J2142&lt;&gt;1,"",IF(I2142="SBJ","CB","?"))</f>
        <v/>
      </c>
      <c r="I2142" s="13" t="str">
        <f aca="false">IF(OR(E2142="",E2142="!!!",F2142="NEW"),"",INDEX(B$2:B2141,-1+SUMPRODUCT(MAX(ROW(E$2:E2141)*(E2142=E$2:E2141)))))</f>
        <v/>
      </c>
      <c r="J2142" s="14" t="str">
        <f aca="true">IF(OR(E2142="",E2142="!!!",F2142="NEW"),"",COUNTBLANK(OFFSET(A$1,,,SUMPRODUCT(MAX(ROW(E$2:E2142)*(E2142=E$2:E2142)))))-COUNTBLANK(OFFSET(A$1,,,SUMPRODUCT(MAX(ROW(E$1:E2141)*(E2142=E$1:E2141))))))</f>
        <v/>
      </c>
      <c r="K2142" s="14" t="str">
        <f aca="false">IF(OR(E2142="",E2142="!!!",F2142="NEW"),"",INDEX(J$1:J2141,SUMPRODUCT(MAX(ROW(E$1:E2141)*(E2142=E$1:E2141)))))</f>
        <v/>
      </c>
      <c r="L2142" s="15"/>
    </row>
    <row r="2143" customFormat="false" ht="12.75" hidden="false" customHeight="false" outlineLevel="0" collapsed="false">
      <c r="E2143" s="9" t="str">
        <f aca="false">IF(D2143="?OLD","!!!","")</f>
        <v/>
      </c>
      <c r="F2143" s="10" t="str">
        <f aca="false">IF(OR(E2143="",E2143="!!!"),"",IF(NOT(ISNA(VLOOKUP(E2143,E$1:E2142,1,FALSE()))),"OLD",IF(AND(E2143&lt;&gt;"",E2143&lt;&gt;"!!!"),"NEW","")))</f>
        <v/>
      </c>
      <c r="G2143" s="11" t="str">
        <f aca="false">IF(OR(E2143="",E2143="!!!"),"",IF(OR(J2143=0,AND(J2143=1,K2143=1),AND(J2143=1,I2143="SBJ"),AND(J2143=1,I2143=0)),"?IN_FOCUS",IF(J2143&lt;=2,"?ACTIVATED",IF(J2143&lt;&gt;"","?FAMILIAR",IF(F2143="NEW",IF(ISNA(VLOOKUP(E2143,#REF!,1,FALSE())),"?TYPE_IDENTIFIABLE","?REFERENTIAL"),"_")))))</f>
        <v/>
      </c>
      <c r="H2143" s="12" t="str">
        <f aca="false">IF(J2143&lt;&gt;1,"",IF(I2143="SBJ","CB","?"))</f>
        <v/>
      </c>
      <c r="I2143" s="13" t="str">
        <f aca="false">IF(OR(E2143="",E2143="!!!",F2143="NEW"),"",INDEX(B$2:B2142,-1+SUMPRODUCT(MAX(ROW(E$2:E2142)*(E2143=E$2:E2142)))))</f>
        <v/>
      </c>
      <c r="J2143" s="14" t="str">
        <f aca="true">IF(OR(E2143="",E2143="!!!",F2143="NEW"),"",COUNTBLANK(OFFSET(A$1,,,SUMPRODUCT(MAX(ROW(E$2:E2143)*(E2143=E$2:E2143)))))-COUNTBLANK(OFFSET(A$1,,,SUMPRODUCT(MAX(ROW(E$1:E2142)*(E2143=E$1:E2142))))))</f>
        <v/>
      </c>
      <c r="K2143" s="14" t="str">
        <f aca="false">IF(OR(E2143="",E2143="!!!",F2143="NEW"),"",INDEX(J$1:J2142,SUMPRODUCT(MAX(ROW(E$1:E2142)*(E2143=E$1:E2142)))))</f>
        <v/>
      </c>
      <c r="L2143" s="15"/>
    </row>
    <row r="2144" customFormat="false" ht="12.75" hidden="false" customHeight="false" outlineLevel="0" collapsed="false">
      <c r="A2144" s="0" t="s">
        <v>835</v>
      </c>
      <c r="E2144" s="9" t="str">
        <f aca="false">IF(D2144="?OLD","!!!","")</f>
        <v/>
      </c>
      <c r="F2144" s="10" t="str">
        <f aca="false">IF(OR(E2144="",E2144="!!!"),"",IF(NOT(ISNA(VLOOKUP(E2144,E$1:E2143,1,FALSE()))),"OLD",IF(AND(E2144&lt;&gt;"",E2144&lt;&gt;"!!!"),"NEW","")))</f>
        <v/>
      </c>
      <c r="G2144" s="11" t="str">
        <f aca="false">IF(OR(E2144="",E2144="!!!"),"",IF(OR(J2144=0,AND(J2144=1,K2144=1),AND(J2144=1,I2144="SBJ"),AND(J2144=1,I2144=0)),"?IN_FOCUS",IF(J2144&lt;=2,"?ACTIVATED",IF(J2144&lt;&gt;"","?FAMILIAR",IF(F2144="NEW",IF(ISNA(VLOOKUP(E2144,#REF!,1,FALSE())),"?TYPE_IDENTIFIABLE","?REFERENTIAL"),"_")))))</f>
        <v/>
      </c>
      <c r="H2144" s="12" t="str">
        <f aca="false">IF(J2144&lt;&gt;1,"",IF(I2144="SBJ","CB","?"))</f>
        <v/>
      </c>
      <c r="I2144" s="13" t="str">
        <f aca="false">IF(OR(E2144="",E2144="!!!",F2144="NEW"),"",INDEX(B$2:B2143,-1+SUMPRODUCT(MAX(ROW(E$2:E2143)*(E2144=E$2:E2143)))))</f>
        <v/>
      </c>
      <c r="J2144" s="14" t="str">
        <f aca="true">IF(OR(E2144="",E2144="!!!",F2144="NEW"),"",COUNTBLANK(OFFSET(A$1,,,SUMPRODUCT(MAX(ROW(E$2:E2144)*(E2144=E$2:E2144)))))-COUNTBLANK(OFFSET(A$1,,,SUMPRODUCT(MAX(ROW(E$1:E2143)*(E2144=E$1:E2143))))))</f>
        <v/>
      </c>
      <c r="K2144" s="14" t="str">
        <f aca="false">IF(OR(E2144="",E2144="!!!",F2144="NEW"),"",INDEX(J$1:J2143,SUMPRODUCT(MAX(ROW(E$1:E2143)*(E2144=E$1:E2143)))))</f>
        <v/>
      </c>
      <c r="L2144" s="15"/>
    </row>
    <row r="2145" customFormat="false" ht="12.75" hidden="false" customHeight="false" outlineLevel="0" collapsed="false">
      <c r="A2145" s="0" t="s">
        <v>311</v>
      </c>
      <c r="E2145" s="9" t="str">
        <f aca="false">IF(D2145="?OLD","!!!","")</f>
        <v/>
      </c>
      <c r="F2145" s="10" t="str">
        <f aca="false">IF(OR(E2145="",E2145="!!!"),"",IF(NOT(ISNA(VLOOKUP(E2145,E$1:E2144,1,FALSE()))),"OLD",IF(AND(E2145&lt;&gt;"",E2145&lt;&gt;"!!!"),"NEW","")))</f>
        <v/>
      </c>
      <c r="G2145" s="11" t="str">
        <f aca="false">IF(OR(E2145="",E2145="!!!"),"",IF(OR(J2145=0,AND(J2145=1,K2145=1),AND(J2145=1,I2145="SBJ"),AND(J2145=1,I2145=0)),"?IN_FOCUS",IF(J2145&lt;=2,"?ACTIVATED",IF(J2145&lt;&gt;"","?FAMILIAR",IF(F2145="NEW",IF(ISNA(VLOOKUP(E2145,#REF!,1,FALSE())),"?TYPE_IDENTIFIABLE","?REFERENTIAL"),"_")))))</f>
        <v/>
      </c>
      <c r="H2145" s="12" t="str">
        <f aca="false">IF(J2145&lt;&gt;1,"",IF(I2145="SBJ","CB","?"))</f>
        <v/>
      </c>
      <c r="I2145" s="13" t="str">
        <f aca="false">IF(OR(E2145="",E2145="!!!",F2145="NEW"),"",INDEX(B$2:B2144,-1+SUMPRODUCT(MAX(ROW(E$2:E2144)*(E2145=E$2:E2144)))))</f>
        <v/>
      </c>
      <c r="J2145" s="14" t="str">
        <f aca="true">IF(OR(E2145="",E2145="!!!",F2145="NEW"),"",COUNTBLANK(OFFSET(A$1,,,SUMPRODUCT(MAX(ROW(E$2:E2145)*(E2145=E$2:E2145)))))-COUNTBLANK(OFFSET(A$1,,,SUMPRODUCT(MAX(ROW(E$1:E2144)*(E2145=E$1:E2144))))))</f>
        <v/>
      </c>
      <c r="K2145" s="14" t="str">
        <f aca="false">IF(OR(E2145="",E2145="!!!",F2145="NEW"),"",INDEX(J$1:J2144,SUMPRODUCT(MAX(ROW(E$1:E2144)*(E2145=E$1:E2144)))))</f>
        <v/>
      </c>
      <c r="L2145" s="15"/>
    </row>
    <row r="2146" customFormat="false" ht="12.75" hidden="false" customHeight="false" outlineLevel="0" collapsed="false">
      <c r="A2146" s="0" t="s">
        <v>836</v>
      </c>
      <c r="B2146" s="0" t="s">
        <v>14</v>
      </c>
      <c r="C2146" s="0" t="s">
        <v>43</v>
      </c>
      <c r="E2146" s="9" t="str">
        <f aca="false">IF(D2146="?OLD","!!!","")</f>
        <v/>
      </c>
      <c r="F2146" s="10" t="str">
        <f aca="false">IF(OR(E2146="",E2146="!!!"),"",IF(NOT(ISNA(VLOOKUP(E2146,E$1:E2145,1,FALSE()))),"OLD",IF(AND(E2146&lt;&gt;"",E2146&lt;&gt;"!!!"),"NEW","")))</f>
        <v/>
      </c>
      <c r="G2146" s="11" t="str">
        <f aca="false">IF(OR(E2146="",E2146="!!!"),"",IF(OR(J2146=0,AND(J2146=1,K2146=1),AND(J2146=1,I2146="SBJ"),AND(J2146=1,I2146=0)),"?IN_FOCUS",IF(J2146&lt;=2,"?ACTIVATED",IF(J2146&lt;&gt;"","?FAMILIAR",IF(F2146="NEW",IF(ISNA(VLOOKUP(E2146,#REF!,1,FALSE())),"?TYPE_IDENTIFIABLE","?REFERENTIAL"),"_")))))</f>
        <v/>
      </c>
      <c r="H2146" s="12" t="str">
        <f aca="false">IF(J2146&lt;&gt;1,"",IF(I2146="SBJ","CB","?"))</f>
        <v/>
      </c>
      <c r="I2146" s="13" t="str">
        <f aca="false">IF(OR(E2146="",E2146="!!!",F2146="NEW"),"",INDEX(B$2:B2145,-1+SUMPRODUCT(MAX(ROW(E$2:E2145)*(E2146=E$2:E2145)))))</f>
        <v/>
      </c>
      <c r="J2146" s="14" t="str">
        <f aca="true">IF(OR(E2146="",E2146="!!!",F2146="NEW"),"",COUNTBLANK(OFFSET(A$1,,,SUMPRODUCT(MAX(ROW(E$2:E2146)*(E2146=E$2:E2146)))))-COUNTBLANK(OFFSET(A$1,,,SUMPRODUCT(MAX(ROW(E$1:E2145)*(E2146=E$1:E2145))))))</f>
        <v/>
      </c>
      <c r="K2146" s="14" t="str">
        <f aca="false">IF(OR(E2146="",E2146="!!!",F2146="NEW"),"",INDEX(J$1:J2145,SUMPRODUCT(MAX(ROW(E$1:E2145)*(E2146=E$1:E2145)))))</f>
        <v/>
      </c>
      <c r="L2146" s="15"/>
    </row>
    <row r="2147" customFormat="false" ht="12.75" hidden="false" customHeight="false" outlineLevel="0" collapsed="false">
      <c r="A2147" s="0" t="s">
        <v>36</v>
      </c>
      <c r="B2147" s="0" t="s">
        <v>47</v>
      </c>
      <c r="C2147" s="0" t="s">
        <v>38</v>
      </c>
      <c r="D2147" s="0" t="s">
        <v>29</v>
      </c>
      <c r="E2147" s="9" t="str">
        <f aca="false">IF(D2147="?OLD","!!!","")</f>
        <v>!!!</v>
      </c>
      <c r="F2147" s="10" t="str">
        <f aca="false">IF(OR(E2147="",E2147="!!!"),"",IF(NOT(ISNA(VLOOKUP(E2147,E$1:E2146,1,FALSE()))),"OLD",IF(AND(E2147&lt;&gt;"",E2147&lt;&gt;"!!!"),"NEW","")))</f>
        <v/>
      </c>
      <c r="G2147" s="11" t="str">
        <f aca="false">IF(OR(E2147="",E2147="!!!"),"",IF(OR(J2147=0,AND(J2147=1,K2147=1),AND(J2147=1,I2147="SBJ"),AND(J2147=1,I2147=0)),"?IN_FOCUS",IF(J2147&lt;=2,"?ACTIVATED",IF(J2147&lt;&gt;"","?FAMILIAR",IF(F2147="NEW",IF(ISNA(VLOOKUP(E2147,#REF!,1,FALSE())),"?TYPE_IDENTIFIABLE","?REFERENTIAL"),"_")))))</f>
        <v/>
      </c>
      <c r="H2147" s="12" t="str">
        <f aca="false">IF(J2147&lt;&gt;1,"",IF(I2147="SBJ","CB","?"))</f>
        <v/>
      </c>
      <c r="I2147" s="13" t="str">
        <f aca="false">IF(OR(E2147="",E2147="!!!",F2147="NEW"),"",INDEX(B$2:B2146,-1+SUMPRODUCT(MAX(ROW(E$2:E2146)*(E2147=E$2:E2146)))))</f>
        <v/>
      </c>
      <c r="J2147" s="14" t="str">
        <f aca="true">IF(OR(E2147="",E2147="!!!",F2147="NEW"),"",COUNTBLANK(OFFSET(A$1,,,SUMPRODUCT(MAX(ROW(E$2:E2147)*(E2147=E$2:E2147)))))-COUNTBLANK(OFFSET(A$1,,,SUMPRODUCT(MAX(ROW(E$1:E2146)*(E2147=E$1:E2146))))))</f>
        <v/>
      </c>
      <c r="K2147" s="14" t="str">
        <f aca="false">IF(OR(E2147="",E2147="!!!",F2147="NEW"),"",INDEX(J$1:J2146,SUMPRODUCT(MAX(ROW(E$1:E2146)*(E2147=E$1:E2146)))))</f>
        <v/>
      </c>
      <c r="L2147" s="15"/>
    </row>
    <row r="2148" customFormat="false" ht="12.75" hidden="false" customHeight="false" outlineLevel="0" collapsed="false">
      <c r="A2148" s="0" t="s">
        <v>48</v>
      </c>
      <c r="E2148" s="9" t="str">
        <f aca="false">IF(D2148="?OLD","!!!","")</f>
        <v/>
      </c>
      <c r="F2148" s="10" t="str">
        <f aca="false">IF(OR(E2148="",E2148="!!!"),"",IF(NOT(ISNA(VLOOKUP(E2148,E$1:E2147,1,FALSE()))),"OLD",IF(AND(E2148&lt;&gt;"",E2148&lt;&gt;"!!!"),"NEW","")))</f>
        <v/>
      </c>
      <c r="G2148" s="11" t="str">
        <f aca="false">IF(OR(E2148="",E2148="!!!"),"",IF(OR(J2148=0,AND(J2148=1,K2148=1),AND(J2148=1,I2148="SBJ"),AND(J2148=1,I2148=0)),"?IN_FOCUS",IF(J2148&lt;=2,"?ACTIVATED",IF(J2148&lt;&gt;"","?FAMILIAR",IF(F2148="NEW",IF(ISNA(VLOOKUP(E2148,#REF!,1,FALSE())),"?TYPE_IDENTIFIABLE","?REFERENTIAL"),"_")))))</f>
        <v/>
      </c>
      <c r="H2148" s="12" t="str">
        <f aca="false">IF(J2148&lt;&gt;1,"",IF(I2148="SBJ","CB","?"))</f>
        <v/>
      </c>
      <c r="I2148" s="13" t="str">
        <f aca="false">IF(OR(E2148="",E2148="!!!",F2148="NEW"),"",INDEX(B$2:B2147,-1+SUMPRODUCT(MAX(ROW(E$2:E2147)*(E2148=E$2:E2147)))))</f>
        <v/>
      </c>
      <c r="J2148" s="14" t="str">
        <f aca="true">IF(OR(E2148="",E2148="!!!",F2148="NEW"),"",COUNTBLANK(OFFSET(A$1,,,SUMPRODUCT(MAX(ROW(E$2:E2148)*(E2148=E$2:E2148)))))-COUNTBLANK(OFFSET(A$1,,,SUMPRODUCT(MAX(ROW(E$1:E2147)*(E2148=E$1:E2147))))))</f>
        <v/>
      </c>
      <c r="K2148" s="14" t="str">
        <f aca="false">IF(OR(E2148="",E2148="!!!",F2148="NEW"),"",INDEX(J$1:J2147,SUMPRODUCT(MAX(ROW(E$1:E2147)*(E2148=E$1:E2147)))))</f>
        <v/>
      </c>
      <c r="L2148" s="15"/>
    </row>
    <row r="2149" customFormat="false" ht="12.75" hidden="false" customHeight="false" outlineLevel="0" collapsed="false">
      <c r="A2149" s="0" t="s">
        <v>31</v>
      </c>
      <c r="E2149" s="9" t="str">
        <f aca="false">IF(D2149="?OLD","!!!","")</f>
        <v/>
      </c>
      <c r="F2149" s="10" t="str">
        <f aca="false">IF(OR(E2149="",E2149="!!!"),"",IF(NOT(ISNA(VLOOKUP(E2149,E$1:E2148,1,FALSE()))),"OLD",IF(AND(E2149&lt;&gt;"",E2149&lt;&gt;"!!!"),"NEW","")))</f>
        <v/>
      </c>
      <c r="G2149" s="11" t="str">
        <f aca="false">IF(OR(E2149="",E2149="!!!"),"",IF(OR(J2149=0,AND(J2149=1,K2149=1),AND(J2149=1,I2149="SBJ"),AND(J2149=1,I2149=0)),"?IN_FOCUS",IF(J2149&lt;=2,"?ACTIVATED",IF(J2149&lt;&gt;"","?FAMILIAR",IF(F2149="NEW",IF(ISNA(VLOOKUP(E2149,#REF!,1,FALSE())),"?TYPE_IDENTIFIABLE","?REFERENTIAL"),"_")))))</f>
        <v/>
      </c>
      <c r="H2149" s="12" t="str">
        <f aca="false">IF(J2149&lt;&gt;1,"",IF(I2149="SBJ","CB","?"))</f>
        <v/>
      </c>
      <c r="I2149" s="13" t="str">
        <f aca="false">IF(OR(E2149="",E2149="!!!",F2149="NEW"),"",INDEX(B$2:B2148,-1+SUMPRODUCT(MAX(ROW(E$2:E2148)*(E2149=E$2:E2148)))))</f>
        <v/>
      </c>
      <c r="J2149" s="14" t="str">
        <f aca="true">IF(OR(E2149="",E2149="!!!",F2149="NEW"),"",COUNTBLANK(OFFSET(A$1,,,SUMPRODUCT(MAX(ROW(E$2:E2149)*(E2149=E$2:E2149)))))-COUNTBLANK(OFFSET(A$1,,,SUMPRODUCT(MAX(ROW(E$1:E2148)*(E2149=E$1:E2148))))))</f>
        <v/>
      </c>
      <c r="K2149" s="14" t="str">
        <f aca="false">IF(OR(E2149="",E2149="!!!",F2149="NEW"),"",INDEX(J$1:J2148,SUMPRODUCT(MAX(ROW(E$1:E2148)*(E2149=E$1:E2148)))))</f>
        <v/>
      </c>
      <c r="L2149" s="15"/>
    </row>
    <row r="2150" customFormat="false" ht="12.75" hidden="false" customHeight="false" outlineLevel="0" collapsed="false">
      <c r="A2150" s="0" t="s">
        <v>373</v>
      </c>
      <c r="E2150" s="9" t="str">
        <f aca="false">IF(D2150="?OLD","!!!","")</f>
        <v/>
      </c>
      <c r="F2150" s="10" t="str">
        <f aca="false">IF(OR(E2150="",E2150="!!!"),"",IF(NOT(ISNA(VLOOKUP(E2150,E$1:E2149,1,FALSE()))),"OLD",IF(AND(E2150&lt;&gt;"",E2150&lt;&gt;"!!!"),"NEW","")))</f>
        <v/>
      </c>
      <c r="G2150" s="11" t="str">
        <f aca="false">IF(OR(E2150="",E2150="!!!"),"",IF(OR(J2150=0,AND(J2150=1,K2150=1),AND(J2150=1,I2150="SBJ"),AND(J2150=1,I2150=0)),"?IN_FOCUS",IF(J2150&lt;=2,"?ACTIVATED",IF(J2150&lt;&gt;"","?FAMILIAR",IF(F2150="NEW",IF(ISNA(VLOOKUP(E2150,#REF!,1,FALSE())),"?TYPE_IDENTIFIABLE","?REFERENTIAL"),"_")))))</f>
        <v/>
      </c>
      <c r="H2150" s="12" t="str">
        <f aca="false">IF(J2150&lt;&gt;1,"",IF(I2150="SBJ","CB","?"))</f>
        <v/>
      </c>
      <c r="I2150" s="13" t="str">
        <f aca="false">IF(OR(E2150="",E2150="!!!",F2150="NEW"),"",INDEX(B$2:B2149,-1+SUMPRODUCT(MAX(ROW(E$2:E2149)*(E2150=E$2:E2149)))))</f>
        <v/>
      </c>
      <c r="J2150" s="14" t="str">
        <f aca="true">IF(OR(E2150="",E2150="!!!",F2150="NEW"),"",COUNTBLANK(OFFSET(A$1,,,SUMPRODUCT(MAX(ROW(E$2:E2150)*(E2150=E$2:E2150)))))-COUNTBLANK(OFFSET(A$1,,,SUMPRODUCT(MAX(ROW(E$1:E2149)*(E2150=E$1:E2149))))))</f>
        <v/>
      </c>
      <c r="K2150" s="14" t="str">
        <f aca="false">IF(OR(E2150="",E2150="!!!",F2150="NEW"),"",INDEX(J$1:J2149,SUMPRODUCT(MAX(ROW(E$1:E2149)*(E2150=E$1:E2149)))))</f>
        <v/>
      </c>
      <c r="L2150" s="15"/>
    </row>
    <row r="2151" customFormat="false" ht="12.75" hidden="false" customHeight="false" outlineLevel="0" collapsed="false">
      <c r="A2151" s="0" t="s">
        <v>837</v>
      </c>
      <c r="E2151" s="9" t="str">
        <f aca="false">IF(D2151="?OLD","!!!","")</f>
        <v/>
      </c>
      <c r="F2151" s="10" t="str">
        <f aca="false">IF(OR(E2151="",E2151="!!!"),"",IF(NOT(ISNA(VLOOKUP(E2151,E$1:E2150,1,FALSE()))),"OLD",IF(AND(E2151&lt;&gt;"",E2151&lt;&gt;"!!!"),"NEW","")))</f>
        <v/>
      </c>
      <c r="G2151" s="11" t="str">
        <f aca="false">IF(OR(E2151="",E2151="!!!"),"",IF(OR(J2151=0,AND(J2151=1,K2151=1),AND(J2151=1,I2151="SBJ"),AND(J2151=1,I2151=0)),"?IN_FOCUS",IF(J2151&lt;=2,"?ACTIVATED",IF(J2151&lt;&gt;"","?FAMILIAR",IF(F2151="NEW",IF(ISNA(VLOOKUP(E2151,#REF!,1,FALSE())),"?TYPE_IDENTIFIABLE","?REFERENTIAL"),"_")))))</f>
        <v/>
      </c>
      <c r="H2151" s="12" t="str">
        <f aca="false">IF(J2151&lt;&gt;1,"",IF(I2151="SBJ","CB","?"))</f>
        <v/>
      </c>
      <c r="I2151" s="13" t="str">
        <f aca="false">IF(OR(E2151="",E2151="!!!",F2151="NEW"),"",INDEX(B$2:B2150,-1+SUMPRODUCT(MAX(ROW(E$2:E2150)*(E2151=E$2:E2150)))))</f>
        <v/>
      </c>
      <c r="J2151" s="14" t="str">
        <f aca="true">IF(OR(E2151="",E2151="!!!",F2151="NEW"),"",COUNTBLANK(OFFSET(A$1,,,SUMPRODUCT(MAX(ROW(E$2:E2151)*(E2151=E$2:E2151)))))-COUNTBLANK(OFFSET(A$1,,,SUMPRODUCT(MAX(ROW(E$1:E2150)*(E2151=E$1:E2150))))))</f>
        <v/>
      </c>
      <c r="K2151" s="14" t="str">
        <f aca="false">IF(OR(E2151="",E2151="!!!",F2151="NEW"),"",INDEX(J$1:J2150,SUMPRODUCT(MAX(ROW(E$1:E2150)*(E2151=E$1:E2150)))))</f>
        <v/>
      </c>
      <c r="L2151" s="15"/>
    </row>
    <row r="2152" customFormat="false" ht="12.75" hidden="false" customHeight="false" outlineLevel="0" collapsed="false">
      <c r="A2152" s="0" t="s">
        <v>838</v>
      </c>
      <c r="B2152" s="0" t="s">
        <v>64</v>
      </c>
      <c r="C2152" s="0" t="s">
        <v>120</v>
      </c>
      <c r="E2152" s="9" t="str">
        <f aca="false">IF(D2152="?OLD","!!!","")</f>
        <v/>
      </c>
      <c r="F2152" s="10" t="str">
        <f aca="false">IF(OR(E2152="",E2152="!!!"),"",IF(NOT(ISNA(VLOOKUP(E2152,E$1:E2151,1,FALSE()))),"OLD",IF(AND(E2152&lt;&gt;"",E2152&lt;&gt;"!!!"),"NEW","")))</f>
        <v/>
      </c>
      <c r="G2152" s="11" t="str">
        <f aca="false">IF(OR(E2152="",E2152="!!!"),"",IF(OR(J2152=0,AND(J2152=1,K2152=1),AND(J2152=1,I2152="SBJ"),AND(J2152=1,I2152=0)),"?IN_FOCUS",IF(J2152&lt;=2,"?ACTIVATED",IF(J2152&lt;&gt;"","?FAMILIAR",IF(F2152="NEW",IF(ISNA(VLOOKUP(E2152,#REF!,1,FALSE())),"?TYPE_IDENTIFIABLE","?REFERENTIAL"),"_")))))</f>
        <v/>
      </c>
      <c r="H2152" s="12" t="str">
        <f aca="false">IF(J2152&lt;&gt;1,"",IF(I2152="SBJ","CB","?"))</f>
        <v/>
      </c>
      <c r="I2152" s="13" t="str">
        <f aca="false">IF(OR(E2152="",E2152="!!!",F2152="NEW"),"",INDEX(B$2:B2151,-1+SUMPRODUCT(MAX(ROW(E$2:E2151)*(E2152=E$2:E2151)))))</f>
        <v/>
      </c>
      <c r="J2152" s="14" t="str">
        <f aca="true">IF(OR(E2152="",E2152="!!!",F2152="NEW"),"",COUNTBLANK(OFFSET(A$1,,,SUMPRODUCT(MAX(ROW(E$2:E2152)*(E2152=E$2:E2152)))))-COUNTBLANK(OFFSET(A$1,,,SUMPRODUCT(MAX(ROW(E$1:E2151)*(E2152=E$1:E2151))))))</f>
        <v/>
      </c>
      <c r="K2152" s="14" t="str">
        <f aca="false">IF(OR(E2152="",E2152="!!!",F2152="NEW"),"",INDEX(J$1:J2151,SUMPRODUCT(MAX(ROW(E$1:E2151)*(E2152=E$1:E2151)))))</f>
        <v/>
      </c>
      <c r="L2152" s="15"/>
    </row>
    <row r="2153" customFormat="false" ht="12.75" hidden="false" customHeight="false" outlineLevel="0" collapsed="false">
      <c r="A2153" s="0" t="s">
        <v>68</v>
      </c>
      <c r="E2153" s="9" t="str">
        <f aca="false">IF(D2153="?OLD","!!!","")</f>
        <v/>
      </c>
      <c r="F2153" s="10" t="str">
        <f aca="false">IF(OR(E2153="",E2153="!!!"),"",IF(NOT(ISNA(VLOOKUP(E2153,E$1:E2152,1,FALSE()))),"OLD",IF(AND(E2153&lt;&gt;"",E2153&lt;&gt;"!!!"),"NEW","")))</f>
        <v/>
      </c>
      <c r="G2153" s="11" t="str">
        <f aca="false">IF(OR(E2153="",E2153="!!!"),"",IF(OR(J2153=0,AND(J2153=1,K2153=1),AND(J2153=1,I2153="SBJ"),AND(J2153=1,I2153=0)),"?IN_FOCUS",IF(J2153&lt;=2,"?ACTIVATED",IF(J2153&lt;&gt;"","?FAMILIAR",IF(F2153="NEW",IF(ISNA(VLOOKUP(E2153,#REF!,1,FALSE())),"?TYPE_IDENTIFIABLE","?REFERENTIAL"),"_")))))</f>
        <v/>
      </c>
      <c r="H2153" s="12" t="str">
        <f aca="false">IF(J2153&lt;&gt;1,"",IF(I2153="SBJ","CB","?"))</f>
        <v/>
      </c>
      <c r="I2153" s="13" t="str">
        <f aca="false">IF(OR(E2153="",E2153="!!!",F2153="NEW"),"",INDEX(B$2:B2152,-1+SUMPRODUCT(MAX(ROW(E$2:E2152)*(E2153=E$2:E2152)))))</f>
        <v/>
      </c>
      <c r="J2153" s="14" t="str">
        <f aca="true">IF(OR(E2153="",E2153="!!!",F2153="NEW"),"",COUNTBLANK(OFFSET(A$1,,,SUMPRODUCT(MAX(ROW(E$2:E2153)*(E2153=E$2:E2153)))))-COUNTBLANK(OFFSET(A$1,,,SUMPRODUCT(MAX(ROW(E$1:E2152)*(E2153=E$1:E2152))))))</f>
        <v/>
      </c>
      <c r="K2153" s="14" t="str">
        <f aca="false">IF(OR(E2153="",E2153="!!!",F2153="NEW"),"",INDEX(J$1:J2152,SUMPRODUCT(MAX(ROW(E$1:E2152)*(E2153=E$1:E2152)))))</f>
        <v/>
      </c>
      <c r="L2153" s="15"/>
    </row>
    <row r="2154" customFormat="false" ht="12.75" hidden="false" customHeight="false" outlineLevel="0" collapsed="false">
      <c r="A2154" s="0" t="s">
        <v>839</v>
      </c>
      <c r="E2154" s="9" t="str">
        <f aca="false">IF(D2154="?OLD","!!!","")</f>
        <v/>
      </c>
      <c r="F2154" s="10" t="str">
        <f aca="false">IF(OR(E2154="",E2154="!!!"),"",IF(NOT(ISNA(VLOOKUP(E2154,E$1:E2153,1,FALSE()))),"OLD",IF(AND(E2154&lt;&gt;"",E2154&lt;&gt;"!!!"),"NEW","")))</f>
        <v/>
      </c>
      <c r="G2154" s="11" t="str">
        <f aca="false">IF(OR(E2154="",E2154="!!!"),"",IF(OR(J2154=0,AND(J2154=1,K2154=1),AND(J2154=1,I2154="SBJ"),AND(J2154=1,I2154=0)),"?IN_FOCUS",IF(J2154&lt;=2,"?ACTIVATED",IF(J2154&lt;&gt;"","?FAMILIAR",IF(F2154="NEW",IF(ISNA(VLOOKUP(E2154,#REF!,1,FALSE())),"?TYPE_IDENTIFIABLE","?REFERENTIAL"),"_")))))</f>
        <v/>
      </c>
      <c r="H2154" s="12" t="str">
        <f aca="false">IF(J2154&lt;&gt;1,"",IF(I2154="SBJ","CB","?"))</f>
        <v/>
      </c>
      <c r="I2154" s="13" t="str">
        <f aca="false">IF(OR(E2154="",E2154="!!!",F2154="NEW"),"",INDEX(B$2:B2153,-1+SUMPRODUCT(MAX(ROW(E$2:E2153)*(E2154=E$2:E2153)))))</f>
        <v/>
      </c>
      <c r="J2154" s="14" t="str">
        <f aca="true">IF(OR(E2154="",E2154="!!!",F2154="NEW"),"",COUNTBLANK(OFFSET(A$1,,,SUMPRODUCT(MAX(ROW(E$2:E2154)*(E2154=E$2:E2154)))))-COUNTBLANK(OFFSET(A$1,,,SUMPRODUCT(MAX(ROW(E$1:E2153)*(E2154=E$1:E2153))))))</f>
        <v/>
      </c>
      <c r="K2154" s="14" t="str">
        <f aca="false">IF(OR(E2154="",E2154="!!!",F2154="NEW"),"",INDEX(J$1:J2153,SUMPRODUCT(MAX(ROW(E$1:E2153)*(E2154=E$1:E2153)))))</f>
        <v/>
      </c>
      <c r="L2154" s="15"/>
    </row>
    <row r="2155" customFormat="false" ht="12.75" hidden="false" customHeight="false" outlineLevel="0" collapsed="false">
      <c r="A2155" s="0" t="s">
        <v>836</v>
      </c>
      <c r="B2155" s="0" t="s">
        <v>28</v>
      </c>
      <c r="C2155" s="0" t="s">
        <v>43</v>
      </c>
      <c r="E2155" s="9" t="str">
        <f aca="false">IF(D2155="?OLD","!!!","")</f>
        <v/>
      </c>
      <c r="F2155" s="10" t="str">
        <f aca="false">IF(OR(E2155="",E2155="!!!"),"",IF(NOT(ISNA(VLOOKUP(E2155,E$1:E2154,1,FALSE()))),"OLD",IF(AND(E2155&lt;&gt;"",E2155&lt;&gt;"!!!"),"NEW","")))</f>
        <v/>
      </c>
      <c r="G2155" s="11" t="str">
        <f aca="false">IF(OR(E2155="",E2155="!!!"),"",IF(OR(J2155=0,AND(J2155=1,K2155=1),AND(J2155=1,I2155="SBJ"),AND(J2155=1,I2155=0)),"?IN_FOCUS",IF(J2155&lt;=2,"?ACTIVATED",IF(J2155&lt;&gt;"","?FAMILIAR",IF(F2155="NEW",IF(ISNA(VLOOKUP(E2155,#REF!,1,FALSE())),"?TYPE_IDENTIFIABLE","?REFERENTIAL"),"_")))))</f>
        <v/>
      </c>
      <c r="H2155" s="12" t="str">
        <f aca="false">IF(J2155&lt;&gt;1,"",IF(I2155="SBJ","CB","?"))</f>
        <v/>
      </c>
      <c r="I2155" s="13" t="str">
        <f aca="false">IF(OR(E2155="",E2155="!!!",F2155="NEW"),"",INDEX(B$2:B2154,-1+SUMPRODUCT(MAX(ROW(E$2:E2154)*(E2155=E$2:E2154)))))</f>
        <v/>
      </c>
      <c r="J2155" s="14" t="str">
        <f aca="true">IF(OR(E2155="",E2155="!!!",F2155="NEW"),"",COUNTBLANK(OFFSET(A$1,,,SUMPRODUCT(MAX(ROW(E$2:E2155)*(E2155=E$2:E2155)))))-COUNTBLANK(OFFSET(A$1,,,SUMPRODUCT(MAX(ROW(E$1:E2154)*(E2155=E$1:E2154))))))</f>
        <v/>
      </c>
      <c r="K2155" s="14" t="str">
        <f aca="false">IF(OR(E2155="",E2155="!!!",F2155="NEW"),"",INDEX(J$1:J2154,SUMPRODUCT(MAX(ROW(E$1:E2154)*(E2155=E$1:E2154)))))</f>
        <v/>
      </c>
      <c r="L2155" s="15"/>
    </row>
    <row r="2156" customFormat="false" ht="12.75" hidden="false" customHeight="false" outlineLevel="0" collapsed="false">
      <c r="A2156" s="0" t="s">
        <v>31</v>
      </c>
      <c r="E2156" s="9" t="str">
        <f aca="false">IF(D2156="?OLD","!!!","")</f>
        <v/>
      </c>
      <c r="F2156" s="10" t="str">
        <f aca="false">IF(OR(E2156="",E2156="!!!"),"",IF(NOT(ISNA(VLOOKUP(E2156,E$1:E2155,1,FALSE()))),"OLD",IF(AND(E2156&lt;&gt;"",E2156&lt;&gt;"!!!"),"NEW","")))</f>
        <v/>
      </c>
      <c r="G2156" s="11" t="str">
        <f aca="false">IF(OR(E2156="",E2156="!!!"),"",IF(OR(J2156=0,AND(J2156=1,K2156=1),AND(J2156=1,I2156="SBJ"),AND(J2156=1,I2156=0)),"?IN_FOCUS",IF(J2156&lt;=2,"?ACTIVATED",IF(J2156&lt;&gt;"","?FAMILIAR",IF(F2156="NEW",IF(ISNA(VLOOKUP(E2156,#REF!,1,FALSE())),"?TYPE_IDENTIFIABLE","?REFERENTIAL"),"_")))))</f>
        <v/>
      </c>
      <c r="H2156" s="12" t="str">
        <f aca="false">IF(J2156&lt;&gt;1,"",IF(I2156="SBJ","CB","?"))</f>
        <v/>
      </c>
      <c r="I2156" s="13" t="str">
        <f aca="false">IF(OR(E2156="",E2156="!!!",F2156="NEW"),"",INDEX(B$2:B2155,-1+SUMPRODUCT(MAX(ROW(E$2:E2155)*(E2156=E$2:E2155)))))</f>
        <v/>
      </c>
      <c r="J2156" s="14" t="str">
        <f aca="true">IF(OR(E2156="",E2156="!!!",F2156="NEW"),"",COUNTBLANK(OFFSET(A$1,,,SUMPRODUCT(MAX(ROW(E$2:E2156)*(E2156=E$2:E2156)))))-COUNTBLANK(OFFSET(A$1,,,SUMPRODUCT(MAX(ROW(E$1:E2155)*(E2156=E$1:E2155))))))</f>
        <v/>
      </c>
      <c r="K2156" s="14" t="str">
        <f aca="false">IF(OR(E2156="",E2156="!!!",F2156="NEW"),"",INDEX(J$1:J2155,SUMPRODUCT(MAX(ROW(E$1:E2155)*(E2156=E$1:E2155)))))</f>
        <v/>
      </c>
      <c r="L2156" s="15"/>
    </row>
    <row r="2157" customFormat="false" ht="12.75" hidden="false" customHeight="false" outlineLevel="0" collapsed="false">
      <c r="A2157" s="0" t="s">
        <v>128</v>
      </c>
      <c r="E2157" s="9" t="str">
        <f aca="false">IF(D2157="?OLD","!!!","")</f>
        <v/>
      </c>
      <c r="F2157" s="10" t="str">
        <f aca="false">IF(OR(E2157="",E2157="!!!"),"",IF(NOT(ISNA(VLOOKUP(E2157,E$1:E2156,1,FALSE()))),"OLD",IF(AND(E2157&lt;&gt;"",E2157&lt;&gt;"!!!"),"NEW","")))</f>
        <v/>
      </c>
      <c r="G2157" s="11" t="str">
        <f aca="false">IF(OR(E2157="",E2157="!!!"),"",IF(OR(J2157=0,AND(J2157=1,K2157=1),AND(J2157=1,I2157="SBJ"),AND(J2157=1,I2157=0)),"?IN_FOCUS",IF(J2157&lt;=2,"?ACTIVATED",IF(J2157&lt;&gt;"","?FAMILIAR",IF(F2157="NEW",IF(ISNA(VLOOKUP(E2157,#REF!,1,FALSE())),"?TYPE_IDENTIFIABLE","?REFERENTIAL"),"_")))))</f>
        <v/>
      </c>
      <c r="H2157" s="12" t="str">
        <f aca="false">IF(J2157&lt;&gt;1,"",IF(I2157="SBJ","CB","?"))</f>
        <v/>
      </c>
      <c r="I2157" s="13" t="str">
        <f aca="false">IF(OR(E2157="",E2157="!!!",F2157="NEW"),"",INDEX(B$2:B2156,-1+SUMPRODUCT(MAX(ROW(E$2:E2156)*(E2157=E$2:E2156)))))</f>
        <v/>
      </c>
      <c r="J2157" s="14" t="str">
        <f aca="true">IF(OR(E2157="",E2157="!!!",F2157="NEW"),"",COUNTBLANK(OFFSET(A$1,,,SUMPRODUCT(MAX(ROW(E$2:E2157)*(E2157=E$2:E2157)))))-COUNTBLANK(OFFSET(A$1,,,SUMPRODUCT(MAX(ROW(E$1:E2156)*(E2157=E$1:E2156))))))</f>
        <v/>
      </c>
      <c r="K2157" s="14" t="str">
        <f aca="false">IF(OR(E2157="",E2157="!!!",F2157="NEW"),"",INDEX(J$1:J2156,SUMPRODUCT(MAX(ROW(E$1:E2156)*(E2157=E$1:E2156)))))</f>
        <v/>
      </c>
      <c r="L2157" s="15"/>
    </row>
    <row r="2158" customFormat="false" ht="12.75" hidden="false" customHeight="false" outlineLevel="0" collapsed="false">
      <c r="A2158" s="0" t="s">
        <v>240</v>
      </c>
      <c r="E2158" s="9" t="str">
        <f aca="false">IF(D2158="?OLD","!!!","")</f>
        <v/>
      </c>
      <c r="F2158" s="10" t="str">
        <f aca="false">IF(OR(E2158="",E2158="!!!"),"",IF(NOT(ISNA(VLOOKUP(E2158,E$1:E2157,1,FALSE()))),"OLD",IF(AND(E2158&lt;&gt;"",E2158&lt;&gt;"!!!"),"NEW","")))</f>
        <v/>
      </c>
      <c r="G2158" s="11" t="str">
        <f aca="false">IF(OR(E2158="",E2158="!!!"),"",IF(OR(J2158=0,AND(J2158=1,K2158=1),AND(J2158=1,I2158="SBJ"),AND(J2158=1,I2158=0)),"?IN_FOCUS",IF(J2158&lt;=2,"?ACTIVATED",IF(J2158&lt;&gt;"","?FAMILIAR",IF(F2158="NEW",IF(ISNA(VLOOKUP(E2158,#REF!,1,FALSE())),"?TYPE_IDENTIFIABLE","?REFERENTIAL"),"_")))))</f>
        <v/>
      </c>
      <c r="H2158" s="12" t="str">
        <f aca="false">IF(J2158&lt;&gt;1,"",IF(I2158="SBJ","CB","?"))</f>
        <v/>
      </c>
      <c r="I2158" s="13" t="str">
        <f aca="false">IF(OR(E2158="",E2158="!!!",F2158="NEW"),"",INDEX(B$2:B2157,-1+SUMPRODUCT(MAX(ROW(E$2:E2157)*(E2158=E$2:E2157)))))</f>
        <v/>
      </c>
      <c r="J2158" s="14" t="str">
        <f aca="true">IF(OR(E2158="",E2158="!!!",F2158="NEW"),"",COUNTBLANK(OFFSET(A$1,,,SUMPRODUCT(MAX(ROW(E$2:E2158)*(E2158=E$2:E2158)))))-COUNTBLANK(OFFSET(A$1,,,SUMPRODUCT(MAX(ROW(E$1:E2157)*(E2158=E$1:E2157))))))</f>
        <v/>
      </c>
      <c r="K2158" s="14" t="str">
        <f aca="false">IF(OR(E2158="",E2158="!!!",F2158="NEW"),"",INDEX(J$1:J2157,SUMPRODUCT(MAX(ROW(E$1:E2157)*(E2158=E$1:E2157)))))</f>
        <v/>
      </c>
      <c r="L2158" s="15"/>
    </row>
    <row r="2159" customFormat="false" ht="12.75" hidden="false" customHeight="false" outlineLevel="0" collapsed="false">
      <c r="A2159" s="0" t="s">
        <v>840</v>
      </c>
      <c r="E2159" s="9" t="str">
        <f aca="false">IF(D2159="?OLD","!!!","")</f>
        <v/>
      </c>
      <c r="F2159" s="10" t="str">
        <f aca="false">IF(OR(E2159="",E2159="!!!"),"",IF(NOT(ISNA(VLOOKUP(E2159,E$1:E2158,1,FALSE()))),"OLD",IF(AND(E2159&lt;&gt;"",E2159&lt;&gt;"!!!"),"NEW","")))</f>
        <v/>
      </c>
      <c r="G2159" s="11" t="str">
        <f aca="false">IF(OR(E2159="",E2159="!!!"),"",IF(OR(J2159=0,AND(J2159=1,K2159=1),AND(J2159=1,I2159="SBJ"),AND(J2159=1,I2159=0)),"?IN_FOCUS",IF(J2159&lt;=2,"?ACTIVATED",IF(J2159&lt;&gt;"","?FAMILIAR",IF(F2159="NEW",IF(ISNA(VLOOKUP(E2159,#REF!,1,FALSE())),"?TYPE_IDENTIFIABLE","?REFERENTIAL"),"_")))))</f>
        <v/>
      </c>
      <c r="H2159" s="12" t="str">
        <f aca="false">IF(J2159&lt;&gt;1,"",IF(I2159="SBJ","CB","?"))</f>
        <v/>
      </c>
      <c r="I2159" s="13" t="str">
        <f aca="false">IF(OR(E2159="",E2159="!!!",F2159="NEW"),"",INDEX(B$2:B2158,-1+SUMPRODUCT(MAX(ROW(E$2:E2158)*(E2159=E$2:E2158)))))</f>
        <v/>
      </c>
      <c r="J2159" s="14" t="str">
        <f aca="true">IF(OR(E2159="",E2159="!!!",F2159="NEW"),"",COUNTBLANK(OFFSET(A$1,,,SUMPRODUCT(MAX(ROW(E$2:E2159)*(E2159=E$2:E2159)))))-COUNTBLANK(OFFSET(A$1,,,SUMPRODUCT(MAX(ROW(E$1:E2158)*(E2159=E$1:E2158))))))</f>
        <v/>
      </c>
      <c r="K2159" s="14" t="str">
        <f aca="false">IF(OR(E2159="",E2159="!!!",F2159="NEW"),"",INDEX(J$1:J2158,SUMPRODUCT(MAX(ROW(E$1:E2158)*(E2159=E$1:E2158)))))</f>
        <v/>
      </c>
      <c r="L2159" s="15"/>
    </row>
    <row r="2160" customFormat="false" ht="12.75" hidden="false" customHeight="false" outlineLevel="0" collapsed="false">
      <c r="A2160" s="0" t="s">
        <v>40</v>
      </c>
      <c r="E2160" s="9" t="str">
        <f aca="false">IF(D2160="?OLD","!!!","")</f>
        <v/>
      </c>
      <c r="F2160" s="10" t="str">
        <f aca="false">IF(OR(E2160="",E2160="!!!"),"",IF(NOT(ISNA(VLOOKUP(E2160,E$1:E2159,1,FALSE()))),"OLD",IF(AND(E2160&lt;&gt;"",E2160&lt;&gt;"!!!"),"NEW","")))</f>
        <v/>
      </c>
      <c r="G2160" s="11" t="str">
        <f aca="false">IF(OR(E2160="",E2160="!!!"),"",IF(OR(J2160=0,AND(J2160=1,K2160=1),AND(J2160=1,I2160="SBJ"),AND(J2160=1,I2160=0)),"?IN_FOCUS",IF(J2160&lt;=2,"?ACTIVATED",IF(J2160&lt;&gt;"","?FAMILIAR",IF(F2160="NEW",IF(ISNA(VLOOKUP(E2160,#REF!,1,FALSE())),"?TYPE_IDENTIFIABLE","?REFERENTIAL"),"_")))))</f>
        <v/>
      </c>
      <c r="H2160" s="12" t="str">
        <f aca="false">IF(J2160&lt;&gt;1,"",IF(I2160="SBJ","CB","?"))</f>
        <v/>
      </c>
      <c r="I2160" s="13" t="str">
        <f aca="false">IF(OR(E2160="",E2160="!!!",F2160="NEW"),"",INDEX(B$2:B2159,-1+SUMPRODUCT(MAX(ROW(E$2:E2159)*(E2160=E$2:E2159)))))</f>
        <v/>
      </c>
      <c r="J2160" s="14" t="str">
        <f aca="true">IF(OR(E2160="",E2160="!!!",F2160="NEW"),"",COUNTBLANK(OFFSET(A$1,,,SUMPRODUCT(MAX(ROW(E$2:E2160)*(E2160=E$2:E2160)))))-COUNTBLANK(OFFSET(A$1,,,SUMPRODUCT(MAX(ROW(E$1:E2159)*(E2160=E$1:E2159))))))</f>
        <v/>
      </c>
      <c r="K2160" s="14" t="str">
        <f aca="false">IF(OR(E2160="",E2160="!!!",F2160="NEW"),"",INDEX(J$1:J2159,SUMPRODUCT(MAX(ROW(E$1:E2159)*(E2160=E$1:E2159)))))</f>
        <v/>
      </c>
      <c r="L2160" s="15"/>
    </row>
    <row r="2161" customFormat="false" ht="12.75" hidden="false" customHeight="false" outlineLevel="0" collapsed="false">
      <c r="A2161" s="0" t="s">
        <v>836</v>
      </c>
      <c r="B2161" s="0" t="s">
        <v>28</v>
      </c>
      <c r="C2161" s="0" t="s">
        <v>92</v>
      </c>
      <c r="E2161" s="9" t="str">
        <f aca="false">IF(D2161="?OLD","!!!","")</f>
        <v/>
      </c>
      <c r="F2161" s="10" t="str">
        <f aca="false">IF(OR(E2161="",E2161="!!!"),"",IF(NOT(ISNA(VLOOKUP(E2161,E$1:E2160,1,FALSE()))),"OLD",IF(AND(E2161&lt;&gt;"",E2161&lt;&gt;"!!!"),"NEW","")))</f>
        <v/>
      </c>
      <c r="G2161" s="11" t="str">
        <f aca="false">IF(OR(E2161="",E2161="!!!"),"",IF(OR(J2161=0,AND(J2161=1,K2161=1),AND(J2161=1,I2161="SBJ"),AND(J2161=1,I2161=0)),"?IN_FOCUS",IF(J2161&lt;=2,"?ACTIVATED",IF(J2161&lt;&gt;"","?FAMILIAR",IF(F2161="NEW",IF(ISNA(VLOOKUP(E2161,#REF!,1,FALSE())),"?TYPE_IDENTIFIABLE","?REFERENTIAL"),"_")))))</f>
        <v/>
      </c>
      <c r="H2161" s="12" t="str">
        <f aca="false">IF(J2161&lt;&gt;1,"",IF(I2161="SBJ","CB","?"))</f>
        <v/>
      </c>
      <c r="I2161" s="13" t="str">
        <f aca="false">IF(OR(E2161="",E2161="!!!",F2161="NEW"),"",INDEX(B$2:B2160,-1+SUMPRODUCT(MAX(ROW(E$2:E2160)*(E2161=E$2:E2160)))))</f>
        <v/>
      </c>
      <c r="J2161" s="14" t="str">
        <f aca="true">IF(OR(E2161="",E2161="!!!",F2161="NEW"),"",COUNTBLANK(OFFSET(A$1,,,SUMPRODUCT(MAX(ROW(E$2:E2161)*(E2161=E$2:E2161)))))-COUNTBLANK(OFFSET(A$1,,,SUMPRODUCT(MAX(ROW(E$1:E2160)*(E2161=E$1:E2160))))))</f>
        <v/>
      </c>
      <c r="K2161" s="14" t="str">
        <f aca="false">IF(OR(E2161="",E2161="!!!",F2161="NEW"),"",INDEX(J$1:J2160,SUMPRODUCT(MAX(ROW(E$1:E2160)*(E2161=E$1:E2160)))))</f>
        <v/>
      </c>
      <c r="L2161" s="15"/>
    </row>
    <row r="2162" customFormat="false" ht="12.75" hidden="false" customHeight="false" outlineLevel="0" collapsed="false">
      <c r="A2162" s="0" t="s">
        <v>117</v>
      </c>
      <c r="E2162" s="9" t="str">
        <f aca="false">IF(D2162="?OLD","!!!","")</f>
        <v/>
      </c>
      <c r="F2162" s="10" t="str">
        <f aca="false">IF(OR(E2162="",E2162="!!!"),"",IF(NOT(ISNA(VLOOKUP(E2162,E$1:E2161,1,FALSE()))),"OLD",IF(AND(E2162&lt;&gt;"",E2162&lt;&gt;"!!!"),"NEW","")))</f>
        <v/>
      </c>
      <c r="G2162" s="11" t="str">
        <f aca="false">IF(OR(E2162="",E2162="!!!"),"",IF(OR(J2162=0,AND(J2162=1,K2162=1),AND(J2162=1,I2162="SBJ"),AND(J2162=1,I2162=0)),"?IN_FOCUS",IF(J2162&lt;=2,"?ACTIVATED",IF(J2162&lt;&gt;"","?FAMILIAR",IF(F2162="NEW",IF(ISNA(VLOOKUP(E2162,#REF!,1,FALSE())),"?TYPE_IDENTIFIABLE","?REFERENTIAL"),"_")))))</f>
        <v/>
      </c>
      <c r="H2162" s="12" t="str">
        <f aca="false">IF(J2162&lt;&gt;1,"",IF(I2162="SBJ","CB","?"))</f>
        <v/>
      </c>
      <c r="I2162" s="13" t="str">
        <f aca="false">IF(OR(E2162="",E2162="!!!",F2162="NEW"),"",INDEX(B$2:B2161,-1+SUMPRODUCT(MAX(ROW(E$2:E2161)*(E2162=E$2:E2161)))))</f>
        <v/>
      </c>
      <c r="J2162" s="14" t="str">
        <f aca="true">IF(OR(E2162="",E2162="!!!",F2162="NEW"),"",COUNTBLANK(OFFSET(A$1,,,SUMPRODUCT(MAX(ROW(E$2:E2162)*(E2162=E$2:E2162)))))-COUNTBLANK(OFFSET(A$1,,,SUMPRODUCT(MAX(ROW(E$1:E2161)*(E2162=E$1:E2161))))))</f>
        <v/>
      </c>
      <c r="K2162" s="14" t="str">
        <f aca="false">IF(OR(E2162="",E2162="!!!",F2162="NEW"),"",INDEX(J$1:J2161,SUMPRODUCT(MAX(ROW(E$1:E2161)*(E2162=E$1:E2161)))))</f>
        <v/>
      </c>
      <c r="L2162" s="15"/>
    </row>
    <row r="2163" customFormat="false" ht="12.75" hidden="false" customHeight="false" outlineLevel="0" collapsed="false">
      <c r="A2163" s="0" t="s">
        <v>841</v>
      </c>
      <c r="E2163" s="9" t="str">
        <f aca="false">IF(D2163="?OLD","!!!","")</f>
        <v/>
      </c>
      <c r="F2163" s="10" t="str">
        <f aca="false">IF(OR(E2163="",E2163="!!!"),"",IF(NOT(ISNA(VLOOKUP(E2163,E$1:E2162,1,FALSE()))),"OLD",IF(AND(E2163&lt;&gt;"",E2163&lt;&gt;"!!!"),"NEW","")))</f>
        <v/>
      </c>
      <c r="G2163" s="11" t="str">
        <f aca="false">IF(OR(E2163="",E2163="!!!"),"",IF(OR(J2163=0,AND(J2163=1,K2163=1),AND(J2163=1,I2163="SBJ"),AND(J2163=1,I2163=0)),"?IN_FOCUS",IF(J2163&lt;=2,"?ACTIVATED",IF(J2163&lt;&gt;"","?FAMILIAR",IF(F2163="NEW",IF(ISNA(VLOOKUP(E2163,#REF!,1,FALSE())),"?TYPE_IDENTIFIABLE","?REFERENTIAL"),"_")))))</f>
        <v/>
      </c>
      <c r="H2163" s="12" t="str">
        <f aca="false">IF(J2163&lt;&gt;1,"",IF(I2163="SBJ","CB","?"))</f>
        <v/>
      </c>
      <c r="I2163" s="13" t="str">
        <f aca="false">IF(OR(E2163="",E2163="!!!",F2163="NEW"),"",INDEX(B$2:B2162,-1+SUMPRODUCT(MAX(ROW(E$2:E2162)*(E2163=E$2:E2162)))))</f>
        <v/>
      </c>
      <c r="J2163" s="14" t="str">
        <f aca="true">IF(OR(E2163="",E2163="!!!",F2163="NEW"),"",COUNTBLANK(OFFSET(A$1,,,SUMPRODUCT(MAX(ROW(E$2:E2163)*(E2163=E$2:E2163)))))-COUNTBLANK(OFFSET(A$1,,,SUMPRODUCT(MAX(ROW(E$1:E2162)*(E2163=E$1:E2162))))))</f>
        <v/>
      </c>
      <c r="K2163" s="14" t="str">
        <f aca="false">IF(OR(E2163="",E2163="!!!",F2163="NEW"),"",INDEX(J$1:J2162,SUMPRODUCT(MAX(ROW(E$1:E2162)*(E2163=E$1:E2162)))))</f>
        <v/>
      </c>
      <c r="L2163" s="15"/>
    </row>
    <row r="2164" customFormat="false" ht="12.75" hidden="false" customHeight="false" outlineLevel="0" collapsed="false">
      <c r="A2164" s="0" t="s">
        <v>806</v>
      </c>
      <c r="B2164" s="0" t="s">
        <v>22</v>
      </c>
      <c r="C2164" s="0" t="s">
        <v>120</v>
      </c>
      <c r="E2164" s="9" t="str">
        <f aca="false">IF(D2164="?OLD","!!!","")</f>
        <v/>
      </c>
      <c r="F2164" s="10" t="str">
        <f aca="false">IF(OR(E2164="",E2164="!!!"),"",IF(NOT(ISNA(VLOOKUP(E2164,E$1:E2163,1,FALSE()))),"OLD",IF(AND(E2164&lt;&gt;"",E2164&lt;&gt;"!!!"),"NEW","")))</f>
        <v/>
      </c>
      <c r="G2164" s="11" t="str">
        <f aca="false">IF(OR(E2164="",E2164="!!!"),"",IF(OR(J2164=0,AND(J2164=1,K2164=1),AND(J2164=1,I2164="SBJ"),AND(J2164=1,I2164=0)),"?IN_FOCUS",IF(J2164&lt;=2,"?ACTIVATED",IF(J2164&lt;&gt;"","?FAMILIAR",IF(F2164="NEW",IF(ISNA(VLOOKUP(E2164,#REF!,1,FALSE())),"?TYPE_IDENTIFIABLE","?REFERENTIAL"),"_")))))</f>
        <v/>
      </c>
      <c r="H2164" s="12" t="str">
        <f aca="false">IF(J2164&lt;&gt;1,"",IF(I2164="SBJ","CB","?"))</f>
        <v/>
      </c>
      <c r="I2164" s="13" t="str">
        <f aca="false">IF(OR(E2164="",E2164="!!!",F2164="NEW"),"",INDEX(B$2:B2163,-1+SUMPRODUCT(MAX(ROW(E$2:E2163)*(E2164=E$2:E2163)))))</f>
        <v/>
      </c>
      <c r="J2164" s="14" t="str">
        <f aca="true">IF(OR(E2164="",E2164="!!!",F2164="NEW"),"",COUNTBLANK(OFFSET(A$1,,,SUMPRODUCT(MAX(ROW(E$2:E2164)*(E2164=E$2:E2164)))))-COUNTBLANK(OFFSET(A$1,,,SUMPRODUCT(MAX(ROW(E$1:E2163)*(E2164=E$1:E2163))))))</f>
        <v/>
      </c>
      <c r="K2164" s="14" t="str">
        <f aca="false">IF(OR(E2164="",E2164="!!!",F2164="NEW"),"",INDEX(J$1:J2163,SUMPRODUCT(MAX(ROW(E$1:E2163)*(E2164=E$1:E2163)))))</f>
        <v/>
      </c>
      <c r="L2164" s="15"/>
    </row>
    <row r="2165" customFormat="false" ht="12.75" hidden="false" customHeight="false" outlineLevel="0" collapsed="false">
      <c r="A2165" s="0" t="s">
        <v>276</v>
      </c>
      <c r="E2165" s="9" t="str">
        <f aca="false">IF(D2165="?OLD","!!!","")</f>
        <v/>
      </c>
      <c r="F2165" s="10" t="str">
        <f aca="false">IF(OR(E2165="",E2165="!!!"),"",IF(NOT(ISNA(VLOOKUP(E2165,E$1:E2164,1,FALSE()))),"OLD",IF(AND(E2165&lt;&gt;"",E2165&lt;&gt;"!!!"),"NEW","")))</f>
        <v/>
      </c>
      <c r="G2165" s="11" t="str">
        <f aca="false">IF(OR(E2165="",E2165="!!!"),"",IF(OR(J2165=0,AND(J2165=1,K2165=1),AND(J2165=1,I2165="SBJ"),AND(J2165=1,I2165=0)),"?IN_FOCUS",IF(J2165&lt;=2,"?ACTIVATED",IF(J2165&lt;&gt;"","?FAMILIAR",IF(F2165="NEW",IF(ISNA(VLOOKUP(E2165,#REF!,1,FALSE())),"?TYPE_IDENTIFIABLE","?REFERENTIAL"),"_")))))</f>
        <v/>
      </c>
      <c r="H2165" s="12" t="str">
        <f aca="false">IF(J2165&lt;&gt;1,"",IF(I2165="SBJ","CB","?"))</f>
        <v/>
      </c>
      <c r="I2165" s="13" t="str">
        <f aca="false">IF(OR(E2165="",E2165="!!!",F2165="NEW"),"",INDEX(B$2:B2164,-1+SUMPRODUCT(MAX(ROW(E$2:E2164)*(E2165=E$2:E2164)))))</f>
        <v/>
      </c>
      <c r="J2165" s="14" t="str">
        <f aca="true">IF(OR(E2165="",E2165="!!!",F2165="NEW"),"",COUNTBLANK(OFFSET(A$1,,,SUMPRODUCT(MAX(ROW(E$2:E2165)*(E2165=E$2:E2165)))))-COUNTBLANK(OFFSET(A$1,,,SUMPRODUCT(MAX(ROW(E$1:E2164)*(E2165=E$1:E2164))))))</f>
        <v/>
      </c>
      <c r="K2165" s="14" t="str">
        <f aca="false">IF(OR(E2165="",E2165="!!!",F2165="NEW"),"",INDEX(J$1:J2164,SUMPRODUCT(MAX(ROW(E$1:E2164)*(E2165=E$1:E2164)))))</f>
        <v/>
      </c>
      <c r="L2165" s="15"/>
    </row>
    <row r="2166" customFormat="false" ht="12.75" hidden="false" customHeight="false" outlineLevel="0" collapsed="false">
      <c r="A2166" s="0" t="s">
        <v>842</v>
      </c>
      <c r="E2166" s="9" t="str">
        <f aca="false">IF(D2166="?OLD","!!!","")</f>
        <v/>
      </c>
      <c r="F2166" s="10" t="str">
        <f aca="false">IF(OR(E2166="",E2166="!!!"),"",IF(NOT(ISNA(VLOOKUP(E2166,E$1:E2165,1,FALSE()))),"OLD",IF(AND(E2166&lt;&gt;"",E2166&lt;&gt;"!!!"),"NEW","")))</f>
        <v/>
      </c>
      <c r="G2166" s="11" t="str">
        <f aca="false">IF(OR(E2166="",E2166="!!!"),"",IF(OR(J2166=0,AND(J2166=1,K2166=1),AND(J2166=1,I2166="SBJ"),AND(J2166=1,I2166=0)),"?IN_FOCUS",IF(J2166&lt;=2,"?ACTIVATED",IF(J2166&lt;&gt;"","?FAMILIAR",IF(F2166="NEW",IF(ISNA(VLOOKUP(E2166,#REF!,1,FALSE())),"?TYPE_IDENTIFIABLE","?REFERENTIAL"),"_")))))</f>
        <v/>
      </c>
      <c r="H2166" s="12" t="str">
        <f aca="false">IF(J2166&lt;&gt;1,"",IF(I2166="SBJ","CB","?"))</f>
        <v/>
      </c>
      <c r="I2166" s="13" t="str">
        <f aca="false">IF(OR(E2166="",E2166="!!!",F2166="NEW"),"",INDEX(B$2:B2165,-1+SUMPRODUCT(MAX(ROW(E$2:E2165)*(E2166=E$2:E2165)))))</f>
        <v/>
      </c>
      <c r="J2166" s="14" t="str">
        <f aca="true">IF(OR(E2166="",E2166="!!!",F2166="NEW"),"",COUNTBLANK(OFFSET(A$1,,,SUMPRODUCT(MAX(ROW(E$2:E2166)*(E2166=E$2:E2166)))))-COUNTBLANK(OFFSET(A$1,,,SUMPRODUCT(MAX(ROW(E$1:E2165)*(E2166=E$1:E2165))))))</f>
        <v/>
      </c>
      <c r="K2166" s="14" t="str">
        <f aca="false">IF(OR(E2166="",E2166="!!!",F2166="NEW"),"",INDEX(J$1:J2165,SUMPRODUCT(MAX(ROW(E$1:E2165)*(E2166=E$1:E2165)))))</f>
        <v/>
      </c>
      <c r="L2166" s="15"/>
    </row>
    <row r="2167" customFormat="false" ht="12.75" hidden="false" customHeight="false" outlineLevel="0" collapsed="false">
      <c r="A2167" s="0" t="s">
        <v>537</v>
      </c>
      <c r="E2167" s="9" t="str">
        <f aca="false">IF(D2167="?OLD","!!!","")</f>
        <v/>
      </c>
      <c r="F2167" s="10" t="str">
        <f aca="false">IF(OR(E2167="",E2167="!!!"),"",IF(NOT(ISNA(VLOOKUP(E2167,E$1:E2166,1,FALSE()))),"OLD",IF(AND(E2167&lt;&gt;"",E2167&lt;&gt;"!!!"),"NEW","")))</f>
        <v/>
      </c>
      <c r="G2167" s="11" t="str">
        <f aca="false">IF(OR(E2167="",E2167="!!!"),"",IF(OR(J2167=0,AND(J2167=1,K2167=1),AND(J2167=1,I2167="SBJ"),AND(J2167=1,I2167=0)),"?IN_FOCUS",IF(J2167&lt;=2,"?ACTIVATED",IF(J2167&lt;&gt;"","?FAMILIAR",IF(F2167="NEW",IF(ISNA(VLOOKUP(E2167,#REF!,1,FALSE())),"?TYPE_IDENTIFIABLE","?REFERENTIAL"),"_")))))</f>
        <v/>
      </c>
      <c r="H2167" s="12" t="str">
        <f aca="false">IF(J2167&lt;&gt;1,"",IF(I2167="SBJ","CB","?"))</f>
        <v/>
      </c>
      <c r="I2167" s="13" t="str">
        <f aca="false">IF(OR(E2167="",E2167="!!!",F2167="NEW"),"",INDEX(B$2:B2166,-1+SUMPRODUCT(MAX(ROW(E$2:E2166)*(E2167=E$2:E2166)))))</f>
        <v/>
      </c>
      <c r="J2167" s="14" t="str">
        <f aca="true">IF(OR(E2167="",E2167="!!!",F2167="NEW"),"",COUNTBLANK(OFFSET(A$1,,,SUMPRODUCT(MAX(ROW(E$2:E2167)*(E2167=E$2:E2167)))))-COUNTBLANK(OFFSET(A$1,,,SUMPRODUCT(MAX(ROW(E$1:E2166)*(E2167=E$1:E2166))))))</f>
        <v/>
      </c>
      <c r="K2167" s="14" t="str">
        <f aca="false">IF(OR(E2167="",E2167="!!!",F2167="NEW"),"",INDEX(J$1:J2166,SUMPRODUCT(MAX(ROW(E$1:E2166)*(E2167=E$1:E2166)))))</f>
        <v/>
      </c>
      <c r="L2167" s="15"/>
    </row>
    <row r="2168" customFormat="false" ht="12.75" hidden="false" customHeight="false" outlineLevel="0" collapsed="false">
      <c r="A2168" s="0" t="s">
        <v>73</v>
      </c>
      <c r="E2168" s="9" t="str">
        <f aca="false">IF(D2168="?OLD","!!!","")</f>
        <v/>
      </c>
      <c r="F2168" s="10" t="str">
        <f aca="false">IF(OR(E2168="",E2168="!!!"),"",IF(NOT(ISNA(VLOOKUP(E2168,E$1:E2167,1,FALSE()))),"OLD",IF(AND(E2168&lt;&gt;"",E2168&lt;&gt;"!!!"),"NEW","")))</f>
        <v/>
      </c>
      <c r="G2168" s="11" t="str">
        <f aca="false">IF(OR(E2168="",E2168="!!!"),"",IF(OR(J2168=0,AND(J2168=1,K2168=1),AND(J2168=1,I2168="SBJ"),AND(J2168=1,I2168=0)),"?IN_FOCUS",IF(J2168&lt;=2,"?ACTIVATED",IF(J2168&lt;&gt;"","?FAMILIAR",IF(F2168="NEW",IF(ISNA(VLOOKUP(E2168,#REF!,1,FALSE())),"?TYPE_IDENTIFIABLE","?REFERENTIAL"),"_")))))</f>
        <v/>
      </c>
      <c r="H2168" s="12" t="str">
        <f aca="false">IF(J2168&lt;&gt;1,"",IF(I2168="SBJ","CB","?"))</f>
        <v/>
      </c>
      <c r="I2168" s="13" t="str">
        <f aca="false">IF(OR(E2168="",E2168="!!!",F2168="NEW"),"",INDEX(B$2:B2167,-1+SUMPRODUCT(MAX(ROW(E$2:E2167)*(E2168=E$2:E2167)))))</f>
        <v/>
      </c>
      <c r="J2168" s="14" t="str">
        <f aca="true">IF(OR(E2168="",E2168="!!!",F2168="NEW"),"",COUNTBLANK(OFFSET(A$1,,,SUMPRODUCT(MAX(ROW(E$2:E2168)*(E2168=E$2:E2168)))))-COUNTBLANK(OFFSET(A$1,,,SUMPRODUCT(MAX(ROW(E$1:E2167)*(E2168=E$1:E2167))))))</f>
        <v/>
      </c>
      <c r="K2168" s="14" t="str">
        <f aca="false">IF(OR(E2168="",E2168="!!!",F2168="NEW"),"",INDEX(J$1:J2167,SUMPRODUCT(MAX(ROW(E$1:E2167)*(E2168=E$1:E2167)))))</f>
        <v/>
      </c>
      <c r="L2168" s="15"/>
    </row>
    <row r="2169" customFormat="false" ht="12.75" hidden="false" customHeight="false" outlineLevel="0" collapsed="false">
      <c r="E2169" s="9" t="str">
        <f aca="false">IF(D2169="?OLD","!!!","")</f>
        <v/>
      </c>
      <c r="F2169" s="10" t="str">
        <f aca="false">IF(OR(E2169="",E2169="!!!"),"",IF(NOT(ISNA(VLOOKUP(E2169,E$1:E2168,1,FALSE()))),"OLD",IF(AND(E2169&lt;&gt;"",E2169&lt;&gt;"!!!"),"NEW","")))</f>
        <v/>
      </c>
      <c r="G2169" s="11" t="str">
        <f aca="false">IF(OR(E2169="",E2169="!!!"),"",IF(OR(J2169=0,AND(J2169=1,K2169=1),AND(J2169=1,I2169="SBJ"),AND(J2169=1,I2169=0)),"?IN_FOCUS",IF(J2169&lt;=2,"?ACTIVATED",IF(J2169&lt;&gt;"","?FAMILIAR",IF(F2169="NEW",IF(ISNA(VLOOKUP(E2169,#REF!,1,FALSE())),"?TYPE_IDENTIFIABLE","?REFERENTIAL"),"_")))))</f>
        <v/>
      </c>
      <c r="H2169" s="12" t="str">
        <f aca="false">IF(J2169&lt;&gt;1,"",IF(I2169="SBJ","CB","?"))</f>
        <v/>
      </c>
      <c r="I2169" s="13" t="str">
        <f aca="false">IF(OR(E2169="",E2169="!!!",F2169="NEW"),"",INDEX(B$2:B2168,-1+SUMPRODUCT(MAX(ROW(E$2:E2168)*(E2169=E$2:E2168)))))</f>
        <v/>
      </c>
      <c r="J2169" s="14" t="str">
        <f aca="true">IF(OR(E2169="",E2169="!!!",F2169="NEW"),"",COUNTBLANK(OFFSET(A$1,,,SUMPRODUCT(MAX(ROW(E$2:E2169)*(E2169=E$2:E2169)))))-COUNTBLANK(OFFSET(A$1,,,SUMPRODUCT(MAX(ROW(E$1:E2168)*(E2169=E$1:E2168))))))</f>
        <v/>
      </c>
      <c r="K2169" s="14" t="str">
        <f aca="false">IF(OR(E2169="",E2169="!!!",F2169="NEW"),"",INDEX(J$1:J2168,SUMPRODUCT(MAX(ROW(E$1:E2168)*(E2169=E$1:E2168)))))</f>
        <v/>
      </c>
      <c r="L2169" s="15"/>
    </row>
    <row r="2170" customFormat="false" ht="12.75" hidden="false" customHeight="false" outlineLevel="0" collapsed="false">
      <c r="A2170" s="0" t="s">
        <v>843</v>
      </c>
      <c r="E2170" s="9" t="str">
        <f aca="false">IF(D2170="?OLD","!!!","")</f>
        <v/>
      </c>
      <c r="F2170" s="10" t="str">
        <f aca="false">IF(OR(E2170="",E2170="!!!"),"",IF(NOT(ISNA(VLOOKUP(E2170,E$1:E2169,1,FALSE()))),"OLD",IF(AND(E2170&lt;&gt;"",E2170&lt;&gt;"!!!"),"NEW","")))</f>
        <v/>
      </c>
      <c r="G2170" s="11" t="str">
        <f aca="false">IF(OR(E2170="",E2170="!!!"),"",IF(OR(J2170=0,AND(J2170=1,K2170=1),AND(J2170=1,I2170="SBJ"),AND(J2170=1,I2170=0)),"?IN_FOCUS",IF(J2170&lt;=2,"?ACTIVATED",IF(J2170&lt;&gt;"","?FAMILIAR",IF(F2170="NEW",IF(ISNA(VLOOKUP(E2170,#REF!,1,FALSE())),"?TYPE_IDENTIFIABLE","?REFERENTIAL"),"_")))))</f>
        <v/>
      </c>
      <c r="H2170" s="12" t="str">
        <f aca="false">IF(J2170&lt;&gt;1,"",IF(I2170="SBJ","CB","?"))</f>
        <v/>
      </c>
      <c r="I2170" s="13" t="str">
        <f aca="false">IF(OR(E2170="",E2170="!!!",F2170="NEW"),"",INDEX(B$2:B2169,-1+SUMPRODUCT(MAX(ROW(E$2:E2169)*(E2170=E$2:E2169)))))</f>
        <v/>
      </c>
      <c r="J2170" s="14" t="str">
        <f aca="true">IF(OR(E2170="",E2170="!!!",F2170="NEW"),"",COUNTBLANK(OFFSET(A$1,,,SUMPRODUCT(MAX(ROW(E$2:E2170)*(E2170=E$2:E2170)))))-COUNTBLANK(OFFSET(A$1,,,SUMPRODUCT(MAX(ROW(E$1:E2169)*(E2170=E$1:E2169))))))</f>
        <v/>
      </c>
      <c r="K2170" s="14" t="str">
        <f aca="false">IF(OR(E2170="",E2170="!!!",F2170="NEW"),"",INDEX(J$1:J2169,SUMPRODUCT(MAX(ROW(E$1:E2169)*(E2170=E$1:E2169)))))</f>
        <v/>
      </c>
      <c r="L2170" s="15"/>
    </row>
    <row r="2171" customFormat="false" ht="12.75" hidden="false" customHeight="false" outlineLevel="0" collapsed="false">
      <c r="A2171" s="0" t="s">
        <v>844</v>
      </c>
      <c r="E2171" s="9" t="str">
        <f aca="false">IF(D2171="?OLD","!!!","")</f>
        <v/>
      </c>
      <c r="F2171" s="10" t="str">
        <f aca="false">IF(OR(E2171="",E2171="!!!"),"",IF(NOT(ISNA(VLOOKUP(E2171,E$1:E2170,1,FALSE()))),"OLD",IF(AND(E2171&lt;&gt;"",E2171&lt;&gt;"!!!"),"NEW","")))</f>
        <v/>
      </c>
      <c r="G2171" s="11" t="str">
        <f aca="false">IF(OR(E2171="",E2171="!!!"),"",IF(OR(J2171=0,AND(J2171=1,K2171=1),AND(J2171=1,I2171="SBJ"),AND(J2171=1,I2171=0)),"?IN_FOCUS",IF(J2171&lt;=2,"?ACTIVATED",IF(J2171&lt;&gt;"","?FAMILIAR",IF(F2171="NEW",IF(ISNA(VLOOKUP(E2171,#REF!,1,FALSE())),"?TYPE_IDENTIFIABLE","?REFERENTIAL"),"_")))))</f>
        <v/>
      </c>
      <c r="H2171" s="12" t="str">
        <f aca="false">IF(J2171&lt;&gt;1,"",IF(I2171="SBJ","CB","?"))</f>
        <v/>
      </c>
      <c r="I2171" s="13" t="str">
        <f aca="false">IF(OR(E2171="",E2171="!!!",F2171="NEW"),"",INDEX(B$2:B2170,-1+SUMPRODUCT(MAX(ROW(E$2:E2170)*(E2171=E$2:E2170)))))</f>
        <v/>
      </c>
      <c r="J2171" s="14" t="str">
        <f aca="true">IF(OR(E2171="",E2171="!!!",F2171="NEW"),"",COUNTBLANK(OFFSET(A$1,,,SUMPRODUCT(MAX(ROW(E$2:E2171)*(E2171=E$2:E2171)))))-COUNTBLANK(OFFSET(A$1,,,SUMPRODUCT(MAX(ROW(E$1:E2170)*(E2171=E$1:E2170))))))</f>
        <v/>
      </c>
      <c r="K2171" s="14" t="str">
        <f aca="false">IF(OR(E2171="",E2171="!!!",F2171="NEW"),"",INDEX(J$1:J2170,SUMPRODUCT(MAX(ROW(E$1:E2170)*(E2171=E$1:E2170)))))</f>
        <v/>
      </c>
      <c r="L2171" s="15"/>
    </row>
    <row r="2172" customFormat="false" ht="12.75" hidden="false" customHeight="false" outlineLevel="0" collapsed="false">
      <c r="A2172" s="0" t="s">
        <v>845</v>
      </c>
      <c r="B2172" s="0" t="s">
        <v>37</v>
      </c>
      <c r="C2172" s="0" t="s">
        <v>120</v>
      </c>
      <c r="E2172" s="9" t="str">
        <f aca="false">IF(D2172="?OLD","!!!","")</f>
        <v/>
      </c>
      <c r="F2172" s="10" t="str">
        <f aca="false">IF(OR(E2172="",E2172="!!!"),"",IF(NOT(ISNA(VLOOKUP(E2172,E$1:E2171,1,FALSE()))),"OLD",IF(AND(E2172&lt;&gt;"",E2172&lt;&gt;"!!!"),"NEW","")))</f>
        <v/>
      </c>
      <c r="G2172" s="11" t="str">
        <f aca="false">IF(OR(E2172="",E2172="!!!"),"",IF(OR(J2172=0,AND(J2172=1,K2172=1),AND(J2172=1,I2172="SBJ"),AND(J2172=1,I2172=0)),"?IN_FOCUS",IF(J2172&lt;=2,"?ACTIVATED",IF(J2172&lt;&gt;"","?FAMILIAR",IF(F2172="NEW",IF(ISNA(VLOOKUP(E2172,#REF!,1,FALSE())),"?TYPE_IDENTIFIABLE","?REFERENTIAL"),"_")))))</f>
        <v/>
      </c>
      <c r="H2172" s="12" t="str">
        <f aca="false">IF(J2172&lt;&gt;1,"",IF(I2172="SBJ","CB","?"))</f>
        <v/>
      </c>
      <c r="I2172" s="13" t="str">
        <f aca="false">IF(OR(E2172="",E2172="!!!",F2172="NEW"),"",INDEX(B$2:B2171,-1+SUMPRODUCT(MAX(ROW(E$2:E2171)*(E2172=E$2:E2171)))))</f>
        <v/>
      </c>
      <c r="J2172" s="14" t="str">
        <f aca="true">IF(OR(E2172="",E2172="!!!",F2172="NEW"),"",COUNTBLANK(OFFSET(A$1,,,SUMPRODUCT(MAX(ROW(E$2:E2172)*(E2172=E$2:E2172)))))-COUNTBLANK(OFFSET(A$1,,,SUMPRODUCT(MAX(ROW(E$1:E2171)*(E2172=E$1:E2171))))))</f>
        <v/>
      </c>
      <c r="K2172" s="14" t="str">
        <f aca="false">IF(OR(E2172="",E2172="!!!",F2172="NEW"),"",INDEX(J$1:J2171,SUMPRODUCT(MAX(ROW(E$1:E2171)*(E2172=E$1:E2171)))))</f>
        <v/>
      </c>
      <c r="L2172" s="15"/>
    </row>
    <row r="2173" customFormat="false" ht="12.75" hidden="false" customHeight="false" outlineLevel="0" collapsed="false">
      <c r="A2173" s="0" t="s">
        <v>79</v>
      </c>
      <c r="E2173" s="9" t="str">
        <f aca="false">IF(D2173="?OLD","!!!","")</f>
        <v/>
      </c>
      <c r="F2173" s="10" t="str">
        <f aca="false">IF(OR(E2173="",E2173="!!!"),"",IF(NOT(ISNA(VLOOKUP(E2173,E$1:E2172,1,FALSE()))),"OLD",IF(AND(E2173&lt;&gt;"",E2173&lt;&gt;"!!!"),"NEW","")))</f>
        <v/>
      </c>
      <c r="G2173" s="11" t="str">
        <f aca="false">IF(OR(E2173="",E2173="!!!"),"",IF(OR(J2173=0,AND(J2173=1,K2173=1),AND(J2173=1,I2173="SBJ"),AND(J2173=1,I2173=0)),"?IN_FOCUS",IF(J2173&lt;=2,"?ACTIVATED",IF(J2173&lt;&gt;"","?FAMILIAR",IF(F2173="NEW",IF(ISNA(VLOOKUP(E2173,#REF!,1,FALSE())),"?TYPE_IDENTIFIABLE","?REFERENTIAL"),"_")))))</f>
        <v/>
      </c>
      <c r="H2173" s="12" t="str">
        <f aca="false">IF(J2173&lt;&gt;1,"",IF(I2173="SBJ","CB","?"))</f>
        <v/>
      </c>
      <c r="I2173" s="13" t="str">
        <f aca="false">IF(OR(E2173="",E2173="!!!",F2173="NEW"),"",INDEX(B$2:B2172,-1+SUMPRODUCT(MAX(ROW(E$2:E2172)*(E2173=E$2:E2172)))))</f>
        <v/>
      </c>
      <c r="J2173" s="14" t="str">
        <f aca="true">IF(OR(E2173="",E2173="!!!",F2173="NEW"),"",COUNTBLANK(OFFSET(A$1,,,SUMPRODUCT(MAX(ROW(E$2:E2173)*(E2173=E$2:E2173)))))-COUNTBLANK(OFFSET(A$1,,,SUMPRODUCT(MAX(ROW(E$1:E2172)*(E2173=E$1:E2172))))))</f>
        <v/>
      </c>
      <c r="K2173" s="14" t="str">
        <f aca="false">IF(OR(E2173="",E2173="!!!",F2173="NEW"),"",INDEX(J$1:J2172,SUMPRODUCT(MAX(ROW(E$1:E2172)*(E2173=E$1:E2172)))))</f>
        <v/>
      </c>
      <c r="L2173" s="15"/>
    </row>
    <row r="2174" customFormat="false" ht="12.75" hidden="false" customHeight="false" outlineLevel="0" collapsed="false">
      <c r="A2174" s="0" t="s">
        <v>579</v>
      </c>
      <c r="B2174" s="0" t="s">
        <v>28</v>
      </c>
      <c r="C2174" s="0" t="s">
        <v>55</v>
      </c>
      <c r="D2174" s="0" t="s">
        <v>29</v>
      </c>
      <c r="E2174" s="9" t="str">
        <f aca="false">IF(D2174="?OLD","!!!","")</f>
        <v>!!!</v>
      </c>
      <c r="F2174" s="10" t="str">
        <f aca="false">IF(OR(E2174="",E2174="!!!"),"",IF(NOT(ISNA(VLOOKUP(E2174,E$1:E2173,1,FALSE()))),"OLD",IF(AND(E2174&lt;&gt;"",E2174&lt;&gt;"!!!"),"NEW","")))</f>
        <v/>
      </c>
      <c r="G2174" s="11" t="str">
        <f aca="false">IF(OR(E2174="",E2174="!!!"),"",IF(OR(J2174=0,AND(J2174=1,K2174=1),AND(J2174=1,I2174="SBJ"),AND(J2174=1,I2174=0)),"?IN_FOCUS",IF(J2174&lt;=2,"?ACTIVATED",IF(J2174&lt;&gt;"","?FAMILIAR",IF(F2174="NEW",IF(ISNA(VLOOKUP(E2174,#REF!,1,FALSE())),"?TYPE_IDENTIFIABLE","?REFERENTIAL"),"_")))))</f>
        <v/>
      </c>
      <c r="H2174" s="12" t="str">
        <f aca="false">IF(J2174&lt;&gt;1,"",IF(I2174="SBJ","CB","?"))</f>
        <v/>
      </c>
      <c r="I2174" s="13" t="str">
        <f aca="false">IF(OR(E2174="",E2174="!!!",F2174="NEW"),"",INDEX(B$2:B2173,-1+SUMPRODUCT(MAX(ROW(E$2:E2173)*(E2174=E$2:E2173)))))</f>
        <v/>
      </c>
      <c r="J2174" s="14" t="str">
        <f aca="true">IF(OR(E2174="",E2174="!!!",F2174="NEW"),"",COUNTBLANK(OFFSET(A$1,,,SUMPRODUCT(MAX(ROW(E$2:E2174)*(E2174=E$2:E2174)))))-COUNTBLANK(OFFSET(A$1,,,SUMPRODUCT(MAX(ROW(E$1:E2173)*(E2174=E$1:E2173))))))</f>
        <v/>
      </c>
      <c r="K2174" s="14" t="str">
        <f aca="false">IF(OR(E2174="",E2174="!!!",F2174="NEW"),"",INDEX(J$1:J2173,SUMPRODUCT(MAX(ROW(E$1:E2173)*(E2174=E$1:E2173)))))</f>
        <v/>
      </c>
      <c r="L2174" s="15"/>
    </row>
    <row r="2175" customFormat="false" ht="12.75" hidden="false" customHeight="false" outlineLevel="0" collapsed="false">
      <c r="A2175" s="0" t="s">
        <v>846</v>
      </c>
      <c r="E2175" s="9" t="str">
        <f aca="false">IF(D2175="?OLD","!!!","")</f>
        <v/>
      </c>
      <c r="F2175" s="10" t="str">
        <f aca="false">IF(OR(E2175="",E2175="!!!"),"",IF(NOT(ISNA(VLOOKUP(E2175,E$1:E2174,1,FALSE()))),"OLD",IF(AND(E2175&lt;&gt;"",E2175&lt;&gt;"!!!"),"NEW","")))</f>
        <v/>
      </c>
      <c r="G2175" s="11" t="str">
        <f aca="false">IF(OR(E2175="",E2175="!!!"),"",IF(OR(J2175=0,AND(J2175=1,K2175=1),AND(J2175=1,I2175="SBJ"),AND(J2175=1,I2175=0)),"?IN_FOCUS",IF(J2175&lt;=2,"?ACTIVATED",IF(J2175&lt;&gt;"","?FAMILIAR",IF(F2175="NEW",IF(ISNA(VLOOKUP(E2175,#REF!,1,FALSE())),"?TYPE_IDENTIFIABLE","?REFERENTIAL"),"_")))))</f>
        <v/>
      </c>
      <c r="H2175" s="12" t="str">
        <f aca="false">IF(J2175&lt;&gt;1,"",IF(I2175="SBJ","CB","?"))</f>
        <v/>
      </c>
      <c r="I2175" s="13" t="str">
        <f aca="false">IF(OR(E2175="",E2175="!!!",F2175="NEW"),"",INDEX(B$2:B2174,-1+SUMPRODUCT(MAX(ROW(E$2:E2174)*(E2175=E$2:E2174)))))</f>
        <v/>
      </c>
      <c r="J2175" s="14" t="str">
        <f aca="true">IF(OR(E2175="",E2175="!!!",F2175="NEW"),"",COUNTBLANK(OFFSET(A$1,,,SUMPRODUCT(MAX(ROW(E$2:E2175)*(E2175=E$2:E2175)))))-COUNTBLANK(OFFSET(A$1,,,SUMPRODUCT(MAX(ROW(E$1:E2174)*(E2175=E$1:E2174))))))</f>
        <v/>
      </c>
      <c r="K2175" s="14" t="str">
        <f aca="false">IF(OR(E2175="",E2175="!!!",F2175="NEW"),"",INDEX(J$1:J2174,SUMPRODUCT(MAX(ROW(E$1:E2174)*(E2175=E$1:E2174)))))</f>
        <v/>
      </c>
      <c r="L2175" s="15"/>
    </row>
    <row r="2176" customFormat="false" ht="12.75" hidden="false" customHeight="false" outlineLevel="0" collapsed="false">
      <c r="A2176" s="0" t="s">
        <v>847</v>
      </c>
      <c r="B2176" s="0" t="s">
        <v>62</v>
      </c>
      <c r="C2176" s="0" t="s">
        <v>15</v>
      </c>
      <c r="D2176" s="0" t="s">
        <v>29</v>
      </c>
      <c r="E2176" s="9" t="str">
        <f aca="false">IF(D2176="?OLD","!!!","")</f>
        <v>!!!</v>
      </c>
      <c r="F2176" s="10" t="str">
        <f aca="false">IF(OR(E2176="",E2176="!!!"),"",IF(NOT(ISNA(VLOOKUP(E2176,E$1:E2175,1,FALSE()))),"OLD",IF(AND(E2176&lt;&gt;"",E2176&lt;&gt;"!!!"),"NEW","")))</f>
        <v/>
      </c>
      <c r="G2176" s="11" t="str">
        <f aca="false">IF(OR(E2176="",E2176="!!!"),"",IF(OR(J2176=0,AND(J2176=1,K2176=1),AND(J2176=1,I2176="SBJ"),AND(J2176=1,I2176=0)),"?IN_FOCUS",IF(J2176&lt;=2,"?ACTIVATED",IF(J2176&lt;&gt;"","?FAMILIAR",IF(F2176="NEW",IF(ISNA(VLOOKUP(E2176,#REF!,1,FALSE())),"?TYPE_IDENTIFIABLE","?REFERENTIAL"),"_")))))</f>
        <v/>
      </c>
      <c r="H2176" s="12" t="str">
        <f aca="false">IF(J2176&lt;&gt;1,"",IF(I2176="SBJ","CB","?"))</f>
        <v/>
      </c>
      <c r="I2176" s="13" t="str">
        <f aca="false">IF(OR(E2176="",E2176="!!!",F2176="NEW"),"",INDEX(B$2:B2175,-1+SUMPRODUCT(MAX(ROW(E$2:E2175)*(E2176=E$2:E2175)))))</f>
        <v/>
      </c>
      <c r="J2176" s="14" t="str">
        <f aca="true">IF(OR(E2176="",E2176="!!!",F2176="NEW"),"",COUNTBLANK(OFFSET(A$1,,,SUMPRODUCT(MAX(ROW(E$2:E2176)*(E2176=E$2:E2176)))))-COUNTBLANK(OFFSET(A$1,,,SUMPRODUCT(MAX(ROW(E$1:E2175)*(E2176=E$1:E2175))))))</f>
        <v/>
      </c>
      <c r="K2176" s="14" t="str">
        <f aca="false">IF(OR(E2176="",E2176="!!!",F2176="NEW"),"",INDEX(J$1:J2175,SUMPRODUCT(MAX(ROW(E$1:E2175)*(E2176=E$1:E2175)))))</f>
        <v/>
      </c>
      <c r="L2176" s="15"/>
    </row>
    <row r="2177" customFormat="false" ht="12.75" hidden="false" customHeight="false" outlineLevel="0" collapsed="false">
      <c r="A2177" s="0" t="s">
        <v>31</v>
      </c>
      <c r="E2177" s="9" t="str">
        <f aca="false">IF(D2177="?OLD","!!!","")</f>
        <v/>
      </c>
      <c r="F2177" s="10" t="str">
        <f aca="false">IF(OR(E2177="",E2177="!!!"),"",IF(NOT(ISNA(VLOOKUP(E2177,E$1:E2176,1,FALSE()))),"OLD",IF(AND(E2177&lt;&gt;"",E2177&lt;&gt;"!!!"),"NEW","")))</f>
        <v/>
      </c>
      <c r="G2177" s="11" t="str">
        <f aca="false">IF(OR(E2177="",E2177="!!!"),"",IF(OR(J2177=0,AND(J2177=1,K2177=1),AND(J2177=1,I2177="SBJ"),AND(J2177=1,I2177=0)),"?IN_FOCUS",IF(J2177&lt;=2,"?ACTIVATED",IF(J2177&lt;&gt;"","?FAMILIAR",IF(F2177="NEW",IF(ISNA(VLOOKUP(E2177,#REF!,1,FALSE())),"?TYPE_IDENTIFIABLE","?REFERENTIAL"),"_")))))</f>
        <v/>
      </c>
      <c r="H2177" s="12" t="str">
        <f aca="false">IF(J2177&lt;&gt;1,"",IF(I2177="SBJ","CB","?"))</f>
        <v/>
      </c>
      <c r="I2177" s="13" t="str">
        <f aca="false">IF(OR(E2177="",E2177="!!!",F2177="NEW"),"",INDEX(B$2:B2176,-1+SUMPRODUCT(MAX(ROW(E$2:E2176)*(E2177=E$2:E2176)))))</f>
        <v/>
      </c>
      <c r="J2177" s="14" t="str">
        <f aca="true">IF(OR(E2177="",E2177="!!!",F2177="NEW"),"",COUNTBLANK(OFFSET(A$1,,,SUMPRODUCT(MAX(ROW(E$2:E2177)*(E2177=E$2:E2177)))))-COUNTBLANK(OFFSET(A$1,,,SUMPRODUCT(MAX(ROW(E$1:E2176)*(E2177=E$1:E2176))))))</f>
        <v/>
      </c>
      <c r="K2177" s="14" t="str">
        <f aca="false">IF(OR(E2177="",E2177="!!!",F2177="NEW"),"",INDEX(J$1:J2176,SUMPRODUCT(MAX(ROW(E$1:E2176)*(E2177=E$1:E2176)))))</f>
        <v/>
      </c>
      <c r="L2177" s="15"/>
    </row>
    <row r="2178" customFormat="false" ht="12.75" hidden="false" customHeight="false" outlineLevel="0" collapsed="false">
      <c r="A2178" s="0" t="s">
        <v>36</v>
      </c>
      <c r="B2178" s="0" t="s">
        <v>42</v>
      </c>
      <c r="C2178" s="0" t="s">
        <v>38</v>
      </c>
      <c r="D2178" s="0" t="s">
        <v>29</v>
      </c>
      <c r="E2178" s="9" t="str">
        <f aca="false">IF(D2178="?OLD","!!!","")</f>
        <v>!!!</v>
      </c>
      <c r="F2178" s="10" t="str">
        <f aca="false">IF(OR(E2178="",E2178="!!!"),"",IF(NOT(ISNA(VLOOKUP(E2178,E$1:E2177,1,FALSE()))),"OLD",IF(AND(E2178&lt;&gt;"",E2178&lt;&gt;"!!!"),"NEW","")))</f>
        <v/>
      </c>
      <c r="G2178" s="11" t="str">
        <f aca="false">IF(OR(E2178="",E2178="!!!"),"",IF(OR(J2178=0,AND(J2178=1,K2178=1),AND(J2178=1,I2178="SBJ"),AND(J2178=1,I2178=0)),"?IN_FOCUS",IF(J2178&lt;=2,"?ACTIVATED",IF(J2178&lt;&gt;"","?FAMILIAR",IF(F2178="NEW",IF(ISNA(VLOOKUP(E2178,#REF!,1,FALSE())),"?TYPE_IDENTIFIABLE","?REFERENTIAL"),"_")))))</f>
        <v/>
      </c>
      <c r="H2178" s="12" t="str">
        <f aca="false">IF(J2178&lt;&gt;1,"",IF(I2178="SBJ","CB","?"))</f>
        <v/>
      </c>
      <c r="I2178" s="13" t="str">
        <f aca="false">IF(OR(E2178="",E2178="!!!",F2178="NEW"),"",INDEX(B$2:B2177,-1+SUMPRODUCT(MAX(ROW(E$2:E2177)*(E2178=E$2:E2177)))))</f>
        <v/>
      </c>
      <c r="J2178" s="14" t="str">
        <f aca="true">IF(OR(E2178="",E2178="!!!",F2178="NEW"),"",COUNTBLANK(OFFSET(A$1,,,SUMPRODUCT(MAX(ROW(E$2:E2178)*(E2178=E$2:E2178)))))-COUNTBLANK(OFFSET(A$1,,,SUMPRODUCT(MAX(ROW(E$1:E2177)*(E2178=E$1:E2177))))))</f>
        <v/>
      </c>
      <c r="K2178" s="14" t="str">
        <f aca="false">IF(OR(E2178="",E2178="!!!",F2178="NEW"),"",INDEX(J$1:J2177,SUMPRODUCT(MAX(ROW(E$1:E2177)*(E2178=E$1:E2177)))))</f>
        <v/>
      </c>
      <c r="L2178" s="15"/>
    </row>
    <row r="2179" customFormat="false" ht="12.75" hidden="false" customHeight="false" outlineLevel="0" collapsed="false">
      <c r="A2179" s="0" t="s">
        <v>443</v>
      </c>
      <c r="E2179" s="9" t="str">
        <f aca="false">IF(D2179="?OLD","!!!","")</f>
        <v/>
      </c>
      <c r="F2179" s="10" t="str">
        <f aca="false">IF(OR(E2179="",E2179="!!!"),"",IF(NOT(ISNA(VLOOKUP(E2179,E$1:E2178,1,FALSE()))),"OLD",IF(AND(E2179&lt;&gt;"",E2179&lt;&gt;"!!!"),"NEW","")))</f>
        <v/>
      </c>
      <c r="G2179" s="11" t="str">
        <f aca="false">IF(OR(E2179="",E2179="!!!"),"",IF(OR(J2179=0,AND(J2179=1,K2179=1),AND(J2179=1,I2179="SBJ"),AND(J2179=1,I2179=0)),"?IN_FOCUS",IF(J2179&lt;=2,"?ACTIVATED",IF(J2179&lt;&gt;"","?FAMILIAR",IF(F2179="NEW",IF(ISNA(VLOOKUP(E2179,#REF!,1,FALSE())),"?TYPE_IDENTIFIABLE","?REFERENTIAL"),"_")))))</f>
        <v/>
      </c>
      <c r="H2179" s="12" t="str">
        <f aca="false">IF(J2179&lt;&gt;1,"",IF(I2179="SBJ","CB","?"))</f>
        <v/>
      </c>
      <c r="I2179" s="13" t="str">
        <f aca="false">IF(OR(E2179="",E2179="!!!",F2179="NEW"),"",INDEX(B$2:B2178,-1+SUMPRODUCT(MAX(ROW(E$2:E2178)*(E2179=E$2:E2178)))))</f>
        <v/>
      </c>
      <c r="J2179" s="14" t="str">
        <f aca="true">IF(OR(E2179="",E2179="!!!",F2179="NEW"),"",COUNTBLANK(OFFSET(A$1,,,SUMPRODUCT(MAX(ROW(E$2:E2179)*(E2179=E$2:E2179)))))-COUNTBLANK(OFFSET(A$1,,,SUMPRODUCT(MAX(ROW(E$1:E2178)*(E2179=E$1:E2178))))))</f>
        <v/>
      </c>
      <c r="K2179" s="14" t="str">
        <f aca="false">IF(OR(E2179="",E2179="!!!",F2179="NEW"),"",INDEX(J$1:J2178,SUMPRODUCT(MAX(ROW(E$1:E2178)*(E2179=E$1:E2178)))))</f>
        <v/>
      </c>
      <c r="L2179" s="15"/>
    </row>
    <row r="2180" customFormat="false" ht="12.75" hidden="false" customHeight="false" outlineLevel="0" collapsed="false">
      <c r="A2180" s="0" t="s">
        <v>806</v>
      </c>
      <c r="B2180" s="0" t="s">
        <v>42</v>
      </c>
      <c r="C2180" s="0" t="s">
        <v>120</v>
      </c>
      <c r="E2180" s="9" t="str">
        <f aca="false">IF(D2180="?OLD","!!!","")</f>
        <v/>
      </c>
      <c r="F2180" s="10" t="str">
        <f aca="false">IF(OR(E2180="",E2180="!!!"),"",IF(NOT(ISNA(VLOOKUP(E2180,E$1:E2179,1,FALSE()))),"OLD",IF(AND(E2180&lt;&gt;"",E2180&lt;&gt;"!!!"),"NEW","")))</f>
        <v/>
      </c>
      <c r="G2180" s="11" t="str">
        <f aca="false">IF(OR(E2180="",E2180="!!!"),"",IF(OR(J2180=0,AND(J2180=1,K2180=1),AND(J2180=1,I2180="SBJ"),AND(J2180=1,I2180=0)),"?IN_FOCUS",IF(J2180&lt;=2,"?ACTIVATED",IF(J2180&lt;&gt;"","?FAMILIAR",IF(F2180="NEW",IF(ISNA(VLOOKUP(E2180,#REF!,1,FALSE())),"?TYPE_IDENTIFIABLE","?REFERENTIAL"),"_")))))</f>
        <v/>
      </c>
      <c r="H2180" s="12" t="str">
        <f aca="false">IF(J2180&lt;&gt;1,"",IF(I2180="SBJ","CB","?"))</f>
        <v/>
      </c>
      <c r="I2180" s="13" t="str">
        <f aca="false">IF(OR(E2180="",E2180="!!!",F2180="NEW"),"",INDEX(B$2:B2179,-1+SUMPRODUCT(MAX(ROW(E$2:E2179)*(E2180=E$2:E2179)))))</f>
        <v/>
      </c>
      <c r="J2180" s="14" t="str">
        <f aca="true">IF(OR(E2180="",E2180="!!!",F2180="NEW"),"",COUNTBLANK(OFFSET(A$1,,,SUMPRODUCT(MAX(ROW(E$2:E2180)*(E2180=E$2:E2180)))))-COUNTBLANK(OFFSET(A$1,,,SUMPRODUCT(MAX(ROW(E$1:E2179)*(E2180=E$1:E2179))))))</f>
        <v/>
      </c>
      <c r="K2180" s="14" t="str">
        <f aca="false">IF(OR(E2180="",E2180="!!!",F2180="NEW"),"",INDEX(J$1:J2179,SUMPRODUCT(MAX(ROW(E$1:E2179)*(E2180=E$1:E2179)))))</f>
        <v/>
      </c>
      <c r="L2180" s="15"/>
    </row>
    <row r="2181" customFormat="false" ht="12.75" hidden="false" customHeight="false" outlineLevel="0" collapsed="false">
      <c r="A2181" s="0" t="s">
        <v>848</v>
      </c>
      <c r="E2181" s="9" t="str">
        <f aca="false">IF(D2181="?OLD","!!!","")</f>
        <v/>
      </c>
      <c r="F2181" s="10" t="str">
        <f aca="false">IF(OR(E2181="",E2181="!!!"),"",IF(NOT(ISNA(VLOOKUP(E2181,E$1:E2180,1,FALSE()))),"OLD",IF(AND(E2181&lt;&gt;"",E2181&lt;&gt;"!!!"),"NEW","")))</f>
        <v/>
      </c>
      <c r="G2181" s="11" t="str">
        <f aca="false">IF(OR(E2181="",E2181="!!!"),"",IF(OR(J2181=0,AND(J2181=1,K2181=1),AND(J2181=1,I2181="SBJ"),AND(J2181=1,I2181=0)),"?IN_FOCUS",IF(J2181&lt;=2,"?ACTIVATED",IF(J2181&lt;&gt;"","?FAMILIAR",IF(F2181="NEW",IF(ISNA(VLOOKUP(E2181,#REF!,1,FALSE())),"?TYPE_IDENTIFIABLE","?REFERENTIAL"),"_")))))</f>
        <v/>
      </c>
      <c r="H2181" s="12" t="str">
        <f aca="false">IF(J2181&lt;&gt;1,"",IF(I2181="SBJ","CB","?"))</f>
        <v/>
      </c>
      <c r="I2181" s="13" t="str">
        <f aca="false">IF(OR(E2181="",E2181="!!!",F2181="NEW"),"",INDEX(B$2:B2180,-1+SUMPRODUCT(MAX(ROW(E$2:E2180)*(E2181=E$2:E2180)))))</f>
        <v/>
      </c>
      <c r="J2181" s="14" t="str">
        <f aca="true">IF(OR(E2181="",E2181="!!!",F2181="NEW"),"",COUNTBLANK(OFFSET(A$1,,,SUMPRODUCT(MAX(ROW(E$2:E2181)*(E2181=E$2:E2181)))))-COUNTBLANK(OFFSET(A$1,,,SUMPRODUCT(MAX(ROW(E$1:E2180)*(E2181=E$1:E2180))))))</f>
        <v/>
      </c>
      <c r="K2181" s="14" t="str">
        <f aca="false">IF(OR(E2181="",E2181="!!!",F2181="NEW"),"",INDEX(J$1:J2180,SUMPRODUCT(MAX(ROW(E$1:E2180)*(E2181=E$1:E2180)))))</f>
        <v/>
      </c>
      <c r="L2181" s="15"/>
    </row>
    <row r="2182" customFormat="false" ht="12.75" hidden="false" customHeight="false" outlineLevel="0" collapsed="false">
      <c r="A2182" s="0" t="s">
        <v>173</v>
      </c>
      <c r="E2182" s="9" t="str">
        <f aca="false">IF(D2182="?OLD","!!!","")</f>
        <v/>
      </c>
      <c r="F2182" s="10" t="str">
        <f aca="false">IF(OR(E2182="",E2182="!!!"),"",IF(NOT(ISNA(VLOOKUP(E2182,E$1:E2181,1,FALSE()))),"OLD",IF(AND(E2182&lt;&gt;"",E2182&lt;&gt;"!!!"),"NEW","")))</f>
        <v/>
      </c>
      <c r="G2182" s="11" t="str">
        <f aca="false">IF(OR(E2182="",E2182="!!!"),"",IF(OR(J2182=0,AND(J2182=1,K2182=1),AND(J2182=1,I2182="SBJ"),AND(J2182=1,I2182=0)),"?IN_FOCUS",IF(J2182&lt;=2,"?ACTIVATED",IF(J2182&lt;&gt;"","?FAMILIAR",IF(F2182="NEW",IF(ISNA(VLOOKUP(E2182,#REF!,1,FALSE())),"?TYPE_IDENTIFIABLE","?REFERENTIAL"),"_")))))</f>
        <v/>
      </c>
      <c r="H2182" s="12" t="str">
        <f aca="false">IF(J2182&lt;&gt;1,"",IF(I2182="SBJ","CB","?"))</f>
        <v/>
      </c>
      <c r="I2182" s="13" t="str">
        <f aca="false">IF(OR(E2182="",E2182="!!!",F2182="NEW"),"",INDEX(B$2:B2181,-1+SUMPRODUCT(MAX(ROW(E$2:E2181)*(E2182=E$2:E2181)))))</f>
        <v/>
      </c>
      <c r="J2182" s="14" t="str">
        <f aca="true">IF(OR(E2182="",E2182="!!!",F2182="NEW"),"",COUNTBLANK(OFFSET(A$1,,,SUMPRODUCT(MAX(ROW(E$2:E2182)*(E2182=E$2:E2182)))))-COUNTBLANK(OFFSET(A$1,,,SUMPRODUCT(MAX(ROW(E$1:E2181)*(E2182=E$1:E2181))))))</f>
        <v/>
      </c>
      <c r="K2182" s="14" t="str">
        <f aca="false">IF(OR(E2182="",E2182="!!!",F2182="NEW"),"",INDEX(J$1:J2181,SUMPRODUCT(MAX(ROW(E$1:E2181)*(E2182=E$1:E2181)))))</f>
        <v/>
      </c>
      <c r="L2182" s="15"/>
    </row>
    <row r="2183" customFormat="false" ht="12.75" hidden="false" customHeight="false" outlineLevel="0" collapsed="false">
      <c r="A2183" s="0" t="s">
        <v>40</v>
      </c>
      <c r="E2183" s="9" t="str">
        <f aca="false">IF(D2183="?OLD","!!!","")</f>
        <v/>
      </c>
      <c r="F2183" s="10" t="str">
        <f aca="false">IF(OR(E2183="",E2183="!!!"),"",IF(NOT(ISNA(VLOOKUP(E2183,E$1:E2182,1,FALSE()))),"OLD",IF(AND(E2183&lt;&gt;"",E2183&lt;&gt;"!!!"),"NEW","")))</f>
        <v/>
      </c>
      <c r="G2183" s="11" t="str">
        <f aca="false">IF(OR(E2183="",E2183="!!!"),"",IF(OR(J2183=0,AND(J2183=1,K2183=1),AND(J2183=1,I2183="SBJ"),AND(J2183=1,I2183=0)),"?IN_FOCUS",IF(J2183&lt;=2,"?ACTIVATED",IF(J2183&lt;&gt;"","?FAMILIAR",IF(F2183="NEW",IF(ISNA(VLOOKUP(E2183,#REF!,1,FALSE())),"?TYPE_IDENTIFIABLE","?REFERENTIAL"),"_")))))</f>
        <v/>
      </c>
      <c r="H2183" s="12" t="str">
        <f aca="false">IF(J2183&lt;&gt;1,"",IF(I2183="SBJ","CB","?"))</f>
        <v/>
      </c>
      <c r="I2183" s="13" t="str">
        <f aca="false">IF(OR(E2183="",E2183="!!!",F2183="NEW"),"",INDEX(B$2:B2182,-1+SUMPRODUCT(MAX(ROW(E$2:E2182)*(E2183=E$2:E2182)))))</f>
        <v/>
      </c>
      <c r="J2183" s="14" t="str">
        <f aca="true">IF(OR(E2183="",E2183="!!!",F2183="NEW"),"",COUNTBLANK(OFFSET(A$1,,,SUMPRODUCT(MAX(ROW(E$2:E2183)*(E2183=E$2:E2183)))))-COUNTBLANK(OFFSET(A$1,,,SUMPRODUCT(MAX(ROW(E$1:E2182)*(E2183=E$1:E2182))))))</f>
        <v/>
      </c>
      <c r="K2183" s="14" t="str">
        <f aca="false">IF(OR(E2183="",E2183="!!!",F2183="NEW"),"",INDEX(J$1:J2182,SUMPRODUCT(MAX(ROW(E$1:E2182)*(E2183=E$1:E2182)))))</f>
        <v/>
      </c>
      <c r="L2183" s="15"/>
    </row>
    <row r="2184" customFormat="false" ht="12.75" hidden="false" customHeight="false" outlineLevel="0" collapsed="false">
      <c r="A2184" s="0" t="s">
        <v>849</v>
      </c>
      <c r="E2184" s="9" t="str">
        <f aca="false">IF(D2184="?OLD","!!!","")</f>
        <v/>
      </c>
      <c r="F2184" s="10" t="str">
        <f aca="false">IF(OR(E2184="",E2184="!!!"),"",IF(NOT(ISNA(VLOOKUP(E2184,E$1:E2183,1,FALSE()))),"OLD",IF(AND(E2184&lt;&gt;"",E2184&lt;&gt;"!!!"),"NEW","")))</f>
        <v/>
      </c>
      <c r="G2184" s="11" t="str">
        <f aca="false">IF(OR(E2184="",E2184="!!!"),"",IF(OR(J2184=0,AND(J2184=1,K2184=1),AND(J2184=1,I2184="SBJ"),AND(J2184=1,I2184=0)),"?IN_FOCUS",IF(J2184&lt;=2,"?ACTIVATED",IF(J2184&lt;&gt;"","?FAMILIAR",IF(F2184="NEW",IF(ISNA(VLOOKUP(E2184,#REF!,1,FALSE())),"?TYPE_IDENTIFIABLE","?REFERENTIAL"),"_")))))</f>
        <v/>
      </c>
      <c r="H2184" s="12" t="str">
        <f aca="false">IF(J2184&lt;&gt;1,"",IF(I2184="SBJ","CB","?"))</f>
        <v/>
      </c>
      <c r="I2184" s="13" t="str">
        <f aca="false">IF(OR(E2184="",E2184="!!!",F2184="NEW"),"",INDEX(B$2:B2183,-1+SUMPRODUCT(MAX(ROW(E$2:E2183)*(E2184=E$2:E2183)))))</f>
        <v/>
      </c>
      <c r="J2184" s="14" t="str">
        <f aca="true">IF(OR(E2184="",E2184="!!!",F2184="NEW"),"",COUNTBLANK(OFFSET(A$1,,,SUMPRODUCT(MAX(ROW(E$2:E2184)*(E2184=E$2:E2184)))))-COUNTBLANK(OFFSET(A$1,,,SUMPRODUCT(MAX(ROW(E$1:E2183)*(E2184=E$1:E2183))))))</f>
        <v/>
      </c>
      <c r="K2184" s="14" t="str">
        <f aca="false">IF(OR(E2184="",E2184="!!!",F2184="NEW"),"",INDEX(J$1:J2183,SUMPRODUCT(MAX(ROW(E$1:E2183)*(E2184=E$1:E2183)))))</f>
        <v/>
      </c>
      <c r="L2184" s="15"/>
    </row>
    <row r="2185" customFormat="false" ht="12.75" hidden="false" customHeight="false" outlineLevel="0" collapsed="false">
      <c r="A2185" s="0" t="s">
        <v>850</v>
      </c>
      <c r="B2185" s="0" t="s">
        <v>28</v>
      </c>
      <c r="C2185" s="0" t="s">
        <v>43</v>
      </c>
      <c r="E2185" s="9" t="str">
        <f aca="false">IF(D2185="?OLD","!!!","")</f>
        <v/>
      </c>
      <c r="F2185" s="10" t="str">
        <f aca="false">IF(OR(E2185="",E2185="!!!"),"",IF(NOT(ISNA(VLOOKUP(E2185,E$1:E2184,1,FALSE()))),"OLD",IF(AND(E2185&lt;&gt;"",E2185&lt;&gt;"!!!"),"NEW","")))</f>
        <v/>
      </c>
      <c r="G2185" s="11" t="str">
        <f aca="false">IF(OR(E2185="",E2185="!!!"),"",IF(OR(J2185=0,AND(J2185=1,K2185=1),AND(J2185=1,I2185="SBJ"),AND(J2185=1,I2185=0)),"?IN_FOCUS",IF(J2185&lt;=2,"?ACTIVATED",IF(J2185&lt;&gt;"","?FAMILIAR",IF(F2185="NEW",IF(ISNA(VLOOKUP(E2185,#REF!,1,FALSE())),"?TYPE_IDENTIFIABLE","?REFERENTIAL"),"_")))))</f>
        <v/>
      </c>
      <c r="H2185" s="12" t="str">
        <f aca="false">IF(J2185&lt;&gt;1,"",IF(I2185="SBJ","CB","?"))</f>
        <v/>
      </c>
      <c r="I2185" s="13" t="str">
        <f aca="false">IF(OR(E2185="",E2185="!!!",F2185="NEW"),"",INDEX(B$2:B2184,-1+SUMPRODUCT(MAX(ROW(E$2:E2184)*(E2185=E$2:E2184)))))</f>
        <v/>
      </c>
      <c r="J2185" s="14" t="str">
        <f aca="true">IF(OR(E2185="",E2185="!!!",F2185="NEW"),"",COUNTBLANK(OFFSET(A$1,,,SUMPRODUCT(MAX(ROW(E$2:E2185)*(E2185=E$2:E2185)))))-COUNTBLANK(OFFSET(A$1,,,SUMPRODUCT(MAX(ROW(E$1:E2184)*(E2185=E$1:E2184))))))</f>
        <v/>
      </c>
      <c r="K2185" s="14" t="str">
        <f aca="false">IF(OR(E2185="",E2185="!!!",F2185="NEW"),"",INDEX(J$1:J2184,SUMPRODUCT(MAX(ROW(E$1:E2184)*(E2185=E$1:E2184)))))</f>
        <v/>
      </c>
      <c r="L2185" s="15"/>
    </row>
    <row r="2186" customFormat="false" ht="12.75" hidden="false" customHeight="false" outlineLevel="0" collapsed="false">
      <c r="A2186" s="0" t="s">
        <v>31</v>
      </c>
      <c r="E2186" s="9" t="str">
        <f aca="false">IF(D2186="?OLD","!!!","")</f>
        <v/>
      </c>
      <c r="F2186" s="10" t="str">
        <f aca="false">IF(OR(E2186="",E2186="!!!"),"",IF(NOT(ISNA(VLOOKUP(E2186,E$1:E2185,1,FALSE()))),"OLD",IF(AND(E2186&lt;&gt;"",E2186&lt;&gt;"!!!"),"NEW","")))</f>
        <v/>
      </c>
      <c r="G2186" s="11" t="str">
        <f aca="false">IF(OR(E2186="",E2186="!!!"),"",IF(OR(J2186=0,AND(J2186=1,K2186=1),AND(J2186=1,I2186="SBJ"),AND(J2186=1,I2186=0)),"?IN_FOCUS",IF(J2186&lt;=2,"?ACTIVATED",IF(J2186&lt;&gt;"","?FAMILIAR",IF(F2186="NEW",IF(ISNA(VLOOKUP(E2186,#REF!,1,FALSE())),"?TYPE_IDENTIFIABLE","?REFERENTIAL"),"_")))))</f>
        <v/>
      </c>
      <c r="H2186" s="12" t="str">
        <f aca="false">IF(J2186&lt;&gt;1,"",IF(I2186="SBJ","CB","?"))</f>
        <v/>
      </c>
      <c r="I2186" s="13" t="str">
        <f aca="false">IF(OR(E2186="",E2186="!!!",F2186="NEW"),"",INDEX(B$2:B2185,-1+SUMPRODUCT(MAX(ROW(E$2:E2185)*(E2186=E$2:E2185)))))</f>
        <v/>
      </c>
      <c r="J2186" s="14" t="str">
        <f aca="true">IF(OR(E2186="",E2186="!!!",F2186="NEW"),"",COUNTBLANK(OFFSET(A$1,,,SUMPRODUCT(MAX(ROW(E$2:E2186)*(E2186=E$2:E2186)))))-COUNTBLANK(OFFSET(A$1,,,SUMPRODUCT(MAX(ROW(E$1:E2185)*(E2186=E$1:E2185))))))</f>
        <v/>
      </c>
      <c r="K2186" s="14" t="str">
        <f aca="false">IF(OR(E2186="",E2186="!!!",F2186="NEW"),"",INDEX(J$1:J2185,SUMPRODUCT(MAX(ROW(E$1:E2185)*(E2186=E$1:E2185)))))</f>
        <v/>
      </c>
      <c r="L2186" s="15"/>
    </row>
    <row r="2187" customFormat="false" ht="12.75" hidden="false" customHeight="false" outlineLevel="0" collapsed="false">
      <c r="A2187" s="0" t="s">
        <v>579</v>
      </c>
      <c r="B2187" s="0" t="s">
        <v>22</v>
      </c>
      <c r="C2187" s="0" t="s">
        <v>55</v>
      </c>
      <c r="D2187" s="0" t="s">
        <v>29</v>
      </c>
      <c r="E2187" s="9" t="str">
        <f aca="false">IF(D2187="?OLD","!!!","")</f>
        <v>!!!</v>
      </c>
      <c r="F2187" s="10" t="str">
        <f aca="false">IF(OR(E2187="",E2187="!!!"),"",IF(NOT(ISNA(VLOOKUP(E2187,E$1:E2186,1,FALSE()))),"OLD",IF(AND(E2187&lt;&gt;"",E2187&lt;&gt;"!!!"),"NEW","")))</f>
        <v/>
      </c>
      <c r="G2187" s="11" t="str">
        <f aca="false">IF(OR(E2187="",E2187="!!!"),"",IF(OR(J2187=0,AND(J2187=1,K2187=1),AND(J2187=1,I2187="SBJ"),AND(J2187=1,I2187=0)),"?IN_FOCUS",IF(J2187&lt;=2,"?ACTIVATED",IF(J2187&lt;&gt;"","?FAMILIAR",IF(F2187="NEW",IF(ISNA(VLOOKUP(E2187,#REF!,1,FALSE())),"?TYPE_IDENTIFIABLE","?REFERENTIAL"),"_")))))</f>
        <v/>
      </c>
      <c r="H2187" s="12" t="str">
        <f aca="false">IF(J2187&lt;&gt;1,"",IF(I2187="SBJ","CB","?"))</f>
        <v/>
      </c>
      <c r="I2187" s="13" t="str">
        <f aca="false">IF(OR(E2187="",E2187="!!!",F2187="NEW"),"",INDEX(B$2:B2186,-1+SUMPRODUCT(MAX(ROW(E$2:E2186)*(E2187=E$2:E2186)))))</f>
        <v/>
      </c>
      <c r="J2187" s="14" t="str">
        <f aca="true">IF(OR(E2187="",E2187="!!!",F2187="NEW"),"",COUNTBLANK(OFFSET(A$1,,,SUMPRODUCT(MAX(ROW(E$2:E2187)*(E2187=E$2:E2187)))))-COUNTBLANK(OFFSET(A$1,,,SUMPRODUCT(MAX(ROW(E$1:E2186)*(E2187=E$1:E2186))))))</f>
        <v/>
      </c>
      <c r="K2187" s="14" t="str">
        <f aca="false">IF(OR(E2187="",E2187="!!!",F2187="NEW"),"",INDEX(J$1:J2186,SUMPRODUCT(MAX(ROW(E$1:E2186)*(E2187=E$1:E2186)))))</f>
        <v/>
      </c>
      <c r="L2187" s="15"/>
    </row>
    <row r="2188" customFormat="false" ht="12.75" hidden="false" customHeight="false" outlineLevel="0" collapsed="false">
      <c r="A2188" s="0" t="s">
        <v>851</v>
      </c>
      <c r="B2188" s="0" t="s">
        <v>42</v>
      </c>
      <c r="C2188" s="0" t="s">
        <v>15</v>
      </c>
      <c r="D2188" s="0" t="s">
        <v>29</v>
      </c>
      <c r="E2188" s="9" t="str">
        <f aca="false">IF(D2188="?OLD","!!!","")</f>
        <v>!!!</v>
      </c>
      <c r="F2188" s="10" t="str">
        <f aca="false">IF(OR(E2188="",E2188="!!!"),"",IF(NOT(ISNA(VLOOKUP(E2188,E$1:E2187,1,FALSE()))),"OLD",IF(AND(E2188&lt;&gt;"",E2188&lt;&gt;"!!!"),"NEW","")))</f>
        <v/>
      </c>
      <c r="G2188" s="11" t="str">
        <f aca="false">IF(OR(E2188="",E2188="!!!"),"",IF(OR(J2188=0,AND(J2188=1,K2188=1),AND(J2188=1,I2188="SBJ"),AND(J2188=1,I2188=0)),"?IN_FOCUS",IF(J2188&lt;=2,"?ACTIVATED",IF(J2188&lt;&gt;"","?FAMILIAR",IF(F2188="NEW",IF(ISNA(VLOOKUP(E2188,#REF!,1,FALSE())),"?TYPE_IDENTIFIABLE","?REFERENTIAL"),"_")))))</f>
        <v/>
      </c>
      <c r="H2188" s="12" t="str">
        <f aca="false">IF(J2188&lt;&gt;1,"",IF(I2188="SBJ","CB","?"))</f>
        <v/>
      </c>
      <c r="I2188" s="13" t="str">
        <f aca="false">IF(OR(E2188="",E2188="!!!",F2188="NEW"),"",INDEX(B$2:B2187,-1+SUMPRODUCT(MAX(ROW(E$2:E2187)*(E2188=E$2:E2187)))))</f>
        <v/>
      </c>
      <c r="J2188" s="14" t="str">
        <f aca="true">IF(OR(E2188="",E2188="!!!",F2188="NEW"),"",COUNTBLANK(OFFSET(A$1,,,SUMPRODUCT(MAX(ROW(E$2:E2188)*(E2188=E$2:E2188)))))-COUNTBLANK(OFFSET(A$1,,,SUMPRODUCT(MAX(ROW(E$1:E2187)*(E2188=E$1:E2187))))))</f>
        <v/>
      </c>
      <c r="K2188" s="14" t="str">
        <f aca="false">IF(OR(E2188="",E2188="!!!",F2188="NEW"),"",INDEX(J$1:J2187,SUMPRODUCT(MAX(ROW(E$1:E2187)*(E2188=E$1:E2187)))))</f>
        <v/>
      </c>
      <c r="L2188" s="15"/>
    </row>
    <row r="2189" customFormat="false" ht="12.75" hidden="false" customHeight="false" outlineLevel="0" collapsed="false">
      <c r="A2189" s="0" t="s">
        <v>88</v>
      </c>
      <c r="E2189" s="9" t="str">
        <f aca="false">IF(D2189="?OLD","!!!","")</f>
        <v/>
      </c>
      <c r="F2189" s="10" t="str">
        <f aca="false">IF(OR(E2189="",E2189="!!!"),"",IF(NOT(ISNA(VLOOKUP(E2189,E$1:E2188,1,FALSE()))),"OLD",IF(AND(E2189&lt;&gt;"",E2189&lt;&gt;"!!!"),"NEW","")))</f>
        <v/>
      </c>
      <c r="G2189" s="11" t="str">
        <f aca="false">IF(OR(E2189="",E2189="!!!"),"",IF(OR(J2189=0,AND(J2189=1,K2189=1),AND(J2189=1,I2189="SBJ"),AND(J2189=1,I2189=0)),"?IN_FOCUS",IF(J2189&lt;=2,"?ACTIVATED",IF(J2189&lt;&gt;"","?FAMILIAR",IF(F2189="NEW",IF(ISNA(VLOOKUP(E2189,#REF!,1,FALSE())),"?TYPE_IDENTIFIABLE","?REFERENTIAL"),"_")))))</f>
        <v/>
      </c>
      <c r="H2189" s="12" t="str">
        <f aca="false">IF(J2189&lt;&gt;1,"",IF(I2189="SBJ","CB","?"))</f>
        <v/>
      </c>
      <c r="I2189" s="13" t="str">
        <f aca="false">IF(OR(E2189="",E2189="!!!",F2189="NEW"),"",INDEX(B$2:B2188,-1+SUMPRODUCT(MAX(ROW(E$2:E2188)*(E2189=E$2:E2188)))))</f>
        <v/>
      </c>
      <c r="J2189" s="14" t="str">
        <f aca="true">IF(OR(E2189="",E2189="!!!",F2189="NEW"),"",COUNTBLANK(OFFSET(A$1,,,SUMPRODUCT(MAX(ROW(E$2:E2189)*(E2189=E$2:E2189)))))-COUNTBLANK(OFFSET(A$1,,,SUMPRODUCT(MAX(ROW(E$1:E2188)*(E2189=E$1:E2188))))))</f>
        <v/>
      </c>
      <c r="K2189" s="14" t="str">
        <f aca="false">IF(OR(E2189="",E2189="!!!",F2189="NEW"),"",INDEX(J$1:J2188,SUMPRODUCT(MAX(ROW(E$1:E2188)*(E2189=E$1:E2188)))))</f>
        <v/>
      </c>
      <c r="L2189" s="15"/>
    </row>
    <row r="2190" customFormat="false" ht="12.75" hidden="false" customHeight="false" outlineLevel="0" collapsed="false">
      <c r="A2190" s="0" t="s">
        <v>852</v>
      </c>
      <c r="B2190" s="0" t="s">
        <v>22</v>
      </c>
      <c r="C2190" s="0" t="s">
        <v>120</v>
      </c>
      <c r="E2190" s="9" t="str">
        <f aca="false">IF(D2190="?OLD","!!!","")</f>
        <v/>
      </c>
      <c r="F2190" s="10" t="str">
        <f aca="false">IF(OR(E2190="",E2190="!!!"),"",IF(NOT(ISNA(VLOOKUP(E2190,E$1:E2189,1,FALSE()))),"OLD",IF(AND(E2190&lt;&gt;"",E2190&lt;&gt;"!!!"),"NEW","")))</f>
        <v/>
      </c>
      <c r="G2190" s="11" t="str">
        <f aca="false">IF(OR(E2190="",E2190="!!!"),"",IF(OR(J2190=0,AND(J2190=1,K2190=1),AND(J2190=1,I2190="SBJ"),AND(J2190=1,I2190=0)),"?IN_FOCUS",IF(J2190&lt;=2,"?ACTIVATED",IF(J2190&lt;&gt;"","?FAMILIAR",IF(F2190="NEW",IF(ISNA(VLOOKUP(E2190,#REF!,1,FALSE())),"?TYPE_IDENTIFIABLE","?REFERENTIAL"),"_")))))</f>
        <v/>
      </c>
      <c r="H2190" s="12" t="str">
        <f aca="false">IF(J2190&lt;&gt;1,"",IF(I2190="SBJ","CB","?"))</f>
        <v/>
      </c>
      <c r="I2190" s="13" t="str">
        <f aca="false">IF(OR(E2190="",E2190="!!!",F2190="NEW"),"",INDEX(B$2:B2189,-1+SUMPRODUCT(MAX(ROW(E$2:E2189)*(E2190=E$2:E2189)))))</f>
        <v/>
      </c>
      <c r="J2190" s="14" t="str">
        <f aca="true">IF(OR(E2190="",E2190="!!!",F2190="NEW"),"",COUNTBLANK(OFFSET(A$1,,,SUMPRODUCT(MAX(ROW(E$2:E2190)*(E2190=E$2:E2190)))))-COUNTBLANK(OFFSET(A$1,,,SUMPRODUCT(MAX(ROW(E$1:E2189)*(E2190=E$1:E2189))))))</f>
        <v/>
      </c>
      <c r="K2190" s="14" t="str">
        <f aca="false">IF(OR(E2190="",E2190="!!!",F2190="NEW"),"",INDEX(J$1:J2189,SUMPRODUCT(MAX(ROW(E$1:E2189)*(E2190=E$1:E2189)))))</f>
        <v/>
      </c>
      <c r="L2190" s="15"/>
    </row>
    <row r="2191" customFormat="false" ht="12.75" hidden="false" customHeight="false" outlineLevel="0" collapsed="false">
      <c r="A2191" s="0" t="s">
        <v>88</v>
      </c>
      <c r="E2191" s="9" t="str">
        <f aca="false">IF(D2191="?OLD","!!!","")</f>
        <v/>
      </c>
      <c r="F2191" s="10" t="str">
        <f aca="false">IF(OR(E2191="",E2191="!!!"),"",IF(NOT(ISNA(VLOOKUP(E2191,E$1:E2190,1,FALSE()))),"OLD",IF(AND(E2191&lt;&gt;"",E2191&lt;&gt;"!!!"),"NEW","")))</f>
        <v/>
      </c>
      <c r="G2191" s="11" t="str">
        <f aca="false">IF(OR(E2191="",E2191="!!!"),"",IF(OR(J2191=0,AND(J2191=1,K2191=1),AND(J2191=1,I2191="SBJ"),AND(J2191=1,I2191=0)),"?IN_FOCUS",IF(J2191&lt;=2,"?ACTIVATED",IF(J2191&lt;&gt;"","?FAMILIAR",IF(F2191="NEW",IF(ISNA(VLOOKUP(E2191,#REF!,1,FALSE())),"?TYPE_IDENTIFIABLE","?REFERENTIAL"),"_")))))</f>
        <v/>
      </c>
      <c r="H2191" s="12" t="str">
        <f aca="false">IF(J2191&lt;&gt;1,"",IF(I2191="SBJ","CB","?"))</f>
        <v/>
      </c>
      <c r="I2191" s="13" t="str">
        <f aca="false">IF(OR(E2191="",E2191="!!!",F2191="NEW"),"",INDEX(B$2:B2190,-1+SUMPRODUCT(MAX(ROW(E$2:E2190)*(E2191=E$2:E2190)))))</f>
        <v/>
      </c>
      <c r="J2191" s="14" t="str">
        <f aca="true">IF(OR(E2191="",E2191="!!!",F2191="NEW"),"",COUNTBLANK(OFFSET(A$1,,,SUMPRODUCT(MAX(ROW(E$2:E2191)*(E2191=E$2:E2191)))))-COUNTBLANK(OFFSET(A$1,,,SUMPRODUCT(MAX(ROW(E$1:E2190)*(E2191=E$1:E2190))))))</f>
        <v/>
      </c>
      <c r="K2191" s="14" t="str">
        <f aca="false">IF(OR(E2191="",E2191="!!!",F2191="NEW"),"",INDEX(J$1:J2190,SUMPRODUCT(MAX(ROW(E$1:E2190)*(E2191=E$1:E2190)))))</f>
        <v/>
      </c>
      <c r="L2191" s="15"/>
    </row>
    <row r="2192" customFormat="false" ht="12.75" hidden="false" customHeight="false" outlineLevel="0" collapsed="false">
      <c r="A2192" s="0" t="s">
        <v>853</v>
      </c>
      <c r="B2192" s="0" t="s">
        <v>22</v>
      </c>
      <c r="C2192" s="0" t="s">
        <v>120</v>
      </c>
      <c r="E2192" s="9" t="str">
        <f aca="false">IF(D2192="?OLD","!!!","")</f>
        <v/>
      </c>
      <c r="F2192" s="10" t="str">
        <f aca="false">IF(OR(E2192="",E2192="!!!"),"",IF(NOT(ISNA(VLOOKUP(E2192,E$1:E2191,1,FALSE()))),"OLD",IF(AND(E2192&lt;&gt;"",E2192&lt;&gt;"!!!"),"NEW","")))</f>
        <v/>
      </c>
      <c r="G2192" s="11" t="str">
        <f aca="false">IF(OR(E2192="",E2192="!!!"),"",IF(OR(J2192=0,AND(J2192=1,K2192=1),AND(J2192=1,I2192="SBJ"),AND(J2192=1,I2192=0)),"?IN_FOCUS",IF(J2192&lt;=2,"?ACTIVATED",IF(J2192&lt;&gt;"","?FAMILIAR",IF(F2192="NEW",IF(ISNA(VLOOKUP(E2192,#REF!,1,FALSE())),"?TYPE_IDENTIFIABLE","?REFERENTIAL"),"_")))))</f>
        <v/>
      </c>
      <c r="H2192" s="12" t="str">
        <f aca="false">IF(J2192&lt;&gt;1,"",IF(I2192="SBJ","CB","?"))</f>
        <v/>
      </c>
      <c r="I2192" s="13" t="str">
        <f aca="false">IF(OR(E2192="",E2192="!!!",F2192="NEW"),"",INDEX(B$2:B2191,-1+SUMPRODUCT(MAX(ROW(E$2:E2191)*(E2192=E$2:E2191)))))</f>
        <v/>
      </c>
      <c r="J2192" s="14" t="str">
        <f aca="true">IF(OR(E2192="",E2192="!!!",F2192="NEW"),"",COUNTBLANK(OFFSET(A$1,,,SUMPRODUCT(MAX(ROW(E$2:E2192)*(E2192=E$2:E2192)))))-COUNTBLANK(OFFSET(A$1,,,SUMPRODUCT(MAX(ROW(E$1:E2191)*(E2192=E$1:E2191))))))</f>
        <v/>
      </c>
      <c r="K2192" s="14" t="str">
        <f aca="false">IF(OR(E2192="",E2192="!!!",F2192="NEW"),"",INDEX(J$1:J2191,SUMPRODUCT(MAX(ROW(E$1:E2191)*(E2192=E$1:E2191)))))</f>
        <v/>
      </c>
      <c r="L2192" s="15"/>
    </row>
    <row r="2193" customFormat="false" ht="12.75" hidden="false" customHeight="false" outlineLevel="0" collapsed="false">
      <c r="A2193" s="0" t="s">
        <v>95</v>
      </c>
      <c r="E2193" s="9" t="str">
        <f aca="false">IF(D2193="?OLD","!!!","")</f>
        <v/>
      </c>
      <c r="F2193" s="10" t="str">
        <f aca="false">IF(OR(E2193="",E2193="!!!"),"",IF(NOT(ISNA(VLOOKUP(E2193,E$1:E2192,1,FALSE()))),"OLD",IF(AND(E2193&lt;&gt;"",E2193&lt;&gt;"!!!"),"NEW","")))</f>
        <v/>
      </c>
      <c r="G2193" s="11" t="str">
        <f aca="false">IF(OR(E2193="",E2193="!!!"),"",IF(OR(J2193=0,AND(J2193=1,K2193=1),AND(J2193=1,I2193="SBJ"),AND(J2193=1,I2193=0)),"?IN_FOCUS",IF(J2193&lt;=2,"?ACTIVATED",IF(J2193&lt;&gt;"","?FAMILIAR",IF(F2193="NEW",IF(ISNA(VLOOKUP(E2193,#REF!,1,FALSE())),"?TYPE_IDENTIFIABLE","?REFERENTIAL"),"_")))))</f>
        <v/>
      </c>
      <c r="H2193" s="12" t="str">
        <f aca="false">IF(J2193&lt;&gt;1,"",IF(I2193="SBJ","CB","?"))</f>
        <v/>
      </c>
      <c r="I2193" s="13" t="str">
        <f aca="false">IF(OR(E2193="",E2193="!!!",F2193="NEW"),"",INDEX(B$2:B2192,-1+SUMPRODUCT(MAX(ROW(E$2:E2192)*(E2193=E$2:E2192)))))</f>
        <v/>
      </c>
      <c r="J2193" s="14" t="str">
        <f aca="true">IF(OR(E2193="",E2193="!!!",F2193="NEW"),"",COUNTBLANK(OFFSET(A$1,,,SUMPRODUCT(MAX(ROW(E$2:E2193)*(E2193=E$2:E2193)))))-COUNTBLANK(OFFSET(A$1,,,SUMPRODUCT(MAX(ROW(E$1:E2192)*(E2193=E$1:E2192))))))</f>
        <v/>
      </c>
      <c r="K2193" s="14" t="str">
        <f aca="false">IF(OR(E2193="",E2193="!!!",F2193="NEW"),"",INDEX(J$1:J2192,SUMPRODUCT(MAX(ROW(E$1:E2192)*(E2193=E$1:E2192)))))</f>
        <v/>
      </c>
      <c r="L2193" s="15"/>
    </row>
    <row r="2194" customFormat="false" ht="12.75" hidden="false" customHeight="false" outlineLevel="0" collapsed="false">
      <c r="A2194" s="0" t="s">
        <v>632</v>
      </c>
      <c r="E2194" s="9" t="str">
        <f aca="false">IF(D2194="?OLD","!!!","")</f>
        <v/>
      </c>
      <c r="F2194" s="10" t="str">
        <f aca="false">IF(OR(E2194="",E2194="!!!"),"",IF(NOT(ISNA(VLOOKUP(E2194,E$1:E2193,1,FALSE()))),"OLD",IF(AND(E2194&lt;&gt;"",E2194&lt;&gt;"!!!"),"NEW","")))</f>
        <v/>
      </c>
      <c r="G2194" s="11" t="str">
        <f aca="false">IF(OR(E2194="",E2194="!!!"),"",IF(OR(J2194=0,AND(J2194=1,K2194=1),AND(J2194=1,I2194="SBJ"),AND(J2194=1,I2194=0)),"?IN_FOCUS",IF(J2194&lt;=2,"?ACTIVATED",IF(J2194&lt;&gt;"","?FAMILIAR",IF(F2194="NEW",IF(ISNA(VLOOKUP(E2194,#REF!,1,FALSE())),"?TYPE_IDENTIFIABLE","?REFERENTIAL"),"_")))))</f>
        <v/>
      </c>
      <c r="H2194" s="12" t="str">
        <f aca="false">IF(J2194&lt;&gt;1,"",IF(I2194="SBJ","CB","?"))</f>
        <v/>
      </c>
      <c r="I2194" s="13" t="str">
        <f aca="false">IF(OR(E2194="",E2194="!!!",F2194="NEW"),"",INDEX(B$2:B2193,-1+SUMPRODUCT(MAX(ROW(E$2:E2193)*(E2194=E$2:E2193)))))</f>
        <v/>
      </c>
      <c r="J2194" s="14" t="str">
        <f aca="true">IF(OR(E2194="",E2194="!!!",F2194="NEW"),"",COUNTBLANK(OFFSET(A$1,,,SUMPRODUCT(MAX(ROW(E$2:E2194)*(E2194=E$2:E2194)))))-COUNTBLANK(OFFSET(A$1,,,SUMPRODUCT(MAX(ROW(E$1:E2193)*(E2194=E$1:E2193))))))</f>
        <v/>
      </c>
      <c r="K2194" s="14" t="str">
        <f aca="false">IF(OR(E2194="",E2194="!!!",F2194="NEW"),"",INDEX(J$1:J2193,SUMPRODUCT(MAX(ROW(E$1:E2193)*(E2194=E$1:E2193)))))</f>
        <v/>
      </c>
      <c r="L2194" s="15"/>
    </row>
    <row r="2195" customFormat="false" ht="12.75" hidden="false" customHeight="false" outlineLevel="0" collapsed="false">
      <c r="A2195" s="0" t="s">
        <v>136</v>
      </c>
      <c r="E2195" s="9" t="str">
        <f aca="false">IF(D2195="?OLD","!!!","")</f>
        <v/>
      </c>
      <c r="F2195" s="10" t="str">
        <f aca="false">IF(OR(E2195="",E2195="!!!"),"",IF(NOT(ISNA(VLOOKUP(E2195,E$1:E2194,1,FALSE()))),"OLD",IF(AND(E2195&lt;&gt;"",E2195&lt;&gt;"!!!"),"NEW","")))</f>
        <v/>
      </c>
      <c r="G2195" s="11" t="str">
        <f aca="false">IF(OR(E2195="",E2195="!!!"),"",IF(OR(J2195=0,AND(J2195=1,K2195=1),AND(J2195=1,I2195="SBJ"),AND(J2195=1,I2195=0)),"?IN_FOCUS",IF(J2195&lt;=2,"?ACTIVATED",IF(J2195&lt;&gt;"","?FAMILIAR",IF(F2195="NEW",IF(ISNA(VLOOKUP(E2195,#REF!,1,FALSE())),"?TYPE_IDENTIFIABLE","?REFERENTIAL"),"_")))))</f>
        <v/>
      </c>
      <c r="H2195" s="12" t="str">
        <f aca="false">IF(J2195&lt;&gt;1,"",IF(I2195="SBJ","CB","?"))</f>
        <v/>
      </c>
      <c r="I2195" s="13" t="str">
        <f aca="false">IF(OR(E2195="",E2195="!!!",F2195="NEW"),"",INDEX(B$2:B2194,-1+SUMPRODUCT(MAX(ROW(E$2:E2194)*(E2195=E$2:E2194)))))</f>
        <v/>
      </c>
      <c r="J2195" s="14" t="str">
        <f aca="true">IF(OR(E2195="",E2195="!!!",F2195="NEW"),"",COUNTBLANK(OFFSET(A$1,,,SUMPRODUCT(MAX(ROW(E$2:E2195)*(E2195=E$2:E2195)))))-COUNTBLANK(OFFSET(A$1,,,SUMPRODUCT(MAX(ROW(E$1:E2194)*(E2195=E$1:E2194))))))</f>
        <v/>
      </c>
      <c r="K2195" s="14" t="str">
        <f aca="false">IF(OR(E2195="",E2195="!!!",F2195="NEW"),"",INDEX(J$1:J2194,SUMPRODUCT(MAX(ROW(E$1:E2194)*(E2195=E$1:E2194)))))</f>
        <v/>
      </c>
      <c r="L2195" s="15"/>
    </row>
    <row r="2196" customFormat="false" ht="12.75" hidden="false" customHeight="false" outlineLevel="0" collapsed="false">
      <c r="A2196" s="0" t="s">
        <v>854</v>
      </c>
      <c r="E2196" s="9" t="str">
        <f aca="false">IF(D2196="?OLD","!!!","")</f>
        <v/>
      </c>
      <c r="F2196" s="10" t="str">
        <f aca="false">IF(OR(E2196="",E2196="!!!"),"",IF(NOT(ISNA(VLOOKUP(E2196,E$1:E2195,1,FALSE()))),"OLD",IF(AND(E2196&lt;&gt;"",E2196&lt;&gt;"!!!"),"NEW","")))</f>
        <v/>
      </c>
      <c r="G2196" s="11" t="str">
        <f aca="false">IF(OR(E2196="",E2196="!!!"),"",IF(OR(J2196=0,AND(J2196=1,K2196=1),AND(J2196=1,I2196="SBJ"),AND(J2196=1,I2196=0)),"?IN_FOCUS",IF(J2196&lt;=2,"?ACTIVATED",IF(J2196&lt;&gt;"","?FAMILIAR",IF(F2196="NEW",IF(ISNA(VLOOKUP(E2196,#REF!,1,FALSE())),"?TYPE_IDENTIFIABLE","?REFERENTIAL"),"_")))))</f>
        <v/>
      </c>
      <c r="H2196" s="12" t="str">
        <f aca="false">IF(J2196&lt;&gt;1,"",IF(I2196="SBJ","CB","?"))</f>
        <v/>
      </c>
      <c r="I2196" s="13" t="str">
        <f aca="false">IF(OR(E2196="",E2196="!!!",F2196="NEW"),"",INDEX(B$2:B2195,-1+SUMPRODUCT(MAX(ROW(E$2:E2195)*(E2196=E$2:E2195)))))</f>
        <v/>
      </c>
      <c r="J2196" s="14" t="str">
        <f aca="true">IF(OR(E2196="",E2196="!!!",F2196="NEW"),"",COUNTBLANK(OFFSET(A$1,,,SUMPRODUCT(MAX(ROW(E$2:E2196)*(E2196=E$2:E2196)))))-COUNTBLANK(OFFSET(A$1,,,SUMPRODUCT(MAX(ROW(E$1:E2195)*(E2196=E$1:E2195))))))</f>
        <v/>
      </c>
      <c r="K2196" s="14" t="str">
        <f aca="false">IF(OR(E2196="",E2196="!!!",F2196="NEW"),"",INDEX(J$1:J2195,SUMPRODUCT(MAX(ROW(E$1:E2195)*(E2196=E$1:E2195)))))</f>
        <v/>
      </c>
      <c r="L2196" s="15"/>
    </row>
    <row r="2197" customFormat="false" ht="12.75" hidden="false" customHeight="false" outlineLevel="0" collapsed="false">
      <c r="A2197" s="0" t="s">
        <v>855</v>
      </c>
      <c r="B2197" s="0" t="s">
        <v>28</v>
      </c>
      <c r="C2197" s="0" t="s">
        <v>120</v>
      </c>
      <c r="E2197" s="9" t="str">
        <f aca="false">IF(D2197="?OLD","!!!","")</f>
        <v/>
      </c>
      <c r="F2197" s="10" t="str">
        <f aca="false">IF(OR(E2197="",E2197="!!!"),"",IF(NOT(ISNA(VLOOKUP(E2197,E$1:E2196,1,FALSE()))),"OLD",IF(AND(E2197&lt;&gt;"",E2197&lt;&gt;"!!!"),"NEW","")))</f>
        <v/>
      </c>
      <c r="G2197" s="11" t="str">
        <f aca="false">IF(OR(E2197="",E2197="!!!"),"",IF(OR(J2197=0,AND(J2197=1,K2197=1),AND(J2197=1,I2197="SBJ"),AND(J2197=1,I2197=0)),"?IN_FOCUS",IF(J2197&lt;=2,"?ACTIVATED",IF(J2197&lt;&gt;"","?FAMILIAR",IF(F2197="NEW",IF(ISNA(VLOOKUP(E2197,#REF!,1,FALSE())),"?TYPE_IDENTIFIABLE","?REFERENTIAL"),"_")))))</f>
        <v/>
      </c>
      <c r="H2197" s="12" t="str">
        <f aca="false">IF(J2197&lt;&gt;1,"",IF(I2197="SBJ","CB","?"))</f>
        <v/>
      </c>
      <c r="I2197" s="13" t="str">
        <f aca="false">IF(OR(E2197="",E2197="!!!",F2197="NEW"),"",INDEX(B$2:B2196,-1+SUMPRODUCT(MAX(ROW(E$2:E2196)*(E2197=E$2:E2196)))))</f>
        <v/>
      </c>
      <c r="J2197" s="14" t="str">
        <f aca="true">IF(OR(E2197="",E2197="!!!",F2197="NEW"),"",COUNTBLANK(OFFSET(A$1,,,SUMPRODUCT(MAX(ROW(E$2:E2197)*(E2197=E$2:E2197)))))-COUNTBLANK(OFFSET(A$1,,,SUMPRODUCT(MAX(ROW(E$1:E2196)*(E2197=E$1:E2196))))))</f>
        <v/>
      </c>
      <c r="K2197" s="14" t="str">
        <f aca="false">IF(OR(E2197="",E2197="!!!",F2197="NEW"),"",INDEX(J$1:J2196,SUMPRODUCT(MAX(ROW(E$1:E2196)*(E2197=E$1:E2196)))))</f>
        <v/>
      </c>
      <c r="L2197" s="15"/>
    </row>
    <row r="2198" customFormat="false" ht="12.75" hidden="false" customHeight="false" outlineLevel="0" collapsed="false">
      <c r="A2198" s="0" t="s">
        <v>73</v>
      </c>
      <c r="E2198" s="9" t="str">
        <f aca="false">IF(D2198="?OLD","!!!","")</f>
        <v/>
      </c>
      <c r="F2198" s="10" t="str">
        <f aca="false">IF(OR(E2198="",E2198="!!!"),"",IF(NOT(ISNA(VLOOKUP(E2198,E$1:E2197,1,FALSE()))),"OLD",IF(AND(E2198&lt;&gt;"",E2198&lt;&gt;"!!!"),"NEW","")))</f>
        <v/>
      </c>
      <c r="G2198" s="11" t="str">
        <f aca="false">IF(OR(E2198="",E2198="!!!"),"",IF(OR(J2198=0,AND(J2198=1,K2198=1),AND(J2198=1,I2198="SBJ"),AND(J2198=1,I2198=0)),"?IN_FOCUS",IF(J2198&lt;=2,"?ACTIVATED",IF(J2198&lt;&gt;"","?FAMILIAR",IF(F2198="NEW",IF(ISNA(VLOOKUP(E2198,#REF!,1,FALSE())),"?TYPE_IDENTIFIABLE","?REFERENTIAL"),"_")))))</f>
        <v/>
      </c>
      <c r="H2198" s="12" t="str">
        <f aca="false">IF(J2198&lt;&gt;1,"",IF(I2198="SBJ","CB","?"))</f>
        <v/>
      </c>
      <c r="I2198" s="13" t="str">
        <f aca="false">IF(OR(E2198="",E2198="!!!",F2198="NEW"),"",INDEX(B$2:B2197,-1+SUMPRODUCT(MAX(ROW(E$2:E2197)*(E2198=E$2:E2197)))))</f>
        <v/>
      </c>
      <c r="J2198" s="14" t="str">
        <f aca="true">IF(OR(E2198="",E2198="!!!",F2198="NEW"),"",COUNTBLANK(OFFSET(A$1,,,SUMPRODUCT(MAX(ROW(E$2:E2198)*(E2198=E$2:E2198)))))-COUNTBLANK(OFFSET(A$1,,,SUMPRODUCT(MAX(ROW(E$1:E2197)*(E2198=E$1:E2197))))))</f>
        <v/>
      </c>
      <c r="K2198" s="14" t="str">
        <f aca="false">IF(OR(E2198="",E2198="!!!",F2198="NEW"),"",INDEX(J$1:J2197,SUMPRODUCT(MAX(ROW(E$1:E2197)*(E2198=E$1:E2197)))))</f>
        <v/>
      </c>
      <c r="L2198" s="15"/>
    </row>
    <row r="2199" customFormat="false" ht="12.75" hidden="false" customHeight="false" outlineLevel="0" collapsed="false">
      <c r="E2199" s="9" t="str">
        <f aca="false">IF(D2199="?OLD","!!!","")</f>
        <v/>
      </c>
      <c r="F2199" s="10" t="str">
        <f aca="false">IF(OR(E2199="",E2199="!!!"),"",IF(NOT(ISNA(VLOOKUP(E2199,E$1:E2198,1,FALSE()))),"OLD",IF(AND(E2199&lt;&gt;"",E2199&lt;&gt;"!!!"),"NEW","")))</f>
        <v/>
      </c>
      <c r="G2199" s="11" t="str">
        <f aca="false">IF(OR(E2199="",E2199="!!!"),"",IF(OR(J2199=0,AND(J2199=1,K2199=1),AND(J2199=1,I2199="SBJ"),AND(J2199=1,I2199=0)),"?IN_FOCUS",IF(J2199&lt;=2,"?ACTIVATED",IF(J2199&lt;&gt;"","?FAMILIAR",IF(F2199="NEW",IF(ISNA(VLOOKUP(E2199,#REF!,1,FALSE())),"?TYPE_IDENTIFIABLE","?REFERENTIAL"),"_")))))</f>
        <v/>
      </c>
      <c r="H2199" s="12" t="str">
        <f aca="false">IF(J2199&lt;&gt;1,"",IF(I2199="SBJ","CB","?"))</f>
        <v/>
      </c>
      <c r="I2199" s="13" t="str">
        <f aca="false">IF(OR(E2199="",E2199="!!!",F2199="NEW"),"",INDEX(B$2:B2198,-1+SUMPRODUCT(MAX(ROW(E$2:E2198)*(E2199=E$2:E2198)))))</f>
        <v/>
      </c>
      <c r="J2199" s="14" t="str">
        <f aca="true">IF(OR(E2199="",E2199="!!!",F2199="NEW"),"",COUNTBLANK(OFFSET(A$1,,,SUMPRODUCT(MAX(ROW(E$2:E2199)*(E2199=E$2:E2199)))))-COUNTBLANK(OFFSET(A$1,,,SUMPRODUCT(MAX(ROW(E$1:E2198)*(E2199=E$1:E2198))))))</f>
        <v/>
      </c>
      <c r="K2199" s="14" t="str">
        <f aca="false">IF(OR(E2199="",E2199="!!!",F2199="NEW"),"",INDEX(J$1:J2198,SUMPRODUCT(MAX(ROW(E$1:E2198)*(E2199=E$1:E2198)))))</f>
        <v/>
      </c>
      <c r="L2199" s="15"/>
    </row>
    <row r="2200" customFormat="false" ht="12.75" hidden="false" customHeight="false" outlineLevel="0" collapsed="false">
      <c r="A2200" s="0" t="s">
        <v>856</v>
      </c>
      <c r="E2200" s="9" t="str">
        <f aca="false">IF(D2200="?OLD","!!!","")</f>
        <v/>
      </c>
      <c r="F2200" s="10" t="str">
        <f aca="false">IF(OR(E2200="",E2200="!!!"),"",IF(NOT(ISNA(VLOOKUP(E2200,E$1:E2199,1,FALSE()))),"OLD",IF(AND(E2200&lt;&gt;"",E2200&lt;&gt;"!!!"),"NEW","")))</f>
        <v/>
      </c>
      <c r="G2200" s="11" t="str">
        <f aca="false">IF(OR(E2200="",E2200="!!!"),"",IF(OR(J2200=0,AND(J2200=1,K2200=1),AND(J2200=1,I2200="SBJ"),AND(J2200=1,I2200=0)),"?IN_FOCUS",IF(J2200&lt;=2,"?ACTIVATED",IF(J2200&lt;&gt;"","?FAMILIAR",IF(F2200="NEW",IF(ISNA(VLOOKUP(E2200,#REF!,1,FALSE())),"?TYPE_IDENTIFIABLE","?REFERENTIAL"),"_")))))</f>
        <v/>
      </c>
      <c r="H2200" s="12" t="str">
        <f aca="false">IF(J2200&lt;&gt;1,"",IF(I2200="SBJ","CB","?"))</f>
        <v/>
      </c>
      <c r="I2200" s="13" t="str">
        <f aca="false">IF(OR(E2200="",E2200="!!!",F2200="NEW"),"",INDEX(B$2:B2199,-1+SUMPRODUCT(MAX(ROW(E$2:E2199)*(E2200=E$2:E2199)))))</f>
        <v/>
      </c>
      <c r="J2200" s="14" t="str">
        <f aca="true">IF(OR(E2200="",E2200="!!!",F2200="NEW"),"",COUNTBLANK(OFFSET(A$1,,,SUMPRODUCT(MAX(ROW(E$2:E2200)*(E2200=E$2:E2200)))))-COUNTBLANK(OFFSET(A$1,,,SUMPRODUCT(MAX(ROW(E$1:E2199)*(E2200=E$1:E2199))))))</f>
        <v/>
      </c>
      <c r="K2200" s="14" t="str">
        <f aca="false">IF(OR(E2200="",E2200="!!!",F2200="NEW"),"",INDEX(J$1:J2199,SUMPRODUCT(MAX(ROW(E$1:E2199)*(E2200=E$1:E2199)))))</f>
        <v/>
      </c>
      <c r="L2200" s="15"/>
    </row>
    <row r="2201" customFormat="false" ht="12.75" hidden="false" customHeight="false" outlineLevel="0" collapsed="false">
      <c r="A2201" s="0" t="s">
        <v>857</v>
      </c>
      <c r="E2201" s="9" t="str">
        <f aca="false">IF(D2201="?OLD","!!!","")</f>
        <v/>
      </c>
      <c r="F2201" s="10" t="str">
        <f aca="false">IF(OR(E2201="",E2201="!!!"),"",IF(NOT(ISNA(VLOOKUP(E2201,E$1:E2200,1,FALSE()))),"OLD",IF(AND(E2201&lt;&gt;"",E2201&lt;&gt;"!!!"),"NEW","")))</f>
        <v/>
      </c>
      <c r="G2201" s="11" t="str">
        <f aca="false">IF(OR(E2201="",E2201="!!!"),"",IF(OR(J2201=0,AND(J2201=1,K2201=1),AND(J2201=1,I2201="SBJ"),AND(J2201=1,I2201=0)),"?IN_FOCUS",IF(J2201&lt;=2,"?ACTIVATED",IF(J2201&lt;&gt;"","?FAMILIAR",IF(F2201="NEW",IF(ISNA(VLOOKUP(E2201,#REF!,1,FALSE())),"?TYPE_IDENTIFIABLE","?REFERENTIAL"),"_")))))</f>
        <v/>
      </c>
      <c r="H2201" s="12" t="str">
        <f aca="false">IF(J2201&lt;&gt;1,"",IF(I2201="SBJ","CB","?"))</f>
        <v/>
      </c>
      <c r="I2201" s="13" t="str">
        <f aca="false">IF(OR(E2201="",E2201="!!!",F2201="NEW"),"",INDEX(B$2:B2200,-1+SUMPRODUCT(MAX(ROW(E$2:E2200)*(E2201=E$2:E2200)))))</f>
        <v/>
      </c>
      <c r="J2201" s="14" t="str">
        <f aca="true">IF(OR(E2201="",E2201="!!!",F2201="NEW"),"",COUNTBLANK(OFFSET(A$1,,,SUMPRODUCT(MAX(ROW(E$2:E2201)*(E2201=E$2:E2201)))))-COUNTBLANK(OFFSET(A$1,,,SUMPRODUCT(MAX(ROW(E$1:E2200)*(E2201=E$1:E2200))))))</f>
        <v/>
      </c>
      <c r="K2201" s="14" t="str">
        <f aca="false">IF(OR(E2201="",E2201="!!!",F2201="NEW"),"",INDEX(J$1:J2200,SUMPRODUCT(MAX(ROW(E$1:E2200)*(E2201=E$1:E2200)))))</f>
        <v/>
      </c>
      <c r="L2201" s="15"/>
    </row>
    <row r="2202" customFormat="false" ht="12.75" hidden="false" customHeight="false" outlineLevel="0" collapsed="false">
      <c r="A2202" s="0" t="s">
        <v>136</v>
      </c>
      <c r="E2202" s="9" t="str">
        <f aca="false">IF(D2202="?OLD","!!!","")</f>
        <v/>
      </c>
      <c r="F2202" s="10" t="str">
        <f aca="false">IF(OR(E2202="",E2202="!!!"),"",IF(NOT(ISNA(VLOOKUP(E2202,E$1:E2201,1,FALSE()))),"OLD",IF(AND(E2202&lt;&gt;"",E2202&lt;&gt;"!!!"),"NEW","")))</f>
        <v/>
      </c>
      <c r="G2202" s="11" t="str">
        <f aca="false">IF(OR(E2202="",E2202="!!!"),"",IF(OR(J2202=0,AND(J2202=1,K2202=1),AND(J2202=1,I2202="SBJ"),AND(J2202=1,I2202=0)),"?IN_FOCUS",IF(J2202&lt;=2,"?ACTIVATED",IF(J2202&lt;&gt;"","?FAMILIAR",IF(F2202="NEW",IF(ISNA(VLOOKUP(E2202,#REF!,1,FALSE())),"?TYPE_IDENTIFIABLE","?REFERENTIAL"),"_")))))</f>
        <v/>
      </c>
      <c r="H2202" s="12" t="str">
        <f aca="false">IF(J2202&lt;&gt;1,"",IF(I2202="SBJ","CB","?"))</f>
        <v/>
      </c>
      <c r="I2202" s="13" t="str">
        <f aca="false">IF(OR(E2202="",E2202="!!!",F2202="NEW"),"",INDEX(B$2:B2201,-1+SUMPRODUCT(MAX(ROW(E$2:E2201)*(E2202=E$2:E2201)))))</f>
        <v/>
      </c>
      <c r="J2202" s="14" t="str">
        <f aca="true">IF(OR(E2202="",E2202="!!!",F2202="NEW"),"",COUNTBLANK(OFFSET(A$1,,,SUMPRODUCT(MAX(ROW(E$2:E2202)*(E2202=E$2:E2202)))))-COUNTBLANK(OFFSET(A$1,,,SUMPRODUCT(MAX(ROW(E$1:E2201)*(E2202=E$1:E2201))))))</f>
        <v/>
      </c>
      <c r="K2202" s="14" t="str">
        <f aca="false">IF(OR(E2202="",E2202="!!!",F2202="NEW"),"",INDEX(J$1:J2201,SUMPRODUCT(MAX(ROW(E$1:E2201)*(E2202=E$1:E2201)))))</f>
        <v/>
      </c>
      <c r="L2202" s="15"/>
    </row>
    <row r="2203" customFormat="false" ht="12.75" hidden="false" customHeight="false" outlineLevel="0" collapsed="false">
      <c r="A2203" s="0" t="s">
        <v>66</v>
      </c>
      <c r="E2203" s="9" t="str">
        <f aca="false">IF(D2203="?OLD","!!!","")</f>
        <v/>
      </c>
      <c r="F2203" s="10" t="str">
        <f aca="false">IF(OR(E2203="",E2203="!!!"),"",IF(NOT(ISNA(VLOOKUP(E2203,E$1:E2202,1,FALSE()))),"OLD",IF(AND(E2203&lt;&gt;"",E2203&lt;&gt;"!!!"),"NEW","")))</f>
        <v/>
      </c>
      <c r="G2203" s="11" t="str">
        <f aca="false">IF(OR(E2203="",E2203="!!!"),"",IF(OR(J2203=0,AND(J2203=1,K2203=1),AND(J2203=1,I2203="SBJ"),AND(J2203=1,I2203=0)),"?IN_FOCUS",IF(J2203&lt;=2,"?ACTIVATED",IF(J2203&lt;&gt;"","?FAMILIAR",IF(F2203="NEW",IF(ISNA(VLOOKUP(E2203,#REF!,1,FALSE())),"?TYPE_IDENTIFIABLE","?REFERENTIAL"),"_")))))</f>
        <v/>
      </c>
      <c r="H2203" s="12" t="str">
        <f aca="false">IF(J2203&lt;&gt;1,"",IF(I2203="SBJ","CB","?"))</f>
        <v/>
      </c>
      <c r="I2203" s="13" t="str">
        <f aca="false">IF(OR(E2203="",E2203="!!!",F2203="NEW"),"",INDEX(B$2:B2202,-1+SUMPRODUCT(MAX(ROW(E$2:E2202)*(E2203=E$2:E2202)))))</f>
        <v/>
      </c>
      <c r="J2203" s="14" t="str">
        <f aca="true">IF(OR(E2203="",E2203="!!!",F2203="NEW"),"",COUNTBLANK(OFFSET(A$1,,,SUMPRODUCT(MAX(ROW(E$2:E2203)*(E2203=E$2:E2203)))))-COUNTBLANK(OFFSET(A$1,,,SUMPRODUCT(MAX(ROW(E$1:E2202)*(E2203=E$1:E2202))))))</f>
        <v/>
      </c>
      <c r="K2203" s="14" t="str">
        <f aca="false">IF(OR(E2203="",E2203="!!!",F2203="NEW"),"",INDEX(J$1:J2202,SUMPRODUCT(MAX(ROW(E$1:E2202)*(E2203=E$1:E2202)))))</f>
        <v/>
      </c>
      <c r="L2203" s="15"/>
    </row>
    <row r="2204" customFormat="false" ht="12.75" hidden="false" customHeight="false" outlineLevel="0" collapsed="false">
      <c r="A2204" s="0" t="s">
        <v>858</v>
      </c>
      <c r="E2204" s="9" t="str">
        <f aca="false">IF(D2204="?OLD","!!!","")</f>
        <v/>
      </c>
      <c r="F2204" s="10" t="str">
        <f aca="false">IF(OR(E2204="",E2204="!!!"),"",IF(NOT(ISNA(VLOOKUP(E2204,E$1:E2203,1,FALSE()))),"OLD",IF(AND(E2204&lt;&gt;"",E2204&lt;&gt;"!!!"),"NEW","")))</f>
        <v/>
      </c>
      <c r="G2204" s="11" t="str">
        <f aca="false">IF(OR(E2204="",E2204="!!!"),"",IF(OR(J2204=0,AND(J2204=1,K2204=1),AND(J2204=1,I2204="SBJ"),AND(J2204=1,I2204=0)),"?IN_FOCUS",IF(J2204&lt;=2,"?ACTIVATED",IF(J2204&lt;&gt;"","?FAMILIAR",IF(F2204="NEW",IF(ISNA(VLOOKUP(E2204,#REF!,1,FALSE())),"?TYPE_IDENTIFIABLE","?REFERENTIAL"),"_")))))</f>
        <v/>
      </c>
      <c r="H2204" s="12" t="str">
        <f aca="false">IF(J2204&lt;&gt;1,"",IF(I2204="SBJ","CB","?"))</f>
        <v/>
      </c>
      <c r="I2204" s="13" t="str">
        <f aca="false">IF(OR(E2204="",E2204="!!!",F2204="NEW"),"",INDEX(B$2:B2203,-1+SUMPRODUCT(MAX(ROW(E$2:E2203)*(E2204=E$2:E2203)))))</f>
        <v/>
      </c>
      <c r="J2204" s="14" t="str">
        <f aca="true">IF(OR(E2204="",E2204="!!!",F2204="NEW"),"",COUNTBLANK(OFFSET(A$1,,,SUMPRODUCT(MAX(ROW(E$2:E2204)*(E2204=E$2:E2204)))))-COUNTBLANK(OFFSET(A$1,,,SUMPRODUCT(MAX(ROW(E$1:E2203)*(E2204=E$1:E2203))))))</f>
        <v/>
      </c>
      <c r="K2204" s="14" t="str">
        <f aca="false">IF(OR(E2204="",E2204="!!!",F2204="NEW"),"",INDEX(J$1:J2203,SUMPRODUCT(MAX(ROW(E$1:E2203)*(E2204=E$1:E2203)))))</f>
        <v/>
      </c>
      <c r="L2204" s="15"/>
    </row>
    <row r="2205" customFormat="false" ht="12.75" hidden="false" customHeight="false" outlineLevel="0" collapsed="false">
      <c r="A2205" s="0" t="s">
        <v>859</v>
      </c>
      <c r="B2205" s="0" t="s">
        <v>14</v>
      </c>
      <c r="C2205" s="0" t="s">
        <v>111</v>
      </c>
      <c r="D2205" s="0" t="s">
        <v>29</v>
      </c>
      <c r="E2205" s="9" t="str">
        <f aca="false">IF(D2205="?OLD","!!!","")</f>
        <v>!!!</v>
      </c>
      <c r="F2205" s="10" t="str">
        <f aca="false">IF(OR(E2205="",E2205="!!!"),"",IF(NOT(ISNA(VLOOKUP(E2205,E$1:E2204,1,FALSE()))),"OLD",IF(AND(E2205&lt;&gt;"",E2205&lt;&gt;"!!!"),"NEW","")))</f>
        <v/>
      </c>
      <c r="G2205" s="11" t="str">
        <f aca="false">IF(OR(E2205="",E2205="!!!"),"",IF(OR(J2205=0,AND(J2205=1,K2205=1),AND(J2205=1,I2205="SBJ"),AND(J2205=1,I2205=0)),"?IN_FOCUS",IF(J2205&lt;=2,"?ACTIVATED",IF(J2205&lt;&gt;"","?FAMILIAR",IF(F2205="NEW",IF(ISNA(VLOOKUP(E2205,#REF!,1,FALSE())),"?TYPE_IDENTIFIABLE","?REFERENTIAL"),"_")))))</f>
        <v/>
      </c>
      <c r="H2205" s="12" t="str">
        <f aca="false">IF(J2205&lt;&gt;1,"",IF(I2205="SBJ","CB","?"))</f>
        <v/>
      </c>
      <c r="I2205" s="13" t="str">
        <f aca="false">IF(OR(E2205="",E2205="!!!",F2205="NEW"),"",INDEX(B$2:B2204,-1+SUMPRODUCT(MAX(ROW(E$2:E2204)*(E2205=E$2:E2204)))))</f>
        <v/>
      </c>
      <c r="J2205" s="14" t="str">
        <f aca="true">IF(OR(E2205="",E2205="!!!",F2205="NEW"),"",COUNTBLANK(OFFSET(A$1,,,SUMPRODUCT(MAX(ROW(E$2:E2205)*(E2205=E$2:E2205)))))-COUNTBLANK(OFFSET(A$1,,,SUMPRODUCT(MAX(ROW(E$1:E2204)*(E2205=E$1:E2204))))))</f>
        <v/>
      </c>
      <c r="K2205" s="14" t="str">
        <f aca="false">IF(OR(E2205="",E2205="!!!",F2205="NEW"),"",INDEX(J$1:J2204,SUMPRODUCT(MAX(ROW(E$1:E2204)*(E2205=E$1:E2204)))))</f>
        <v/>
      </c>
      <c r="L2205" s="15"/>
    </row>
    <row r="2206" customFormat="false" ht="12.75" hidden="false" customHeight="false" outlineLevel="0" collapsed="false">
      <c r="A2206" s="0" t="s">
        <v>19</v>
      </c>
      <c r="E2206" s="9" t="str">
        <f aca="false">IF(D2206="?OLD","!!!","")</f>
        <v/>
      </c>
      <c r="F2206" s="10" t="str">
        <f aca="false">IF(OR(E2206="",E2206="!!!"),"",IF(NOT(ISNA(VLOOKUP(E2206,E$1:E2205,1,FALSE()))),"OLD",IF(AND(E2206&lt;&gt;"",E2206&lt;&gt;"!!!"),"NEW","")))</f>
        <v/>
      </c>
      <c r="G2206" s="11" t="str">
        <f aca="false">IF(OR(E2206="",E2206="!!!"),"",IF(OR(J2206=0,AND(J2206=1,K2206=1),AND(J2206=1,I2206="SBJ"),AND(J2206=1,I2206=0)),"?IN_FOCUS",IF(J2206&lt;=2,"?ACTIVATED",IF(J2206&lt;&gt;"","?FAMILIAR",IF(F2206="NEW",IF(ISNA(VLOOKUP(E2206,#REF!,1,FALSE())),"?TYPE_IDENTIFIABLE","?REFERENTIAL"),"_")))))</f>
        <v/>
      </c>
      <c r="H2206" s="12" t="str">
        <f aca="false">IF(J2206&lt;&gt;1,"",IF(I2206="SBJ","CB","?"))</f>
        <v/>
      </c>
      <c r="I2206" s="13" t="str">
        <f aca="false">IF(OR(E2206="",E2206="!!!",F2206="NEW"),"",INDEX(B$2:B2205,-1+SUMPRODUCT(MAX(ROW(E$2:E2205)*(E2206=E$2:E2205)))))</f>
        <v/>
      </c>
      <c r="J2206" s="14" t="str">
        <f aca="true">IF(OR(E2206="",E2206="!!!",F2206="NEW"),"",COUNTBLANK(OFFSET(A$1,,,SUMPRODUCT(MAX(ROW(E$2:E2206)*(E2206=E$2:E2206)))))-COUNTBLANK(OFFSET(A$1,,,SUMPRODUCT(MAX(ROW(E$1:E2205)*(E2206=E$1:E2205))))))</f>
        <v/>
      </c>
      <c r="K2206" s="14" t="str">
        <f aca="false">IF(OR(E2206="",E2206="!!!",F2206="NEW"),"",INDEX(J$1:J2205,SUMPRODUCT(MAX(ROW(E$1:E2205)*(E2206=E$1:E2205)))))</f>
        <v/>
      </c>
      <c r="L2206" s="15"/>
    </row>
    <row r="2207" customFormat="false" ht="12.75" hidden="false" customHeight="false" outlineLevel="0" collapsed="false">
      <c r="A2207" s="0" t="s">
        <v>40</v>
      </c>
      <c r="E2207" s="9" t="str">
        <f aca="false">IF(D2207="?OLD","!!!","")</f>
        <v/>
      </c>
      <c r="F2207" s="10" t="str">
        <f aca="false">IF(OR(E2207="",E2207="!!!"),"",IF(NOT(ISNA(VLOOKUP(E2207,E$1:E2206,1,FALSE()))),"OLD",IF(AND(E2207&lt;&gt;"",E2207&lt;&gt;"!!!"),"NEW","")))</f>
        <v/>
      </c>
      <c r="G2207" s="11" t="str">
        <f aca="false">IF(OR(E2207="",E2207="!!!"),"",IF(OR(J2207=0,AND(J2207=1,K2207=1),AND(J2207=1,I2207="SBJ"),AND(J2207=1,I2207=0)),"?IN_FOCUS",IF(J2207&lt;=2,"?ACTIVATED",IF(J2207&lt;&gt;"","?FAMILIAR",IF(F2207="NEW",IF(ISNA(VLOOKUP(E2207,#REF!,1,FALSE())),"?TYPE_IDENTIFIABLE","?REFERENTIAL"),"_")))))</f>
        <v/>
      </c>
      <c r="H2207" s="12" t="str">
        <f aca="false">IF(J2207&lt;&gt;1,"",IF(I2207="SBJ","CB","?"))</f>
        <v/>
      </c>
      <c r="I2207" s="13" t="str">
        <f aca="false">IF(OR(E2207="",E2207="!!!",F2207="NEW"),"",INDEX(B$2:B2206,-1+SUMPRODUCT(MAX(ROW(E$2:E2206)*(E2207=E$2:E2206)))))</f>
        <v/>
      </c>
      <c r="J2207" s="14" t="str">
        <f aca="true">IF(OR(E2207="",E2207="!!!",F2207="NEW"),"",COUNTBLANK(OFFSET(A$1,,,SUMPRODUCT(MAX(ROW(E$2:E2207)*(E2207=E$2:E2207)))))-COUNTBLANK(OFFSET(A$1,,,SUMPRODUCT(MAX(ROW(E$1:E2206)*(E2207=E$1:E2206))))))</f>
        <v/>
      </c>
      <c r="K2207" s="14" t="str">
        <f aca="false">IF(OR(E2207="",E2207="!!!",F2207="NEW"),"",INDEX(J$1:J2206,SUMPRODUCT(MAX(ROW(E$1:E2206)*(E2207=E$1:E2206)))))</f>
        <v/>
      </c>
      <c r="L2207" s="15"/>
    </row>
    <row r="2208" customFormat="false" ht="12.75" hidden="false" customHeight="false" outlineLevel="0" collapsed="false">
      <c r="A2208" s="0" t="s">
        <v>860</v>
      </c>
      <c r="E2208" s="9" t="str">
        <f aca="false">IF(D2208="?OLD","!!!","")</f>
        <v/>
      </c>
      <c r="F2208" s="10" t="str">
        <f aca="false">IF(OR(E2208="",E2208="!!!"),"",IF(NOT(ISNA(VLOOKUP(E2208,E$1:E2207,1,FALSE()))),"OLD",IF(AND(E2208&lt;&gt;"",E2208&lt;&gt;"!!!"),"NEW","")))</f>
        <v/>
      </c>
      <c r="G2208" s="11" t="str">
        <f aca="false">IF(OR(E2208="",E2208="!!!"),"",IF(OR(J2208=0,AND(J2208=1,K2208=1),AND(J2208=1,I2208="SBJ"),AND(J2208=1,I2208=0)),"?IN_FOCUS",IF(J2208&lt;=2,"?ACTIVATED",IF(J2208&lt;&gt;"","?FAMILIAR",IF(F2208="NEW",IF(ISNA(VLOOKUP(E2208,#REF!,1,FALSE())),"?TYPE_IDENTIFIABLE","?REFERENTIAL"),"_")))))</f>
        <v/>
      </c>
      <c r="H2208" s="12" t="str">
        <f aca="false">IF(J2208&lt;&gt;1,"",IF(I2208="SBJ","CB","?"))</f>
        <v/>
      </c>
      <c r="I2208" s="13" t="str">
        <f aca="false">IF(OR(E2208="",E2208="!!!",F2208="NEW"),"",INDEX(B$2:B2207,-1+SUMPRODUCT(MAX(ROW(E$2:E2207)*(E2208=E$2:E2207)))))</f>
        <v/>
      </c>
      <c r="J2208" s="14" t="str">
        <f aca="true">IF(OR(E2208="",E2208="!!!",F2208="NEW"),"",COUNTBLANK(OFFSET(A$1,,,SUMPRODUCT(MAX(ROW(E$2:E2208)*(E2208=E$2:E2208)))))-COUNTBLANK(OFFSET(A$1,,,SUMPRODUCT(MAX(ROW(E$1:E2207)*(E2208=E$1:E2207))))))</f>
        <v/>
      </c>
      <c r="K2208" s="14" t="str">
        <f aca="false">IF(OR(E2208="",E2208="!!!",F2208="NEW"),"",INDEX(J$1:J2207,SUMPRODUCT(MAX(ROW(E$1:E2207)*(E2208=E$1:E2207)))))</f>
        <v/>
      </c>
      <c r="L2208" s="15"/>
    </row>
    <row r="2209" customFormat="false" ht="12.75" hidden="false" customHeight="false" outlineLevel="0" collapsed="false">
      <c r="A2209" s="0" t="s">
        <v>861</v>
      </c>
      <c r="B2209" s="0" t="s">
        <v>28</v>
      </c>
      <c r="C2209" s="0" t="s">
        <v>43</v>
      </c>
      <c r="E2209" s="9" t="str">
        <f aca="false">IF(D2209="?OLD","!!!","")</f>
        <v/>
      </c>
      <c r="F2209" s="10" t="str">
        <f aca="false">IF(OR(E2209="",E2209="!!!"),"",IF(NOT(ISNA(VLOOKUP(E2209,E$1:E2208,1,FALSE()))),"OLD",IF(AND(E2209&lt;&gt;"",E2209&lt;&gt;"!!!"),"NEW","")))</f>
        <v/>
      </c>
      <c r="G2209" s="11" t="str">
        <f aca="false">IF(OR(E2209="",E2209="!!!"),"",IF(OR(J2209=0,AND(J2209=1,K2209=1),AND(J2209=1,I2209="SBJ"),AND(J2209=1,I2209=0)),"?IN_FOCUS",IF(J2209&lt;=2,"?ACTIVATED",IF(J2209&lt;&gt;"","?FAMILIAR",IF(F2209="NEW",IF(ISNA(VLOOKUP(E2209,#REF!,1,FALSE())),"?TYPE_IDENTIFIABLE","?REFERENTIAL"),"_")))))</f>
        <v/>
      </c>
      <c r="H2209" s="12" t="str">
        <f aca="false">IF(J2209&lt;&gt;1,"",IF(I2209="SBJ","CB","?"))</f>
        <v/>
      </c>
      <c r="I2209" s="13" t="str">
        <f aca="false">IF(OR(E2209="",E2209="!!!",F2209="NEW"),"",INDEX(B$2:B2208,-1+SUMPRODUCT(MAX(ROW(E$2:E2208)*(E2209=E$2:E2208)))))</f>
        <v/>
      </c>
      <c r="J2209" s="14" t="str">
        <f aca="true">IF(OR(E2209="",E2209="!!!",F2209="NEW"),"",COUNTBLANK(OFFSET(A$1,,,SUMPRODUCT(MAX(ROW(E$2:E2209)*(E2209=E$2:E2209)))))-COUNTBLANK(OFFSET(A$1,,,SUMPRODUCT(MAX(ROW(E$1:E2208)*(E2209=E$1:E2208))))))</f>
        <v/>
      </c>
      <c r="K2209" s="14" t="str">
        <f aca="false">IF(OR(E2209="",E2209="!!!",F2209="NEW"),"",INDEX(J$1:J2208,SUMPRODUCT(MAX(ROW(E$1:E2208)*(E2209=E$1:E2208)))))</f>
        <v/>
      </c>
      <c r="L2209" s="15"/>
    </row>
    <row r="2210" customFormat="false" ht="12.75" hidden="false" customHeight="false" outlineLevel="0" collapsed="false">
      <c r="A2210" s="0" t="s">
        <v>158</v>
      </c>
      <c r="E2210" s="9" t="str">
        <f aca="false">IF(D2210="?OLD","!!!","")</f>
        <v/>
      </c>
      <c r="F2210" s="10" t="str">
        <f aca="false">IF(OR(E2210="",E2210="!!!"),"",IF(NOT(ISNA(VLOOKUP(E2210,E$1:E2209,1,FALSE()))),"OLD",IF(AND(E2210&lt;&gt;"",E2210&lt;&gt;"!!!"),"NEW","")))</f>
        <v/>
      </c>
      <c r="G2210" s="11" t="str">
        <f aca="false">IF(OR(E2210="",E2210="!!!"),"",IF(OR(J2210=0,AND(J2210=1,K2210=1),AND(J2210=1,I2210="SBJ"),AND(J2210=1,I2210=0)),"?IN_FOCUS",IF(J2210&lt;=2,"?ACTIVATED",IF(J2210&lt;&gt;"","?FAMILIAR",IF(F2210="NEW",IF(ISNA(VLOOKUP(E2210,#REF!,1,FALSE())),"?TYPE_IDENTIFIABLE","?REFERENTIAL"),"_")))))</f>
        <v/>
      </c>
      <c r="H2210" s="12" t="str">
        <f aca="false">IF(J2210&lt;&gt;1,"",IF(I2210="SBJ","CB","?"))</f>
        <v/>
      </c>
      <c r="I2210" s="13" t="str">
        <f aca="false">IF(OR(E2210="",E2210="!!!",F2210="NEW"),"",INDEX(B$2:B2209,-1+SUMPRODUCT(MAX(ROW(E$2:E2209)*(E2210=E$2:E2209)))))</f>
        <v/>
      </c>
      <c r="J2210" s="14" t="str">
        <f aca="true">IF(OR(E2210="",E2210="!!!",F2210="NEW"),"",COUNTBLANK(OFFSET(A$1,,,SUMPRODUCT(MAX(ROW(E$2:E2210)*(E2210=E$2:E2210)))))-COUNTBLANK(OFFSET(A$1,,,SUMPRODUCT(MAX(ROW(E$1:E2209)*(E2210=E$1:E2209))))))</f>
        <v/>
      </c>
      <c r="K2210" s="14" t="str">
        <f aca="false">IF(OR(E2210="",E2210="!!!",F2210="NEW"),"",INDEX(J$1:J2209,SUMPRODUCT(MAX(ROW(E$1:E2209)*(E2210=E$1:E2209)))))</f>
        <v/>
      </c>
      <c r="L2210" s="15"/>
    </row>
    <row r="2211" customFormat="false" ht="12.75" hidden="false" customHeight="false" outlineLevel="0" collapsed="false">
      <c r="A2211" s="0" t="s">
        <v>862</v>
      </c>
      <c r="B2211" s="0" t="s">
        <v>14</v>
      </c>
      <c r="C2211" s="0" t="s">
        <v>156</v>
      </c>
      <c r="D2211" s="0" t="s">
        <v>29</v>
      </c>
      <c r="E2211" s="9" t="str">
        <f aca="false">IF(D2211="?OLD","!!!","")</f>
        <v>!!!</v>
      </c>
      <c r="F2211" s="10" t="str">
        <f aca="false">IF(OR(E2211="",E2211="!!!"),"",IF(NOT(ISNA(VLOOKUP(E2211,E$1:E2210,1,FALSE()))),"OLD",IF(AND(E2211&lt;&gt;"",E2211&lt;&gt;"!!!"),"NEW","")))</f>
        <v/>
      </c>
      <c r="G2211" s="11" t="str">
        <f aca="false">IF(OR(E2211="",E2211="!!!"),"",IF(OR(J2211=0,AND(J2211=1,K2211=1),AND(J2211=1,I2211="SBJ"),AND(J2211=1,I2211=0)),"?IN_FOCUS",IF(J2211&lt;=2,"?ACTIVATED",IF(J2211&lt;&gt;"","?FAMILIAR",IF(F2211="NEW",IF(ISNA(VLOOKUP(E2211,#REF!,1,FALSE())),"?TYPE_IDENTIFIABLE","?REFERENTIAL"),"_")))))</f>
        <v/>
      </c>
      <c r="H2211" s="12" t="str">
        <f aca="false">IF(J2211&lt;&gt;1,"",IF(I2211="SBJ","CB","?"))</f>
        <v/>
      </c>
      <c r="I2211" s="13" t="str">
        <f aca="false">IF(OR(E2211="",E2211="!!!",F2211="NEW"),"",INDEX(B$2:B2210,-1+SUMPRODUCT(MAX(ROW(E$2:E2210)*(E2211=E$2:E2210)))))</f>
        <v/>
      </c>
      <c r="J2211" s="14" t="str">
        <f aca="true">IF(OR(E2211="",E2211="!!!",F2211="NEW"),"",COUNTBLANK(OFFSET(A$1,,,SUMPRODUCT(MAX(ROW(E$2:E2211)*(E2211=E$2:E2211)))))-COUNTBLANK(OFFSET(A$1,,,SUMPRODUCT(MAX(ROW(E$1:E2210)*(E2211=E$1:E2210))))))</f>
        <v/>
      </c>
      <c r="K2211" s="14" t="str">
        <f aca="false">IF(OR(E2211="",E2211="!!!",F2211="NEW"),"",INDEX(J$1:J2210,SUMPRODUCT(MAX(ROW(E$1:E2210)*(E2211=E$1:E2210)))))</f>
        <v/>
      </c>
      <c r="L2211" s="15"/>
    </row>
    <row r="2212" customFormat="false" ht="12.75" hidden="false" customHeight="false" outlineLevel="0" collapsed="false">
      <c r="A2212" s="0" t="s">
        <v>129</v>
      </c>
      <c r="E2212" s="9" t="str">
        <f aca="false">IF(D2212="?OLD","!!!","")</f>
        <v/>
      </c>
      <c r="F2212" s="10" t="str">
        <f aca="false">IF(OR(E2212="",E2212="!!!"),"",IF(NOT(ISNA(VLOOKUP(E2212,E$1:E2211,1,FALSE()))),"OLD",IF(AND(E2212&lt;&gt;"",E2212&lt;&gt;"!!!"),"NEW","")))</f>
        <v/>
      </c>
      <c r="G2212" s="11" t="str">
        <f aca="false">IF(OR(E2212="",E2212="!!!"),"",IF(OR(J2212=0,AND(J2212=1,K2212=1),AND(J2212=1,I2212="SBJ"),AND(J2212=1,I2212=0)),"?IN_FOCUS",IF(J2212&lt;=2,"?ACTIVATED",IF(J2212&lt;&gt;"","?FAMILIAR",IF(F2212="NEW",IF(ISNA(VLOOKUP(E2212,#REF!,1,FALSE())),"?TYPE_IDENTIFIABLE","?REFERENTIAL"),"_")))))</f>
        <v/>
      </c>
      <c r="H2212" s="12" t="str">
        <f aca="false">IF(J2212&lt;&gt;1,"",IF(I2212="SBJ","CB","?"))</f>
        <v/>
      </c>
      <c r="I2212" s="13" t="str">
        <f aca="false">IF(OR(E2212="",E2212="!!!",F2212="NEW"),"",INDEX(B$2:B2211,-1+SUMPRODUCT(MAX(ROW(E$2:E2211)*(E2212=E$2:E2211)))))</f>
        <v/>
      </c>
      <c r="J2212" s="14" t="str">
        <f aca="true">IF(OR(E2212="",E2212="!!!",F2212="NEW"),"",COUNTBLANK(OFFSET(A$1,,,SUMPRODUCT(MAX(ROW(E$2:E2212)*(E2212=E$2:E2212)))))-COUNTBLANK(OFFSET(A$1,,,SUMPRODUCT(MAX(ROW(E$1:E2211)*(E2212=E$1:E2211))))))</f>
        <v/>
      </c>
      <c r="K2212" s="14" t="str">
        <f aca="false">IF(OR(E2212="",E2212="!!!",F2212="NEW"),"",INDEX(J$1:J2211,SUMPRODUCT(MAX(ROW(E$1:E2211)*(E2212=E$1:E2211)))))</f>
        <v/>
      </c>
      <c r="L2212" s="15"/>
    </row>
    <row r="2213" customFormat="false" ht="12.75" hidden="false" customHeight="false" outlineLevel="0" collapsed="false">
      <c r="A2213" s="0" t="s">
        <v>863</v>
      </c>
      <c r="B2213" s="0" t="s">
        <v>103</v>
      </c>
      <c r="C2213" s="0" t="s">
        <v>120</v>
      </c>
      <c r="E2213" s="9" t="str">
        <f aca="false">IF(D2213="?OLD","!!!","")</f>
        <v/>
      </c>
      <c r="F2213" s="10" t="str">
        <f aca="false">IF(OR(E2213="",E2213="!!!"),"",IF(NOT(ISNA(VLOOKUP(E2213,E$1:E2212,1,FALSE()))),"OLD",IF(AND(E2213&lt;&gt;"",E2213&lt;&gt;"!!!"),"NEW","")))</f>
        <v/>
      </c>
      <c r="G2213" s="11" t="str">
        <f aca="false">IF(OR(E2213="",E2213="!!!"),"",IF(OR(J2213=0,AND(J2213=1,K2213=1),AND(J2213=1,I2213="SBJ"),AND(J2213=1,I2213=0)),"?IN_FOCUS",IF(J2213&lt;=2,"?ACTIVATED",IF(J2213&lt;&gt;"","?FAMILIAR",IF(F2213="NEW",IF(ISNA(VLOOKUP(E2213,#REF!,1,FALSE())),"?TYPE_IDENTIFIABLE","?REFERENTIAL"),"_")))))</f>
        <v/>
      </c>
      <c r="H2213" s="12" t="str">
        <f aca="false">IF(J2213&lt;&gt;1,"",IF(I2213="SBJ","CB","?"))</f>
        <v/>
      </c>
      <c r="I2213" s="13" t="str">
        <f aca="false">IF(OR(E2213="",E2213="!!!",F2213="NEW"),"",INDEX(B$2:B2212,-1+SUMPRODUCT(MAX(ROW(E$2:E2212)*(E2213=E$2:E2212)))))</f>
        <v/>
      </c>
      <c r="J2213" s="14" t="str">
        <f aca="true">IF(OR(E2213="",E2213="!!!",F2213="NEW"),"",COUNTBLANK(OFFSET(A$1,,,SUMPRODUCT(MAX(ROW(E$2:E2213)*(E2213=E$2:E2213)))))-COUNTBLANK(OFFSET(A$1,,,SUMPRODUCT(MAX(ROW(E$1:E2212)*(E2213=E$1:E2212))))))</f>
        <v/>
      </c>
      <c r="K2213" s="14" t="str">
        <f aca="false">IF(OR(E2213="",E2213="!!!",F2213="NEW"),"",INDEX(J$1:J2212,SUMPRODUCT(MAX(ROW(E$1:E2212)*(E2213=E$1:E2212)))))</f>
        <v/>
      </c>
      <c r="L2213" s="15"/>
    </row>
    <row r="2214" customFormat="false" ht="12.75" hidden="false" customHeight="false" outlineLevel="0" collapsed="false">
      <c r="A2214" s="0" t="s">
        <v>31</v>
      </c>
      <c r="E2214" s="9" t="str">
        <f aca="false">IF(D2214="?OLD","!!!","")</f>
        <v/>
      </c>
      <c r="F2214" s="10" t="str">
        <f aca="false">IF(OR(E2214="",E2214="!!!"),"",IF(NOT(ISNA(VLOOKUP(E2214,E$1:E2213,1,FALSE()))),"OLD",IF(AND(E2214&lt;&gt;"",E2214&lt;&gt;"!!!"),"NEW","")))</f>
        <v/>
      </c>
      <c r="G2214" s="11" t="str">
        <f aca="false">IF(OR(E2214="",E2214="!!!"),"",IF(OR(J2214=0,AND(J2214=1,K2214=1),AND(J2214=1,I2214="SBJ"),AND(J2214=1,I2214=0)),"?IN_FOCUS",IF(J2214&lt;=2,"?ACTIVATED",IF(J2214&lt;&gt;"","?FAMILIAR",IF(F2214="NEW",IF(ISNA(VLOOKUP(E2214,#REF!,1,FALSE())),"?TYPE_IDENTIFIABLE","?REFERENTIAL"),"_")))))</f>
        <v/>
      </c>
      <c r="H2214" s="12" t="str">
        <f aca="false">IF(J2214&lt;&gt;1,"",IF(I2214="SBJ","CB","?"))</f>
        <v/>
      </c>
      <c r="I2214" s="13" t="str">
        <f aca="false">IF(OR(E2214="",E2214="!!!",F2214="NEW"),"",INDEX(B$2:B2213,-1+SUMPRODUCT(MAX(ROW(E$2:E2213)*(E2214=E$2:E2213)))))</f>
        <v/>
      </c>
      <c r="J2214" s="14" t="str">
        <f aca="true">IF(OR(E2214="",E2214="!!!",F2214="NEW"),"",COUNTBLANK(OFFSET(A$1,,,SUMPRODUCT(MAX(ROW(E$2:E2214)*(E2214=E$2:E2214)))))-COUNTBLANK(OFFSET(A$1,,,SUMPRODUCT(MAX(ROW(E$1:E2213)*(E2214=E$1:E2213))))))</f>
        <v/>
      </c>
      <c r="K2214" s="14" t="str">
        <f aca="false">IF(OR(E2214="",E2214="!!!",F2214="NEW"),"",INDEX(J$1:J2213,SUMPRODUCT(MAX(ROW(E$1:E2213)*(E2214=E$1:E2213)))))</f>
        <v/>
      </c>
      <c r="L2214" s="15"/>
    </row>
    <row r="2215" customFormat="false" ht="12.75" hidden="false" customHeight="false" outlineLevel="0" collapsed="false">
      <c r="A2215" s="0" t="s">
        <v>129</v>
      </c>
      <c r="E2215" s="9" t="str">
        <f aca="false">IF(D2215="?OLD","!!!","")</f>
        <v/>
      </c>
      <c r="F2215" s="10" t="str">
        <f aca="false">IF(OR(E2215="",E2215="!!!"),"",IF(NOT(ISNA(VLOOKUP(E2215,E$1:E2214,1,FALSE()))),"OLD",IF(AND(E2215&lt;&gt;"",E2215&lt;&gt;"!!!"),"NEW","")))</f>
        <v/>
      </c>
      <c r="G2215" s="11" t="str">
        <f aca="false">IF(OR(E2215="",E2215="!!!"),"",IF(OR(J2215=0,AND(J2215=1,K2215=1),AND(J2215=1,I2215="SBJ"),AND(J2215=1,I2215=0)),"?IN_FOCUS",IF(J2215&lt;=2,"?ACTIVATED",IF(J2215&lt;&gt;"","?FAMILIAR",IF(F2215="NEW",IF(ISNA(VLOOKUP(E2215,#REF!,1,FALSE())),"?TYPE_IDENTIFIABLE","?REFERENTIAL"),"_")))))</f>
        <v/>
      </c>
      <c r="H2215" s="12" t="str">
        <f aca="false">IF(J2215&lt;&gt;1,"",IF(I2215="SBJ","CB","?"))</f>
        <v/>
      </c>
      <c r="I2215" s="13" t="str">
        <f aca="false">IF(OR(E2215="",E2215="!!!",F2215="NEW"),"",INDEX(B$2:B2214,-1+SUMPRODUCT(MAX(ROW(E$2:E2214)*(E2215=E$2:E2214)))))</f>
        <v/>
      </c>
      <c r="J2215" s="14" t="str">
        <f aca="true">IF(OR(E2215="",E2215="!!!",F2215="NEW"),"",COUNTBLANK(OFFSET(A$1,,,SUMPRODUCT(MAX(ROW(E$2:E2215)*(E2215=E$2:E2215)))))-COUNTBLANK(OFFSET(A$1,,,SUMPRODUCT(MAX(ROW(E$1:E2214)*(E2215=E$1:E2214))))))</f>
        <v/>
      </c>
      <c r="K2215" s="14" t="str">
        <f aca="false">IF(OR(E2215="",E2215="!!!",F2215="NEW"),"",INDEX(J$1:J2214,SUMPRODUCT(MAX(ROW(E$1:E2214)*(E2215=E$1:E2214)))))</f>
        <v/>
      </c>
      <c r="L2215" s="15"/>
    </row>
    <row r="2216" customFormat="false" ht="12.75" hidden="false" customHeight="false" outlineLevel="0" collapsed="false">
      <c r="A2216" s="0" t="s">
        <v>864</v>
      </c>
      <c r="E2216" s="9" t="str">
        <f aca="false">IF(D2216="?OLD","!!!","")</f>
        <v/>
      </c>
      <c r="F2216" s="10" t="str">
        <f aca="false">IF(OR(E2216="",E2216="!!!"),"",IF(NOT(ISNA(VLOOKUP(E2216,E$1:E2215,1,FALSE()))),"OLD",IF(AND(E2216&lt;&gt;"",E2216&lt;&gt;"!!!"),"NEW","")))</f>
        <v/>
      </c>
      <c r="G2216" s="11" t="str">
        <f aca="false">IF(OR(E2216="",E2216="!!!"),"",IF(OR(J2216=0,AND(J2216=1,K2216=1),AND(J2216=1,I2216="SBJ"),AND(J2216=1,I2216=0)),"?IN_FOCUS",IF(J2216&lt;=2,"?ACTIVATED",IF(J2216&lt;&gt;"","?FAMILIAR",IF(F2216="NEW",IF(ISNA(VLOOKUP(E2216,#REF!,1,FALSE())),"?TYPE_IDENTIFIABLE","?REFERENTIAL"),"_")))))</f>
        <v/>
      </c>
      <c r="H2216" s="12" t="str">
        <f aca="false">IF(J2216&lt;&gt;1,"",IF(I2216="SBJ","CB","?"))</f>
        <v/>
      </c>
      <c r="I2216" s="13" t="str">
        <f aca="false">IF(OR(E2216="",E2216="!!!",F2216="NEW"),"",INDEX(B$2:B2215,-1+SUMPRODUCT(MAX(ROW(E$2:E2215)*(E2216=E$2:E2215)))))</f>
        <v/>
      </c>
      <c r="J2216" s="14" t="str">
        <f aca="true">IF(OR(E2216="",E2216="!!!",F2216="NEW"),"",COUNTBLANK(OFFSET(A$1,,,SUMPRODUCT(MAX(ROW(E$2:E2216)*(E2216=E$2:E2216)))))-COUNTBLANK(OFFSET(A$1,,,SUMPRODUCT(MAX(ROW(E$1:E2215)*(E2216=E$1:E2215))))))</f>
        <v/>
      </c>
      <c r="K2216" s="14" t="str">
        <f aca="false">IF(OR(E2216="",E2216="!!!",F2216="NEW"),"",INDEX(J$1:J2215,SUMPRODUCT(MAX(ROW(E$1:E2215)*(E2216=E$1:E2215)))))</f>
        <v/>
      </c>
      <c r="L2216" s="15"/>
    </row>
    <row r="2217" customFormat="false" ht="12.75" hidden="false" customHeight="false" outlineLevel="0" collapsed="false">
      <c r="A2217" s="0" t="s">
        <v>31</v>
      </c>
      <c r="E2217" s="9" t="str">
        <f aca="false">IF(D2217="?OLD","!!!","")</f>
        <v/>
      </c>
      <c r="F2217" s="10" t="str">
        <f aca="false">IF(OR(E2217="",E2217="!!!"),"",IF(NOT(ISNA(VLOOKUP(E2217,E$1:E2216,1,FALSE()))),"OLD",IF(AND(E2217&lt;&gt;"",E2217&lt;&gt;"!!!"),"NEW","")))</f>
        <v/>
      </c>
      <c r="G2217" s="11" t="str">
        <f aca="false">IF(OR(E2217="",E2217="!!!"),"",IF(OR(J2217=0,AND(J2217=1,K2217=1),AND(J2217=1,I2217="SBJ"),AND(J2217=1,I2217=0)),"?IN_FOCUS",IF(J2217&lt;=2,"?ACTIVATED",IF(J2217&lt;&gt;"","?FAMILIAR",IF(F2217="NEW",IF(ISNA(VLOOKUP(E2217,#REF!,1,FALSE())),"?TYPE_IDENTIFIABLE","?REFERENTIAL"),"_")))))</f>
        <v/>
      </c>
      <c r="H2217" s="12" t="str">
        <f aca="false">IF(J2217&lt;&gt;1,"",IF(I2217="SBJ","CB","?"))</f>
        <v/>
      </c>
      <c r="I2217" s="13" t="str">
        <f aca="false">IF(OR(E2217="",E2217="!!!",F2217="NEW"),"",INDEX(B$2:B2216,-1+SUMPRODUCT(MAX(ROW(E$2:E2216)*(E2217=E$2:E2216)))))</f>
        <v/>
      </c>
      <c r="J2217" s="14" t="str">
        <f aca="true">IF(OR(E2217="",E2217="!!!",F2217="NEW"),"",COUNTBLANK(OFFSET(A$1,,,SUMPRODUCT(MAX(ROW(E$2:E2217)*(E2217=E$2:E2217)))))-COUNTBLANK(OFFSET(A$1,,,SUMPRODUCT(MAX(ROW(E$1:E2216)*(E2217=E$1:E2216))))))</f>
        <v/>
      </c>
      <c r="K2217" s="14" t="str">
        <f aca="false">IF(OR(E2217="",E2217="!!!",F2217="NEW"),"",INDEX(J$1:J2216,SUMPRODUCT(MAX(ROW(E$1:E2216)*(E2217=E$1:E2216)))))</f>
        <v/>
      </c>
      <c r="L2217" s="15"/>
    </row>
    <row r="2218" customFormat="false" ht="12.75" hidden="false" customHeight="false" outlineLevel="0" collapsed="false">
      <c r="A2218" s="0" t="s">
        <v>129</v>
      </c>
      <c r="E2218" s="9" t="str">
        <f aca="false">IF(D2218="?OLD","!!!","")</f>
        <v/>
      </c>
      <c r="F2218" s="10" t="str">
        <f aca="false">IF(OR(E2218="",E2218="!!!"),"",IF(NOT(ISNA(VLOOKUP(E2218,E$1:E2217,1,FALSE()))),"OLD",IF(AND(E2218&lt;&gt;"",E2218&lt;&gt;"!!!"),"NEW","")))</f>
        <v/>
      </c>
      <c r="G2218" s="11" t="str">
        <f aca="false">IF(OR(E2218="",E2218="!!!"),"",IF(OR(J2218=0,AND(J2218=1,K2218=1),AND(J2218=1,I2218="SBJ"),AND(J2218=1,I2218=0)),"?IN_FOCUS",IF(J2218&lt;=2,"?ACTIVATED",IF(J2218&lt;&gt;"","?FAMILIAR",IF(F2218="NEW",IF(ISNA(VLOOKUP(E2218,#REF!,1,FALSE())),"?TYPE_IDENTIFIABLE","?REFERENTIAL"),"_")))))</f>
        <v/>
      </c>
      <c r="H2218" s="12" t="str">
        <f aca="false">IF(J2218&lt;&gt;1,"",IF(I2218="SBJ","CB","?"))</f>
        <v/>
      </c>
      <c r="I2218" s="13" t="str">
        <f aca="false">IF(OR(E2218="",E2218="!!!",F2218="NEW"),"",INDEX(B$2:B2217,-1+SUMPRODUCT(MAX(ROW(E$2:E2217)*(E2218=E$2:E2217)))))</f>
        <v/>
      </c>
      <c r="J2218" s="14" t="str">
        <f aca="true">IF(OR(E2218="",E2218="!!!",F2218="NEW"),"",COUNTBLANK(OFFSET(A$1,,,SUMPRODUCT(MAX(ROW(E$2:E2218)*(E2218=E$2:E2218)))))-COUNTBLANK(OFFSET(A$1,,,SUMPRODUCT(MAX(ROW(E$1:E2217)*(E2218=E$1:E2217))))))</f>
        <v/>
      </c>
      <c r="K2218" s="14" t="str">
        <f aca="false">IF(OR(E2218="",E2218="!!!",F2218="NEW"),"",INDEX(J$1:J2217,SUMPRODUCT(MAX(ROW(E$1:E2217)*(E2218=E$1:E2217)))))</f>
        <v/>
      </c>
      <c r="L2218" s="15"/>
    </row>
    <row r="2219" customFormat="false" ht="12.75" hidden="false" customHeight="false" outlineLevel="0" collapsed="false">
      <c r="A2219" s="0" t="s">
        <v>865</v>
      </c>
      <c r="E2219" s="9" t="str">
        <f aca="false">IF(D2219="?OLD","!!!","")</f>
        <v/>
      </c>
      <c r="F2219" s="10" t="str">
        <f aca="false">IF(OR(E2219="",E2219="!!!"),"",IF(NOT(ISNA(VLOOKUP(E2219,E$1:E2218,1,FALSE()))),"OLD",IF(AND(E2219&lt;&gt;"",E2219&lt;&gt;"!!!"),"NEW","")))</f>
        <v/>
      </c>
      <c r="G2219" s="11" t="str">
        <f aca="false">IF(OR(E2219="",E2219="!!!"),"",IF(OR(J2219=0,AND(J2219=1,K2219=1),AND(J2219=1,I2219="SBJ"),AND(J2219=1,I2219=0)),"?IN_FOCUS",IF(J2219&lt;=2,"?ACTIVATED",IF(J2219&lt;&gt;"","?FAMILIAR",IF(F2219="NEW",IF(ISNA(VLOOKUP(E2219,#REF!,1,FALSE())),"?TYPE_IDENTIFIABLE","?REFERENTIAL"),"_")))))</f>
        <v/>
      </c>
      <c r="H2219" s="12" t="str">
        <f aca="false">IF(J2219&lt;&gt;1,"",IF(I2219="SBJ","CB","?"))</f>
        <v/>
      </c>
      <c r="I2219" s="13" t="str">
        <f aca="false">IF(OR(E2219="",E2219="!!!",F2219="NEW"),"",INDEX(B$2:B2218,-1+SUMPRODUCT(MAX(ROW(E$2:E2218)*(E2219=E$2:E2218)))))</f>
        <v/>
      </c>
      <c r="J2219" s="14" t="str">
        <f aca="true">IF(OR(E2219="",E2219="!!!",F2219="NEW"),"",COUNTBLANK(OFFSET(A$1,,,SUMPRODUCT(MAX(ROW(E$2:E2219)*(E2219=E$2:E2219)))))-COUNTBLANK(OFFSET(A$1,,,SUMPRODUCT(MAX(ROW(E$1:E2218)*(E2219=E$1:E2218))))))</f>
        <v/>
      </c>
      <c r="K2219" s="14" t="str">
        <f aca="false">IF(OR(E2219="",E2219="!!!",F2219="NEW"),"",INDEX(J$1:J2218,SUMPRODUCT(MAX(ROW(E$1:E2218)*(E2219=E$1:E2218)))))</f>
        <v/>
      </c>
      <c r="L2219" s="15"/>
    </row>
    <row r="2220" customFormat="false" ht="12.75" hidden="false" customHeight="false" outlineLevel="0" collapsed="false">
      <c r="A2220" s="0" t="s">
        <v>168</v>
      </c>
      <c r="E2220" s="9" t="str">
        <f aca="false">IF(D2220="?OLD","!!!","")</f>
        <v/>
      </c>
      <c r="F2220" s="10" t="str">
        <f aca="false">IF(OR(E2220="",E2220="!!!"),"",IF(NOT(ISNA(VLOOKUP(E2220,E$1:E2219,1,FALSE()))),"OLD",IF(AND(E2220&lt;&gt;"",E2220&lt;&gt;"!!!"),"NEW","")))</f>
        <v/>
      </c>
      <c r="G2220" s="11" t="str">
        <f aca="false">IF(OR(E2220="",E2220="!!!"),"",IF(OR(J2220=0,AND(J2220=1,K2220=1),AND(J2220=1,I2220="SBJ"),AND(J2220=1,I2220=0)),"?IN_FOCUS",IF(J2220&lt;=2,"?ACTIVATED",IF(J2220&lt;&gt;"","?FAMILIAR",IF(F2220="NEW",IF(ISNA(VLOOKUP(E2220,#REF!,1,FALSE())),"?TYPE_IDENTIFIABLE","?REFERENTIAL"),"_")))))</f>
        <v/>
      </c>
      <c r="H2220" s="12" t="str">
        <f aca="false">IF(J2220&lt;&gt;1,"",IF(I2220="SBJ","CB","?"))</f>
        <v/>
      </c>
      <c r="I2220" s="13" t="str">
        <f aca="false">IF(OR(E2220="",E2220="!!!",F2220="NEW"),"",INDEX(B$2:B2219,-1+SUMPRODUCT(MAX(ROW(E$2:E2219)*(E2220=E$2:E2219)))))</f>
        <v/>
      </c>
      <c r="J2220" s="14" t="str">
        <f aca="true">IF(OR(E2220="",E2220="!!!",F2220="NEW"),"",COUNTBLANK(OFFSET(A$1,,,SUMPRODUCT(MAX(ROW(E$2:E2220)*(E2220=E$2:E2220)))))-COUNTBLANK(OFFSET(A$1,,,SUMPRODUCT(MAX(ROW(E$1:E2219)*(E2220=E$1:E2219))))))</f>
        <v/>
      </c>
      <c r="K2220" s="14" t="str">
        <f aca="false">IF(OR(E2220="",E2220="!!!",F2220="NEW"),"",INDEX(J$1:J2219,SUMPRODUCT(MAX(ROW(E$1:E2219)*(E2220=E$1:E2219)))))</f>
        <v/>
      </c>
      <c r="L2220" s="15"/>
    </row>
    <row r="2221" customFormat="false" ht="12.75" hidden="false" customHeight="false" outlineLevel="0" collapsed="false">
      <c r="A2221" s="0" t="s">
        <v>866</v>
      </c>
      <c r="E2221" s="9" t="str">
        <f aca="false">IF(D2221="?OLD","!!!","")</f>
        <v/>
      </c>
      <c r="F2221" s="10" t="str">
        <f aca="false">IF(OR(E2221="",E2221="!!!"),"",IF(NOT(ISNA(VLOOKUP(E2221,E$1:E2220,1,FALSE()))),"OLD",IF(AND(E2221&lt;&gt;"",E2221&lt;&gt;"!!!"),"NEW","")))</f>
        <v/>
      </c>
      <c r="G2221" s="11" t="str">
        <f aca="false">IF(OR(E2221="",E2221="!!!"),"",IF(OR(J2221=0,AND(J2221=1,K2221=1),AND(J2221=1,I2221="SBJ"),AND(J2221=1,I2221=0)),"?IN_FOCUS",IF(J2221&lt;=2,"?ACTIVATED",IF(J2221&lt;&gt;"","?FAMILIAR",IF(F2221="NEW",IF(ISNA(VLOOKUP(E2221,#REF!,1,FALSE())),"?TYPE_IDENTIFIABLE","?REFERENTIAL"),"_")))))</f>
        <v/>
      </c>
      <c r="H2221" s="12" t="str">
        <f aca="false">IF(J2221&lt;&gt;1,"",IF(I2221="SBJ","CB","?"))</f>
        <v/>
      </c>
      <c r="I2221" s="13" t="str">
        <f aca="false">IF(OR(E2221="",E2221="!!!",F2221="NEW"),"",INDEX(B$2:B2220,-1+SUMPRODUCT(MAX(ROW(E$2:E2220)*(E2221=E$2:E2220)))))</f>
        <v/>
      </c>
      <c r="J2221" s="14" t="str">
        <f aca="true">IF(OR(E2221="",E2221="!!!",F2221="NEW"),"",COUNTBLANK(OFFSET(A$1,,,SUMPRODUCT(MAX(ROW(E$2:E2221)*(E2221=E$2:E2221)))))-COUNTBLANK(OFFSET(A$1,,,SUMPRODUCT(MAX(ROW(E$1:E2220)*(E2221=E$1:E2220))))))</f>
        <v/>
      </c>
      <c r="K2221" s="14" t="str">
        <f aca="false">IF(OR(E2221="",E2221="!!!",F2221="NEW"),"",INDEX(J$1:J2220,SUMPRODUCT(MAX(ROW(E$1:E2220)*(E2221=E$1:E2220)))))</f>
        <v/>
      </c>
      <c r="L2221" s="15"/>
    </row>
    <row r="2222" customFormat="false" ht="12.75" hidden="false" customHeight="false" outlineLevel="0" collapsed="false">
      <c r="A2222" s="0" t="s">
        <v>131</v>
      </c>
      <c r="E2222" s="9" t="str">
        <f aca="false">IF(D2222="?OLD","!!!","")</f>
        <v/>
      </c>
      <c r="F2222" s="10" t="str">
        <f aca="false">IF(OR(E2222="",E2222="!!!"),"",IF(NOT(ISNA(VLOOKUP(E2222,E$1:E2221,1,FALSE()))),"OLD",IF(AND(E2222&lt;&gt;"",E2222&lt;&gt;"!!!"),"NEW","")))</f>
        <v/>
      </c>
      <c r="G2222" s="11" t="str">
        <f aca="false">IF(OR(E2222="",E2222="!!!"),"",IF(OR(J2222=0,AND(J2222=1,K2222=1),AND(J2222=1,I2222="SBJ"),AND(J2222=1,I2222=0)),"?IN_FOCUS",IF(J2222&lt;=2,"?ACTIVATED",IF(J2222&lt;&gt;"","?FAMILIAR",IF(F2222="NEW",IF(ISNA(VLOOKUP(E2222,#REF!,1,FALSE())),"?TYPE_IDENTIFIABLE","?REFERENTIAL"),"_")))))</f>
        <v/>
      </c>
      <c r="H2222" s="12" t="str">
        <f aca="false">IF(J2222&lt;&gt;1,"",IF(I2222="SBJ","CB","?"))</f>
        <v/>
      </c>
      <c r="I2222" s="13" t="str">
        <f aca="false">IF(OR(E2222="",E2222="!!!",F2222="NEW"),"",INDEX(B$2:B2221,-1+SUMPRODUCT(MAX(ROW(E$2:E2221)*(E2222=E$2:E2221)))))</f>
        <v/>
      </c>
      <c r="J2222" s="14" t="str">
        <f aca="true">IF(OR(E2222="",E2222="!!!",F2222="NEW"),"",COUNTBLANK(OFFSET(A$1,,,SUMPRODUCT(MAX(ROW(E$2:E2222)*(E2222=E$2:E2222)))))-COUNTBLANK(OFFSET(A$1,,,SUMPRODUCT(MAX(ROW(E$1:E2221)*(E2222=E$1:E2221))))))</f>
        <v/>
      </c>
      <c r="K2222" s="14" t="str">
        <f aca="false">IF(OR(E2222="",E2222="!!!",F2222="NEW"),"",INDEX(J$1:J2221,SUMPRODUCT(MAX(ROW(E$1:E2221)*(E2222=E$1:E2221)))))</f>
        <v/>
      </c>
      <c r="L2222" s="15"/>
    </row>
    <row r="2223" customFormat="false" ht="12.75" hidden="false" customHeight="false" outlineLevel="0" collapsed="false">
      <c r="A2223" s="0" t="s">
        <v>45</v>
      </c>
      <c r="E2223" s="9" t="str">
        <f aca="false">IF(D2223="?OLD","!!!","")</f>
        <v/>
      </c>
      <c r="F2223" s="10" t="str">
        <f aca="false">IF(OR(E2223="",E2223="!!!"),"",IF(NOT(ISNA(VLOOKUP(E2223,E$1:E2222,1,FALSE()))),"OLD",IF(AND(E2223&lt;&gt;"",E2223&lt;&gt;"!!!"),"NEW","")))</f>
        <v/>
      </c>
      <c r="G2223" s="11" t="str">
        <f aca="false">IF(OR(E2223="",E2223="!!!"),"",IF(OR(J2223=0,AND(J2223=1,K2223=1),AND(J2223=1,I2223="SBJ"),AND(J2223=1,I2223=0)),"?IN_FOCUS",IF(J2223&lt;=2,"?ACTIVATED",IF(J2223&lt;&gt;"","?FAMILIAR",IF(F2223="NEW",IF(ISNA(VLOOKUP(E2223,#REF!,1,FALSE())),"?TYPE_IDENTIFIABLE","?REFERENTIAL"),"_")))))</f>
        <v/>
      </c>
      <c r="H2223" s="12" t="str">
        <f aca="false">IF(J2223&lt;&gt;1,"",IF(I2223="SBJ","CB","?"))</f>
        <v/>
      </c>
      <c r="I2223" s="13" t="str">
        <f aca="false">IF(OR(E2223="",E2223="!!!",F2223="NEW"),"",INDEX(B$2:B2222,-1+SUMPRODUCT(MAX(ROW(E$2:E2222)*(E2223=E$2:E2222)))))</f>
        <v/>
      </c>
      <c r="J2223" s="14" t="str">
        <f aca="true">IF(OR(E2223="",E2223="!!!",F2223="NEW"),"",COUNTBLANK(OFFSET(A$1,,,SUMPRODUCT(MAX(ROW(E$2:E2223)*(E2223=E$2:E2223)))))-COUNTBLANK(OFFSET(A$1,,,SUMPRODUCT(MAX(ROW(E$1:E2222)*(E2223=E$1:E2222))))))</f>
        <v/>
      </c>
      <c r="K2223" s="14" t="str">
        <f aca="false">IF(OR(E2223="",E2223="!!!",F2223="NEW"),"",INDEX(J$1:J2222,SUMPRODUCT(MAX(ROW(E$1:E2222)*(E2223=E$1:E2222)))))</f>
        <v/>
      </c>
      <c r="L2223" s="15"/>
    </row>
    <row r="2224" customFormat="false" ht="12.75" hidden="false" customHeight="false" outlineLevel="0" collapsed="false">
      <c r="A2224" s="0" t="s">
        <v>180</v>
      </c>
      <c r="E2224" s="9" t="str">
        <f aca="false">IF(D2224="?OLD","!!!","")</f>
        <v/>
      </c>
      <c r="F2224" s="10" t="str">
        <f aca="false">IF(OR(E2224="",E2224="!!!"),"",IF(NOT(ISNA(VLOOKUP(E2224,E$1:E2223,1,FALSE()))),"OLD",IF(AND(E2224&lt;&gt;"",E2224&lt;&gt;"!!!"),"NEW","")))</f>
        <v/>
      </c>
      <c r="G2224" s="11" t="str">
        <f aca="false">IF(OR(E2224="",E2224="!!!"),"",IF(OR(J2224=0,AND(J2224=1,K2224=1),AND(J2224=1,I2224="SBJ"),AND(J2224=1,I2224=0)),"?IN_FOCUS",IF(J2224&lt;=2,"?ACTIVATED",IF(J2224&lt;&gt;"","?FAMILIAR",IF(F2224="NEW",IF(ISNA(VLOOKUP(E2224,#REF!,1,FALSE())),"?TYPE_IDENTIFIABLE","?REFERENTIAL"),"_")))))</f>
        <v/>
      </c>
      <c r="H2224" s="12" t="str">
        <f aca="false">IF(J2224&lt;&gt;1,"",IF(I2224="SBJ","CB","?"))</f>
        <v/>
      </c>
      <c r="I2224" s="13" t="str">
        <f aca="false">IF(OR(E2224="",E2224="!!!",F2224="NEW"),"",INDEX(B$2:B2223,-1+SUMPRODUCT(MAX(ROW(E$2:E2223)*(E2224=E$2:E2223)))))</f>
        <v/>
      </c>
      <c r="J2224" s="14" t="str">
        <f aca="true">IF(OR(E2224="",E2224="!!!",F2224="NEW"),"",COUNTBLANK(OFFSET(A$1,,,SUMPRODUCT(MAX(ROW(E$2:E2224)*(E2224=E$2:E2224)))))-COUNTBLANK(OFFSET(A$1,,,SUMPRODUCT(MAX(ROW(E$1:E2223)*(E2224=E$1:E2223))))))</f>
        <v/>
      </c>
      <c r="K2224" s="14" t="str">
        <f aca="false">IF(OR(E2224="",E2224="!!!",F2224="NEW"),"",INDEX(J$1:J2223,SUMPRODUCT(MAX(ROW(E$1:E2223)*(E2224=E$1:E2223)))))</f>
        <v/>
      </c>
      <c r="L2224" s="15"/>
    </row>
    <row r="2225" customFormat="false" ht="12.75" hidden="false" customHeight="false" outlineLevel="0" collapsed="false">
      <c r="A2225" s="0" t="s">
        <v>867</v>
      </c>
      <c r="B2225" s="0" t="s">
        <v>62</v>
      </c>
      <c r="C2225" s="0" t="s">
        <v>135</v>
      </c>
      <c r="D2225" s="0" t="s">
        <v>29</v>
      </c>
      <c r="E2225" s="9" t="str">
        <f aca="false">IF(D2225="?OLD","!!!","")</f>
        <v>!!!</v>
      </c>
      <c r="F2225" s="10" t="str">
        <f aca="false">IF(OR(E2225="",E2225="!!!"),"",IF(NOT(ISNA(VLOOKUP(E2225,E$1:E2224,1,FALSE()))),"OLD",IF(AND(E2225&lt;&gt;"",E2225&lt;&gt;"!!!"),"NEW","")))</f>
        <v/>
      </c>
      <c r="G2225" s="11" t="str">
        <f aca="false">IF(OR(E2225="",E2225="!!!"),"",IF(OR(J2225=0,AND(J2225=1,K2225=1),AND(J2225=1,I2225="SBJ"),AND(J2225=1,I2225=0)),"?IN_FOCUS",IF(J2225&lt;=2,"?ACTIVATED",IF(J2225&lt;&gt;"","?FAMILIAR",IF(F2225="NEW",IF(ISNA(VLOOKUP(E2225,#REF!,1,FALSE())),"?TYPE_IDENTIFIABLE","?REFERENTIAL"),"_")))))</f>
        <v/>
      </c>
      <c r="H2225" s="12" t="str">
        <f aca="false">IF(J2225&lt;&gt;1,"",IF(I2225="SBJ","CB","?"))</f>
        <v/>
      </c>
      <c r="I2225" s="13" t="str">
        <f aca="false">IF(OR(E2225="",E2225="!!!",F2225="NEW"),"",INDEX(B$2:B2224,-1+SUMPRODUCT(MAX(ROW(E$2:E2224)*(E2225=E$2:E2224)))))</f>
        <v/>
      </c>
      <c r="J2225" s="14" t="str">
        <f aca="true">IF(OR(E2225="",E2225="!!!",F2225="NEW"),"",COUNTBLANK(OFFSET(A$1,,,SUMPRODUCT(MAX(ROW(E$2:E2225)*(E2225=E$2:E2225)))))-COUNTBLANK(OFFSET(A$1,,,SUMPRODUCT(MAX(ROW(E$1:E2224)*(E2225=E$1:E2224))))))</f>
        <v/>
      </c>
      <c r="K2225" s="14" t="str">
        <f aca="false">IF(OR(E2225="",E2225="!!!",F2225="NEW"),"",INDEX(J$1:J2224,SUMPRODUCT(MAX(ROW(E$1:E2224)*(E2225=E$1:E2224)))))</f>
        <v/>
      </c>
      <c r="L2225" s="15"/>
    </row>
    <row r="2226" customFormat="false" ht="12.75" hidden="false" customHeight="false" outlineLevel="0" collapsed="false">
      <c r="A2226" s="0" t="s">
        <v>88</v>
      </c>
      <c r="E2226" s="9" t="str">
        <f aca="false">IF(D2226="?OLD","!!!","")</f>
        <v/>
      </c>
      <c r="F2226" s="10" t="str">
        <f aca="false">IF(OR(E2226="",E2226="!!!"),"",IF(NOT(ISNA(VLOOKUP(E2226,E$1:E2225,1,FALSE()))),"OLD",IF(AND(E2226&lt;&gt;"",E2226&lt;&gt;"!!!"),"NEW","")))</f>
        <v/>
      </c>
      <c r="G2226" s="11" t="str">
        <f aca="false">IF(OR(E2226="",E2226="!!!"),"",IF(OR(J2226=0,AND(J2226=1,K2226=1),AND(J2226=1,I2226="SBJ"),AND(J2226=1,I2226=0)),"?IN_FOCUS",IF(J2226&lt;=2,"?ACTIVATED",IF(J2226&lt;&gt;"","?FAMILIAR",IF(F2226="NEW",IF(ISNA(VLOOKUP(E2226,#REF!,1,FALSE())),"?TYPE_IDENTIFIABLE","?REFERENTIAL"),"_")))))</f>
        <v/>
      </c>
      <c r="H2226" s="12" t="str">
        <f aca="false">IF(J2226&lt;&gt;1,"",IF(I2226="SBJ","CB","?"))</f>
        <v/>
      </c>
      <c r="I2226" s="13" t="str">
        <f aca="false">IF(OR(E2226="",E2226="!!!",F2226="NEW"),"",INDEX(B$2:B2225,-1+SUMPRODUCT(MAX(ROW(E$2:E2225)*(E2226=E$2:E2225)))))</f>
        <v/>
      </c>
      <c r="J2226" s="14" t="str">
        <f aca="true">IF(OR(E2226="",E2226="!!!",F2226="NEW"),"",COUNTBLANK(OFFSET(A$1,,,SUMPRODUCT(MAX(ROW(E$2:E2226)*(E2226=E$2:E2226)))))-COUNTBLANK(OFFSET(A$1,,,SUMPRODUCT(MAX(ROW(E$1:E2225)*(E2226=E$1:E2225))))))</f>
        <v/>
      </c>
      <c r="K2226" s="14" t="str">
        <f aca="false">IF(OR(E2226="",E2226="!!!",F2226="NEW"),"",INDEX(J$1:J2225,SUMPRODUCT(MAX(ROW(E$1:E2225)*(E2226=E$1:E2225)))))</f>
        <v/>
      </c>
      <c r="L2226" s="15"/>
    </row>
    <row r="2227" customFormat="false" ht="12.75" hidden="false" customHeight="false" outlineLevel="0" collapsed="false">
      <c r="A2227" s="0" t="s">
        <v>863</v>
      </c>
      <c r="E2227" s="9" t="str">
        <f aca="false">IF(D2227="?OLD","!!!","")</f>
        <v/>
      </c>
      <c r="F2227" s="10" t="str">
        <f aca="false">IF(OR(E2227="",E2227="!!!"),"",IF(NOT(ISNA(VLOOKUP(E2227,E$1:E2226,1,FALSE()))),"OLD",IF(AND(E2227&lt;&gt;"",E2227&lt;&gt;"!!!"),"NEW","")))</f>
        <v/>
      </c>
      <c r="G2227" s="11" t="str">
        <f aca="false">IF(OR(E2227="",E2227="!!!"),"",IF(OR(J2227=0,AND(J2227=1,K2227=1),AND(J2227=1,I2227="SBJ"),AND(J2227=1,I2227=0)),"?IN_FOCUS",IF(J2227&lt;=2,"?ACTIVATED",IF(J2227&lt;&gt;"","?FAMILIAR",IF(F2227="NEW",IF(ISNA(VLOOKUP(E2227,#REF!,1,FALSE())),"?TYPE_IDENTIFIABLE","?REFERENTIAL"),"_")))))</f>
        <v/>
      </c>
      <c r="H2227" s="12" t="str">
        <f aca="false">IF(J2227&lt;&gt;1,"",IF(I2227="SBJ","CB","?"))</f>
        <v/>
      </c>
      <c r="I2227" s="13" t="str">
        <f aca="false">IF(OR(E2227="",E2227="!!!",F2227="NEW"),"",INDEX(B$2:B2226,-1+SUMPRODUCT(MAX(ROW(E$2:E2226)*(E2227=E$2:E2226)))))</f>
        <v/>
      </c>
      <c r="J2227" s="14" t="str">
        <f aca="true">IF(OR(E2227="",E2227="!!!",F2227="NEW"),"",COUNTBLANK(OFFSET(A$1,,,SUMPRODUCT(MAX(ROW(E$2:E2227)*(E2227=E$2:E2227)))))-COUNTBLANK(OFFSET(A$1,,,SUMPRODUCT(MAX(ROW(E$1:E2226)*(E2227=E$1:E2226))))))</f>
        <v/>
      </c>
      <c r="K2227" s="14" t="str">
        <f aca="false">IF(OR(E2227="",E2227="!!!",F2227="NEW"),"",INDEX(J$1:J2226,SUMPRODUCT(MAX(ROW(E$1:E2226)*(E2227=E$1:E2226)))))</f>
        <v/>
      </c>
      <c r="L2227" s="15"/>
    </row>
    <row r="2228" customFormat="false" ht="12.75" hidden="false" customHeight="false" outlineLevel="0" collapsed="false">
      <c r="A2228" s="0" t="s">
        <v>582</v>
      </c>
      <c r="B2228" s="0" t="s">
        <v>28</v>
      </c>
      <c r="C2228" s="0" t="s">
        <v>120</v>
      </c>
      <c r="E2228" s="9" t="str">
        <f aca="false">IF(D2228="?OLD","!!!","")</f>
        <v/>
      </c>
      <c r="F2228" s="10" t="str">
        <f aca="false">IF(OR(E2228="",E2228="!!!"),"",IF(NOT(ISNA(VLOOKUP(E2228,E$1:E2227,1,FALSE()))),"OLD",IF(AND(E2228&lt;&gt;"",E2228&lt;&gt;"!!!"),"NEW","")))</f>
        <v/>
      </c>
      <c r="G2228" s="11" t="str">
        <f aca="false">IF(OR(E2228="",E2228="!!!"),"",IF(OR(J2228=0,AND(J2228=1,K2228=1),AND(J2228=1,I2228="SBJ"),AND(J2228=1,I2228=0)),"?IN_FOCUS",IF(J2228&lt;=2,"?ACTIVATED",IF(J2228&lt;&gt;"","?FAMILIAR",IF(F2228="NEW",IF(ISNA(VLOOKUP(E2228,#REF!,1,FALSE())),"?TYPE_IDENTIFIABLE","?REFERENTIAL"),"_")))))</f>
        <v/>
      </c>
      <c r="H2228" s="12" t="str">
        <f aca="false">IF(J2228&lt;&gt;1,"",IF(I2228="SBJ","CB","?"))</f>
        <v/>
      </c>
      <c r="I2228" s="13" t="str">
        <f aca="false">IF(OR(E2228="",E2228="!!!",F2228="NEW"),"",INDEX(B$2:B2227,-1+SUMPRODUCT(MAX(ROW(E$2:E2227)*(E2228=E$2:E2227)))))</f>
        <v/>
      </c>
      <c r="J2228" s="14" t="str">
        <f aca="true">IF(OR(E2228="",E2228="!!!",F2228="NEW"),"",COUNTBLANK(OFFSET(A$1,,,SUMPRODUCT(MAX(ROW(E$2:E2228)*(E2228=E$2:E2228)))))-COUNTBLANK(OFFSET(A$1,,,SUMPRODUCT(MAX(ROW(E$1:E2227)*(E2228=E$1:E2227))))))</f>
        <v/>
      </c>
      <c r="K2228" s="14" t="str">
        <f aca="false">IF(OR(E2228="",E2228="!!!",F2228="NEW"),"",INDEX(J$1:J2227,SUMPRODUCT(MAX(ROW(E$1:E2227)*(E2228=E$1:E2227)))))</f>
        <v/>
      </c>
      <c r="L2228" s="15"/>
    </row>
    <row r="2229" customFormat="false" ht="12.75" hidden="false" customHeight="false" outlineLevel="0" collapsed="false">
      <c r="A2229" s="0" t="s">
        <v>85</v>
      </c>
      <c r="B2229" s="0" t="s">
        <v>157</v>
      </c>
      <c r="E2229" s="9" t="str">
        <f aca="false">IF(D2229="?OLD","!!!","")</f>
        <v/>
      </c>
      <c r="F2229" s="10" t="str">
        <f aca="false">IF(OR(E2229="",E2229="!!!"),"",IF(NOT(ISNA(VLOOKUP(E2229,E$1:E2228,1,FALSE()))),"OLD",IF(AND(E2229&lt;&gt;"",E2229&lt;&gt;"!!!"),"NEW","")))</f>
        <v/>
      </c>
      <c r="G2229" s="11" t="str">
        <f aca="false">IF(OR(E2229="",E2229="!!!"),"",IF(OR(J2229=0,AND(J2229=1,K2229=1),AND(J2229=1,I2229="SBJ"),AND(J2229=1,I2229=0)),"?IN_FOCUS",IF(J2229&lt;=2,"?ACTIVATED",IF(J2229&lt;&gt;"","?FAMILIAR",IF(F2229="NEW",IF(ISNA(VLOOKUP(E2229,#REF!,1,FALSE())),"?TYPE_IDENTIFIABLE","?REFERENTIAL"),"_")))))</f>
        <v/>
      </c>
      <c r="H2229" s="12" t="str">
        <f aca="false">IF(J2229&lt;&gt;1,"",IF(I2229="SBJ","CB","?"))</f>
        <v/>
      </c>
      <c r="I2229" s="13" t="str">
        <f aca="false">IF(OR(E2229="",E2229="!!!",F2229="NEW"),"",INDEX(B$2:B2228,-1+SUMPRODUCT(MAX(ROW(E$2:E2228)*(E2229=E$2:E2228)))))</f>
        <v/>
      </c>
      <c r="J2229" s="14" t="str">
        <f aca="true">IF(OR(E2229="",E2229="!!!",F2229="NEW"),"",COUNTBLANK(OFFSET(A$1,,,SUMPRODUCT(MAX(ROW(E$2:E2229)*(E2229=E$2:E2229)))))-COUNTBLANK(OFFSET(A$1,,,SUMPRODUCT(MAX(ROW(E$1:E2228)*(E2229=E$1:E2228))))))</f>
        <v/>
      </c>
      <c r="K2229" s="14" t="str">
        <f aca="false">IF(OR(E2229="",E2229="!!!",F2229="NEW"),"",INDEX(J$1:J2228,SUMPRODUCT(MAX(ROW(E$1:E2228)*(E2229=E$1:E2228)))))</f>
        <v/>
      </c>
      <c r="L2229" s="15"/>
    </row>
    <row r="2230" customFormat="false" ht="12.75" hidden="false" customHeight="false" outlineLevel="0" collapsed="false">
      <c r="A2230" s="0" t="s">
        <v>749</v>
      </c>
      <c r="E2230" s="9" t="str">
        <f aca="false">IF(D2230="?OLD","!!!","")</f>
        <v/>
      </c>
      <c r="F2230" s="10" t="str">
        <f aca="false">IF(OR(E2230="",E2230="!!!"),"",IF(NOT(ISNA(VLOOKUP(E2230,E$1:E2229,1,FALSE()))),"OLD",IF(AND(E2230&lt;&gt;"",E2230&lt;&gt;"!!!"),"NEW","")))</f>
        <v/>
      </c>
      <c r="G2230" s="11" t="str">
        <f aca="false">IF(OR(E2230="",E2230="!!!"),"",IF(OR(J2230=0,AND(J2230=1,K2230=1),AND(J2230=1,I2230="SBJ"),AND(J2230=1,I2230=0)),"?IN_FOCUS",IF(J2230&lt;=2,"?ACTIVATED",IF(J2230&lt;&gt;"","?FAMILIAR",IF(F2230="NEW",IF(ISNA(VLOOKUP(E2230,#REF!,1,FALSE())),"?TYPE_IDENTIFIABLE","?REFERENTIAL"),"_")))))</f>
        <v/>
      </c>
      <c r="H2230" s="12" t="str">
        <f aca="false">IF(J2230&lt;&gt;1,"",IF(I2230="SBJ","CB","?"))</f>
        <v/>
      </c>
      <c r="I2230" s="13" t="str">
        <f aca="false">IF(OR(E2230="",E2230="!!!",F2230="NEW"),"",INDEX(B$2:B2229,-1+SUMPRODUCT(MAX(ROW(E$2:E2229)*(E2230=E$2:E2229)))))</f>
        <v/>
      </c>
      <c r="J2230" s="14" t="str">
        <f aca="true">IF(OR(E2230="",E2230="!!!",F2230="NEW"),"",COUNTBLANK(OFFSET(A$1,,,SUMPRODUCT(MAX(ROW(E$2:E2230)*(E2230=E$2:E2230)))))-COUNTBLANK(OFFSET(A$1,,,SUMPRODUCT(MAX(ROW(E$1:E2229)*(E2230=E$1:E2229))))))</f>
        <v/>
      </c>
      <c r="K2230" s="14" t="str">
        <f aca="false">IF(OR(E2230="",E2230="!!!",F2230="NEW"),"",INDEX(J$1:J2229,SUMPRODUCT(MAX(ROW(E$1:E2229)*(E2230=E$1:E2229)))))</f>
        <v/>
      </c>
      <c r="L2230" s="15"/>
    </row>
    <row r="2231" customFormat="false" ht="12.75" hidden="false" customHeight="false" outlineLevel="0" collapsed="false">
      <c r="A2231" s="0" t="s">
        <v>178</v>
      </c>
      <c r="E2231" s="9" t="str">
        <f aca="false">IF(D2231="?OLD","!!!","")</f>
        <v/>
      </c>
      <c r="F2231" s="10" t="str">
        <f aca="false">IF(OR(E2231="",E2231="!!!"),"",IF(NOT(ISNA(VLOOKUP(E2231,E$1:E2230,1,FALSE()))),"OLD",IF(AND(E2231&lt;&gt;"",E2231&lt;&gt;"!!!"),"NEW","")))</f>
        <v/>
      </c>
      <c r="G2231" s="11" t="str">
        <f aca="false">IF(OR(E2231="",E2231="!!!"),"",IF(OR(J2231=0,AND(J2231=1,K2231=1),AND(J2231=1,I2231="SBJ"),AND(J2231=1,I2231=0)),"?IN_FOCUS",IF(J2231&lt;=2,"?ACTIVATED",IF(J2231&lt;&gt;"","?FAMILIAR",IF(F2231="NEW",IF(ISNA(VLOOKUP(E2231,#REF!,1,FALSE())),"?TYPE_IDENTIFIABLE","?REFERENTIAL"),"_")))))</f>
        <v/>
      </c>
      <c r="H2231" s="12" t="str">
        <f aca="false">IF(J2231&lt;&gt;1,"",IF(I2231="SBJ","CB","?"))</f>
        <v/>
      </c>
      <c r="I2231" s="13" t="str">
        <f aca="false">IF(OR(E2231="",E2231="!!!",F2231="NEW"),"",INDEX(B$2:B2230,-1+SUMPRODUCT(MAX(ROW(E$2:E2230)*(E2231=E$2:E2230)))))</f>
        <v/>
      </c>
      <c r="J2231" s="14" t="str">
        <f aca="true">IF(OR(E2231="",E2231="!!!",F2231="NEW"),"",COUNTBLANK(OFFSET(A$1,,,SUMPRODUCT(MAX(ROW(E$2:E2231)*(E2231=E$2:E2231)))))-COUNTBLANK(OFFSET(A$1,,,SUMPRODUCT(MAX(ROW(E$1:E2230)*(E2231=E$1:E2230))))))</f>
        <v/>
      </c>
      <c r="K2231" s="14" t="str">
        <f aca="false">IF(OR(E2231="",E2231="!!!",F2231="NEW"),"",INDEX(J$1:J2230,SUMPRODUCT(MAX(ROW(E$1:E2230)*(E2231=E$1:E2230)))))</f>
        <v/>
      </c>
      <c r="L2231" s="15"/>
    </row>
    <row r="2232" customFormat="false" ht="12.75" hidden="false" customHeight="false" outlineLevel="0" collapsed="false">
      <c r="A2232" s="0" t="s">
        <v>142</v>
      </c>
      <c r="B2232" s="0" t="s">
        <v>64</v>
      </c>
      <c r="C2232" s="0" t="s">
        <v>38</v>
      </c>
      <c r="D2232" s="0" t="s">
        <v>29</v>
      </c>
      <c r="E2232" s="9" t="str">
        <f aca="false">IF(D2232="?OLD","!!!","")</f>
        <v>!!!</v>
      </c>
      <c r="F2232" s="10" t="str">
        <f aca="false">IF(OR(E2232="",E2232="!!!"),"",IF(NOT(ISNA(VLOOKUP(E2232,E$1:E2231,1,FALSE()))),"OLD",IF(AND(E2232&lt;&gt;"",E2232&lt;&gt;"!!!"),"NEW","")))</f>
        <v/>
      </c>
      <c r="G2232" s="11" t="str">
        <f aca="false">IF(OR(E2232="",E2232="!!!"),"",IF(OR(J2232=0,AND(J2232=1,K2232=1),AND(J2232=1,I2232="SBJ"),AND(J2232=1,I2232=0)),"?IN_FOCUS",IF(J2232&lt;=2,"?ACTIVATED",IF(J2232&lt;&gt;"","?FAMILIAR",IF(F2232="NEW",IF(ISNA(VLOOKUP(E2232,#REF!,1,FALSE())),"?TYPE_IDENTIFIABLE","?REFERENTIAL"),"_")))))</f>
        <v/>
      </c>
      <c r="H2232" s="12" t="str">
        <f aca="false">IF(J2232&lt;&gt;1,"",IF(I2232="SBJ","CB","?"))</f>
        <v/>
      </c>
      <c r="I2232" s="13" t="str">
        <f aca="false">IF(OR(E2232="",E2232="!!!",F2232="NEW"),"",INDEX(B$2:B2231,-1+SUMPRODUCT(MAX(ROW(E$2:E2231)*(E2232=E$2:E2231)))))</f>
        <v/>
      </c>
      <c r="J2232" s="14" t="str">
        <f aca="true">IF(OR(E2232="",E2232="!!!",F2232="NEW"),"",COUNTBLANK(OFFSET(A$1,,,SUMPRODUCT(MAX(ROW(E$2:E2232)*(E2232=E$2:E2232)))))-COUNTBLANK(OFFSET(A$1,,,SUMPRODUCT(MAX(ROW(E$1:E2231)*(E2232=E$1:E2231))))))</f>
        <v/>
      </c>
      <c r="K2232" s="14" t="str">
        <f aca="false">IF(OR(E2232="",E2232="!!!",F2232="NEW"),"",INDEX(J$1:J2231,SUMPRODUCT(MAX(ROW(E$1:E2231)*(E2232=E$1:E2231)))))</f>
        <v/>
      </c>
      <c r="L2232" s="15"/>
    </row>
    <row r="2233" customFormat="false" ht="12.75" hidden="false" customHeight="false" outlineLevel="0" collapsed="false">
      <c r="A2233" s="0" t="s">
        <v>513</v>
      </c>
      <c r="E2233" s="9" t="str">
        <f aca="false">IF(D2233="?OLD","!!!","")</f>
        <v/>
      </c>
      <c r="F2233" s="10" t="str">
        <f aca="false">IF(OR(E2233="",E2233="!!!"),"",IF(NOT(ISNA(VLOOKUP(E2233,E$1:E2232,1,FALSE()))),"OLD",IF(AND(E2233&lt;&gt;"",E2233&lt;&gt;"!!!"),"NEW","")))</f>
        <v/>
      </c>
      <c r="G2233" s="11" t="str">
        <f aca="false">IF(OR(E2233="",E2233="!!!"),"",IF(OR(J2233=0,AND(J2233=1,K2233=1),AND(J2233=1,I2233="SBJ"),AND(J2233=1,I2233=0)),"?IN_FOCUS",IF(J2233&lt;=2,"?ACTIVATED",IF(J2233&lt;&gt;"","?FAMILIAR",IF(F2233="NEW",IF(ISNA(VLOOKUP(E2233,#REF!,1,FALSE())),"?TYPE_IDENTIFIABLE","?REFERENTIAL"),"_")))))</f>
        <v/>
      </c>
      <c r="H2233" s="12" t="str">
        <f aca="false">IF(J2233&lt;&gt;1,"",IF(I2233="SBJ","CB","?"))</f>
        <v/>
      </c>
      <c r="I2233" s="13" t="str">
        <f aca="false">IF(OR(E2233="",E2233="!!!",F2233="NEW"),"",INDEX(B$2:B2232,-1+SUMPRODUCT(MAX(ROW(E$2:E2232)*(E2233=E$2:E2232)))))</f>
        <v/>
      </c>
      <c r="J2233" s="14" t="str">
        <f aca="true">IF(OR(E2233="",E2233="!!!",F2233="NEW"),"",COUNTBLANK(OFFSET(A$1,,,SUMPRODUCT(MAX(ROW(E$2:E2233)*(E2233=E$2:E2233)))))-COUNTBLANK(OFFSET(A$1,,,SUMPRODUCT(MAX(ROW(E$1:E2232)*(E2233=E$1:E2232))))))</f>
        <v/>
      </c>
      <c r="K2233" s="14" t="str">
        <f aca="false">IF(OR(E2233="",E2233="!!!",F2233="NEW"),"",INDEX(J$1:J2232,SUMPRODUCT(MAX(ROW(E$1:E2232)*(E2233=E$1:E2232)))))</f>
        <v/>
      </c>
      <c r="L2233" s="15"/>
    </row>
    <row r="2234" customFormat="false" ht="12.75" hidden="false" customHeight="false" outlineLevel="0" collapsed="false">
      <c r="A2234" s="0" t="s">
        <v>19</v>
      </c>
      <c r="E2234" s="9" t="str">
        <f aca="false">IF(D2234="?OLD","!!!","")</f>
        <v/>
      </c>
      <c r="F2234" s="10" t="str">
        <f aca="false">IF(OR(E2234="",E2234="!!!"),"",IF(NOT(ISNA(VLOOKUP(E2234,E$1:E2233,1,FALSE()))),"OLD",IF(AND(E2234&lt;&gt;"",E2234&lt;&gt;"!!!"),"NEW","")))</f>
        <v/>
      </c>
      <c r="G2234" s="11" t="str">
        <f aca="false">IF(OR(E2234="",E2234="!!!"),"",IF(OR(J2234=0,AND(J2234=1,K2234=1),AND(J2234=1,I2234="SBJ"),AND(J2234=1,I2234=0)),"?IN_FOCUS",IF(J2234&lt;=2,"?ACTIVATED",IF(J2234&lt;&gt;"","?FAMILIAR",IF(F2234="NEW",IF(ISNA(VLOOKUP(E2234,#REF!,1,FALSE())),"?TYPE_IDENTIFIABLE","?REFERENTIAL"),"_")))))</f>
        <v/>
      </c>
      <c r="H2234" s="12" t="str">
        <f aca="false">IF(J2234&lt;&gt;1,"",IF(I2234="SBJ","CB","?"))</f>
        <v/>
      </c>
      <c r="I2234" s="13" t="str">
        <f aca="false">IF(OR(E2234="",E2234="!!!",F2234="NEW"),"",INDEX(B$2:B2233,-1+SUMPRODUCT(MAX(ROW(E$2:E2233)*(E2234=E$2:E2233)))))</f>
        <v/>
      </c>
      <c r="J2234" s="14" t="str">
        <f aca="true">IF(OR(E2234="",E2234="!!!",F2234="NEW"),"",COUNTBLANK(OFFSET(A$1,,,SUMPRODUCT(MAX(ROW(E$2:E2234)*(E2234=E$2:E2234)))))-COUNTBLANK(OFFSET(A$1,,,SUMPRODUCT(MAX(ROW(E$1:E2233)*(E2234=E$1:E2233))))))</f>
        <v/>
      </c>
      <c r="K2234" s="14" t="str">
        <f aca="false">IF(OR(E2234="",E2234="!!!",F2234="NEW"),"",INDEX(J$1:J2233,SUMPRODUCT(MAX(ROW(E$1:E2233)*(E2234=E$1:E2233)))))</f>
        <v/>
      </c>
      <c r="L2234" s="15"/>
    </row>
    <row r="2235" customFormat="false" ht="12.75" hidden="false" customHeight="false" outlineLevel="0" collapsed="false">
      <c r="A2235" s="0" t="s">
        <v>66</v>
      </c>
      <c r="E2235" s="9" t="str">
        <f aca="false">IF(D2235="?OLD","!!!","")</f>
        <v/>
      </c>
      <c r="F2235" s="10" t="str">
        <f aca="false">IF(OR(E2235="",E2235="!!!"),"",IF(NOT(ISNA(VLOOKUP(E2235,E$1:E2234,1,FALSE()))),"OLD",IF(AND(E2235&lt;&gt;"",E2235&lt;&gt;"!!!"),"NEW","")))</f>
        <v/>
      </c>
      <c r="G2235" s="11" t="str">
        <f aca="false">IF(OR(E2235="",E2235="!!!"),"",IF(OR(J2235=0,AND(J2235=1,K2235=1),AND(J2235=1,I2235="SBJ"),AND(J2235=1,I2235=0)),"?IN_FOCUS",IF(J2235&lt;=2,"?ACTIVATED",IF(J2235&lt;&gt;"","?FAMILIAR",IF(F2235="NEW",IF(ISNA(VLOOKUP(E2235,#REF!,1,FALSE())),"?TYPE_IDENTIFIABLE","?REFERENTIAL"),"_")))))</f>
        <v/>
      </c>
      <c r="H2235" s="12" t="str">
        <f aca="false">IF(J2235&lt;&gt;1,"",IF(I2235="SBJ","CB","?"))</f>
        <v/>
      </c>
      <c r="I2235" s="13" t="str">
        <f aca="false">IF(OR(E2235="",E2235="!!!",F2235="NEW"),"",INDEX(B$2:B2234,-1+SUMPRODUCT(MAX(ROW(E$2:E2234)*(E2235=E$2:E2234)))))</f>
        <v/>
      </c>
      <c r="J2235" s="14" t="str">
        <f aca="true">IF(OR(E2235="",E2235="!!!",F2235="NEW"),"",COUNTBLANK(OFFSET(A$1,,,SUMPRODUCT(MAX(ROW(E$2:E2235)*(E2235=E$2:E2235)))))-COUNTBLANK(OFFSET(A$1,,,SUMPRODUCT(MAX(ROW(E$1:E2234)*(E2235=E$1:E2234))))))</f>
        <v/>
      </c>
      <c r="K2235" s="14" t="str">
        <f aca="false">IF(OR(E2235="",E2235="!!!",F2235="NEW"),"",INDEX(J$1:J2234,SUMPRODUCT(MAX(ROW(E$1:E2234)*(E2235=E$1:E2234)))))</f>
        <v/>
      </c>
      <c r="L2235" s="15"/>
    </row>
    <row r="2236" customFormat="false" ht="12.75" hidden="false" customHeight="false" outlineLevel="0" collapsed="false">
      <c r="A2236" s="0" t="s">
        <v>437</v>
      </c>
      <c r="B2236" s="0" t="s">
        <v>64</v>
      </c>
      <c r="C2236" s="0" t="s">
        <v>111</v>
      </c>
      <c r="D2236" s="0" t="s">
        <v>29</v>
      </c>
      <c r="E2236" s="9" t="str">
        <f aca="false">IF(D2236="?OLD","!!!","")</f>
        <v>!!!</v>
      </c>
      <c r="F2236" s="10" t="str">
        <f aca="false">IF(OR(E2236="",E2236="!!!"),"",IF(NOT(ISNA(VLOOKUP(E2236,E$1:E2235,1,FALSE()))),"OLD",IF(AND(E2236&lt;&gt;"",E2236&lt;&gt;"!!!"),"NEW","")))</f>
        <v/>
      </c>
      <c r="G2236" s="11" t="str">
        <f aca="false">IF(OR(E2236="",E2236="!!!"),"",IF(OR(J2236=0,AND(J2236=1,K2236=1),AND(J2236=1,I2236="SBJ"),AND(J2236=1,I2236=0)),"?IN_FOCUS",IF(J2236&lt;=2,"?ACTIVATED",IF(J2236&lt;&gt;"","?FAMILIAR",IF(F2236="NEW",IF(ISNA(VLOOKUP(E2236,#REF!,1,FALSE())),"?TYPE_IDENTIFIABLE","?REFERENTIAL"),"_")))))</f>
        <v/>
      </c>
      <c r="H2236" s="12" t="str">
        <f aca="false">IF(J2236&lt;&gt;1,"",IF(I2236="SBJ","CB","?"))</f>
        <v/>
      </c>
      <c r="I2236" s="13" t="str">
        <f aca="false">IF(OR(E2236="",E2236="!!!",F2236="NEW"),"",INDEX(B$2:B2235,-1+SUMPRODUCT(MAX(ROW(E$2:E2235)*(E2236=E$2:E2235)))))</f>
        <v/>
      </c>
      <c r="J2236" s="14" t="str">
        <f aca="true">IF(OR(E2236="",E2236="!!!",F2236="NEW"),"",COUNTBLANK(OFFSET(A$1,,,SUMPRODUCT(MAX(ROW(E$2:E2236)*(E2236=E$2:E2236)))))-COUNTBLANK(OFFSET(A$1,,,SUMPRODUCT(MAX(ROW(E$1:E2235)*(E2236=E$1:E2235))))))</f>
        <v/>
      </c>
      <c r="K2236" s="14" t="str">
        <f aca="false">IF(OR(E2236="",E2236="!!!",F2236="NEW"),"",INDEX(J$1:J2235,SUMPRODUCT(MAX(ROW(E$1:E2235)*(E2236=E$1:E2235)))))</f>
        <v/>
      </c>
      <c r="L2236" s="15"/>
    </row>
    <row r="2237" customFormat="false" ht="12.75" hidden="false" customHeight="false" outlineLevel="0" collapsed="false">
      <c r="A2237" s="0" t="s">
        <v>19</v>
      </c>
      <c r="E2237" s="9" t="str">
        <f aca="false">IF(D2237="?OLD","!!!","")</f>
        <v/>
      </c>
      <c r="F2237" s="10" t="str">
        <f aca="false">IF(OR(E2237="",E2237="!!!"),"",IF(NOT(ISNA(VLOOKUP(E2237,E$1:E2236,1,FALSE()))),"OLD",IF(AND(E2237&lt;&gt;"",E2237&lt;&gt;"!!!"),"NEW","")))</f>
        <v/>
      </c>
      <c r="G2237" s="11" t="str">
        <f aca="false">IF(OR(E2237="",E2237="!!!"),"",IF(OR(J2237=0,AND(J2237=1,K2237=1),AND(J2237=1,I2237="SBJ"),AND(J2237=1,I2237=0)),"?IN_FOCUS",IF(J2237&lt;=2,"?ACTIVATED",IF(J2237&lt;&gt;"","?FAMILIAR",IF(F2237="NEW",IF(ISNA(VLOOKUP(E2237,#REF!,1,FALSE())),"?TYPE_IDENTIFIABLE","?REFERENTIAL"),"_")))))</f>
        <v/>
      </c>
      <c r="H2237" s="12" t="str">
        <f aca="false">IF(J2237&lt;&gt;1,"",IF(I2237="SBJ","CB","?"))</f>
        <v/>
      </c>
      <c r="I2237" s="13" t="str">
        <f aca="false">IF(OR(E2237="",E2237="!!!",F2237="NEW"),"",INDEX(B$2:B2236,-1+SUMPRODUCT(MAX(ROW(E$2:E2236)*(E2237=E$2:E2236)))))</f>
        <v/>
      </c>
      <c r="J2237" s="14" t="str">
        <f aca="true">IF(OR(E2237="",E2237="!!!",F2237="NEW"),"",COUNTBLANK(OFFSET(A$1,,,SUMPRODUCT(MAX(ROW(E$2:E2237)*(E2237=E$2:E2237)))))-COUNTBLANK(OFFSET(A$1,,,SUMPRODUCT(MAX(ROW(E$1:E2236)*(E2237=E$1:E2236))))))</f>
        <v/>
      </c>
      <c r="K2237" s="14" t="str">
        <f aca="false">IF(OR(E2237="",E2237="!!!",F2237="NEW"),"",INDEX(J$1:J2236,SUMPRODUCT(MAX(ROW(E$1:E2236)*(E2237=E$1:E2236)))))</f>
        <v/>
      </c>
      <c r="L2237" s="15"/>
    </row>
    <row r="2238" customFormat="false" ht="12.75" hidden="false" customHeight="false" outlineLevel="0" collapsed="false">
      <c r="A2238" s="0" t="s">
        <v>329</v>
      </c>
      <c r="B2238" s="0" t="s">
        <v>54</v>
      </c>
      <c r="C2238" s="0" t="s">
        <v>120</v>
      </c>
      <c r="E2238" s="9" t="str">
        <f aca="false">IF(D2238="?OLD","!!!","")</f>
        <v/>
      </c>
      <c r="F2238" s="10" t="str">
        <f aca="false">IF(OR(E2238="",E2238="!!!"),"",IF(NOT(ISNA(VLOOKUP(E2238,E$1:E2237,1,FALSE()))),"OLD",IF(AND(E2238&lt;&gt;"",E2238&lt;&gt;"!!!"),"NEW","")))</f>
        <v/>
      </c>
      <c r="G2238" s="11" t="str">
        <f aca="false">IF(OR(E2238="",E2238="!!!"),"",IF(OR(J2238=0,AND(J2238=1,K2238=1),AND(J2238=1,I2238="SBJ"),AND(J2238=1,I2238=0)),"?IN_FOCUS",IF(J2238&lt;=2,"?ACTIVATED",IF(J2238&lt;&gt;"","?FAMILIAR",IF(F2238="NEW",IF(ISNA(VLOOKUP(E2238,#REF!,1,FALSE())),"?TYPE_IDENTIFIABLE","?REFERENTIAL"),"_")))))</f>
        <v/>
      </c>
      <c r="H2238" s="12" t="str">
        <f aca="false">IF(J2238&lt;&gt;1,"",IF(I2238="SBJ","CB","?"))</f>
        <v/>
      </c>
      <c r="I2238" s="13" t="str">
        <f aca="false">IF(OR(E2238="",E2238="!!!",F2238="NEW"),"",INDEX(B$2:B2237,-1+SUMPRODUCT(MAX(ROW(E$2:E2237)*(E2238=E$2:E2237)))))</f>
        <v/>
      </c>
      <c r="J2238" s="14" t="str">
        <f aca="true">IF(OR(E2238="",E2238="!!!",F2238="NEW"),"",COUNTBLANK(OFFSET(A$1,,,SUMPRODUCT(MAX(ROW(E$2:E2238)*(E2238=E$2:E2238)))))-COUNTBLANK(OFFSET(A$1,,,SUMPRODUCT(MAX(ROW(E$1:E2237)*(E2238=E$1:E2237))))))</f>
        <v/>
      </c>
      <c r="K2238" s="14" t="str">
        <f aca="false">IF(OR(E2238="",E2238="!!!",F2238="NEW"),"",INDEX(J$1:J2237,SUMPRODUCT(MAX(ROW(E$1:E2237)*(E2238=E$1:E2237)))))</f>
        <v/>
      </c>
      <c r="L2238" s="15"/>
    </row>
    <row r="2239" customFormat="false" ht="12.75" hidden="false" customHeight="false" outlineLevel="0" collapsed="false">
      <c r="A2239" s="0" t="s">
        <v>73</v>
      </c>
      <c r="E2239" s="9" t="str">
        <f aca="false">IF(D2239="?OLD","!!!","")</f>
        <v/>
      </c>
      <c r="F2239" s="10" t="str">
        <f aca="false">IF(OR(E2239="",E2239="!!!"),"",IF(NOT(ISNA(VLOOKUP(E2239,E$1:E2238,1,FALSE()))),"OLD",IF(AND(E2239&lt;&gt;"",E2239&lt;&gt;"!!!"),"NEW","")))</f>
        <v/>
      </c>
      <c r="G2239" s="11" t="str">
        <f aca="false">IF(OR(E2239="",E2239="!!!"),"",IF(OR(J2239=0,AND(J2239=1,K2239=1),AND(J2239=1,I2239="SBJ"),AND(J2239=1,I2239=0)),"?IN_FOCUS",IF(J2239&lt;=2,"?ACTIVATED",IF(J2239&lt;&gt;"","?FAMILIAR",IF(F2239="NEW",IF(ISNA(VLOOKUP(E2239,#REF!,1,FALSE())),"?TYPE_IDENTIFIABLE","?REFERENTIAL"),"_")))))</f>
        <v/>
      </c>
      <c r="H2239" s="12" t="str">
        <f aca="false">IF(J2239&lt;&gt;1,"",IF(I2239="SBJ","CB","?"))</f>
        <v/>
      </c>
      <c r="I2239" s="13" t="str">
        <f aca="false">IF(OR(E2239="",E2239="!!!",F2239="NEW"),"",INDEX(B$2:B2238,-1+SUMPRODUCT(MAX(ROW(E$2:E2238)*(E2239=E$2:E2238)))))</f>
        <v/>
      </c>
      <c r="J2239" s="14" t="str">
        <f aca="true">IF(OR(E2239="",E2239="!!!",F2239="NEW"),"",COUNTBLANK(OFFSET(A$1,,,SUMPRODUCT(MAX(ROW(E$2:E2239)*(E2239=E$2:E2239)))))-COUNTBLANK(OFFSET(A$1,,,SUMPRODUCT(MAX(ROW(E$1:E2238)*(E2239=E$1:E2238))))))</f>
        <v/>
      </c>
      <c r="K2239" s="14" t="str">
        <f aca="false">IF(OR(E2239="",E2239="!!!",F2239="NEW"),"",INDEX(J$1:J2238,SUMPRODUCT(MAX(ROW(E$1:E2238)*(E2239=E$1:E2238)))))</f>
        <v/>
      </c>
      <c r="L2239" s="15"/>
    </row>
    <row r="2240" customFormat="false" ht="12.75" hidden="false" customHeight="false" outlineLevel="0" collapsed="false">
      <c r="E2240" s="9" t="str">
        <f aca="false">IF(D2240="?OLD","!!!","")</f>
        <v/>
      </c>
      <c r="F2240" s="10" t="str">
        <f aca="false">IF(OR(E2240="",E2240="!!!"),"",IF(NOT(ISNA(VLOOKUP(E2240,E$1:E2239,1,FALSE()))),"OLD",IF(AND(E2240&lt;&gt;"",E2240&lt;&gt;"!!!"),"NEW","")))</f>
        <v/>
      </c>
      <c r="G2240" s="11" t="str">
        <f aca="false">IF(OR(E2240="",E2240="!!!"),"",IF(OR(J2240=0,AND(J2240=1,K2240=1),AND(J2240=1,I2240="SBJ"),AND(J2240=1,I2240=0)),"?IN_FOCUS",IF(J2240&lt;=2,"?ACTIVATED",IF(J2240&lt;&gt;"","?FAMILIAR",IF(F2240="NEW",IF(ISNA(VLOOKUP(E2240,#REF!,1,FALSE())),"?TYPE_IDENTIFIABLE","?REFERENTIAL"),"_")))))</f>
        <v/>
      </c>
      <c r="H2240" s="12" t="str">
        <f aca="false">IF(J2240&lt;&gt;1,"",IF(I2240="SBJ","CB","?"))</f>
        <v/>
      </c>
      <c r="I2240" s="13" t="str">
        <f aca="false">IF(OR(E2240="",E2240="!!!",F2240="NEW"),"",INDEX(B$2:B2239,-1+SUMPRODUCT(MAX(ROW(E$2:E2239)*(E2240=E$2:E2239)))))</f>
        <v/>
      </c>
      <c r="J2240" s="14" t="str">
        <f aca="true">IF(OR(E2240="",E2240="!!!",F2240="NEW"),"",COUNTBLANK(OFFSET(A$1,,,SUMPRODUCT(MAX(ROW(E$2:E2240)*(E2240=E$2:E2240)))))-COUNTBLANK(OFFSET(A$1,,,SUMPRODUCT(MAX(ROW(E$1:E2239)*(E2240=E$1:E2239))))))</f>
        <v/>
      </c>
      <c r="K2240" s="14" t="str">
        <f aca="false">IF(OR(E2240="",E2240="!!!",F2240="NEW"),"",INDEX(J$1:J2239,SUMPRODUCT(MAX(ROW(E$1:E2239)*(E2240=E$1:E2239)))))</f>
        <v/>
      </c>
      <c r="L2240" s="15"/>
    </row>
    <row r="2241" customFormat="false" ht="12.75" hidden="false" customHeight="false" outlineLevel="0" collapsed="false">
      <c r="A2241" s="0" t="s">
        <v>868</v>
      </c>
      <c r="E2241" s="9" t="str">
        <f aca="false">IF(D2241="?OLD","!!!","")</f>
        <v/>
      </c>
      <c r="F2241" s="10" t="str">
        <f aca="false">IF(OR(E2241="",E2241="!!!"),"",IF(NOT(ISNA(VLOOKUP(E2241,E$1:E2240,1,FALSE()))),"OLD",IF(AND(E2241&lt;&gt;"",E2241&lt;&gt;"!!!"),"NEW","")))</f>
        <v/>
      </c>
      <c r="G2241" s="11" t="str">
        <f aca="false">IF(OR(E2241="",E2241="!!!"),"",IF(OR(J2241=0,AND(J2241=1,K2241=1),AND(J2241=1,I2241="SBJ"),AND(J2241=1,I2241=0)),"?IN_FOCUS",IF(J2241&lt;=2,"?ACTIVATED",IF(J2241&lt;&gt;"","?FAMILIAR",IF(F2241="NEW",IF(ISNA(VLOOKUP(E2241,#REF!,1,FALSE())),"?TYPE_IDENTIFIABLE","?REFERENTIAL"),"_")))))</f>
        <v/>
      </c>
      <c r="H2241" s="12" t="str">
        <f aca="false">IF(J2241&lt;&gt;1,"",IF(I2241="SBJ","CB","?"))</f>
        <v/>
      </c>
      <c r="I2241" s="13" t="str">
        <f aca="false">IF(OR(E2241="",E2241="!!!",F2241="NEW"),"",INDEX(B$2:B2240,-1+SUMPRODUCT(MAX(ROW(E$2:E2240)*(E2241=E$2:E2240)))))</f>
        <v/>
      </c>
      <c r="J2241" s="14" t="str">
        <f aca="true">IF(OR(E2241="",E2241="!!!",F2241="NEW"),"",COUNTBLANK(OFFSET(A$1,,,SUMPRODUCT(MAX(ROW(E$2:E2241)*(E2241=E$2:E2241)))))-COUNTBLANK(OFFSET(A$1,,,SUMPRODUCT(MAX(ROW(E$1:E2240)*(E2241=E$1:E2240))))))</f>
        <v/>
      </c>
      <c r="K2241" s="14" t="str">
        <f aca="false">IF(OR(E2241="",E2241="!!!",F2241="NEW"),"",INDEX(J$1:J2240,SUMPRODUCT(MAX(ROW(E$1:E2240)*(E2241=E$1:E2240)))))</f>
        <v/>
      </c>
      <c r="L2241" s="15"/>
    </row>
    <row r="2242" customFormat="false" ht="12.75" hidden="false" customHeight="false" outlineLevel="0" collapsed="false">
      <c r="A2242" s="0" t="s">
        <v>869</v>
      </c>
      <c r="E2242" s="9" t="str">
        <f aca="false">IF(D2242="?OLD","!!!","")</f>
        <v/>
      </c>
      <c r="F2242" s="10" t="str">
        <f aca="false">IF(OR(E2242="",E2242="!!!"),"",IF(NOT(ISNA(VLOOKUP(E2242,E$1:E2241,1,FALSE()))),"OLD",IF(AND(E2242&lt;&gt;"",E2242&lt;&gt;"!!!"),"NEW","")))</f>
        <v/>
      </c>
      <c r="G2242" s="11" t="str">
        <f aca="false">IF(OR(E2242="",E2242="!!!"),"",IF(OR(J2242=0,AND(J2242=1,K2242=1),AND(J2242=1,I2242="SBJ"),AND(J2242=1,I2242=0)),"?IN_FOCUS",IF(J2242&lt;=2,"?ACTIVATED",IF(J2242&lt;&gt;"","?FAMILIAR",IF(F2242="NEW",IF(ISNA(VLOOKUP(E2242,#REF!,1,FALSE())),"?TYPE_IDENTIFIABLE","?REFERENTIAL"),"_")))))</f>
        <v/>
      </c>
      <c r="H2242" s="12" t="str">
        <f aca="false">IF(J2242&lt;&gt;1,"",IF(I2242="SBJ","CB","?"))</f>
        <v/>
      </c>
      <c r="I2242" s="13" t="str">
        <f aca="false">IF(OR(E2242="",E2242="!!!",F2242="NEW"),"",INDEX(B$2:B2241,-1+SUMPRODUCT(MAX(ROW(E$2:E2241)*(E2242=E$2:E2241)))))</f>
        <v/>
      </c>
      <c r="J2242" s="14" t="str">
        <f aca="true">IF(OR(E2242="",E2242="!!!",F2242="NEW"),"",COUNTBLANK(OFFSET(A$1,,,SUMPRODUCT(MAX(ROW(E$2:E2242)*(E2242=E$2:E2242)))))-COUNTBLANK(OFFSET(A$1,,,SUMPRODUCT(MAX(ROW(E$1:E2241)*(E2242=E$1:E2241))))))</f>
        <v/>
      </c>
      <c r="K2242" s="14" t="str">
        <f aca="false">IF(OR(E2242="",E2242="!!!",F2242="NEW"),"",INDEX(J$1:J2241,SUMPRODUCT(MAX(ROW(E$1:E2241)*(E2242=E$1:E2241)))))</f>
        <v/>
      </c>
      <c r="L2242" s="15"/>
    </row>
    <row r="2243" customFormat="false" ht="12.75" hidden="false" customHeight="false" outlineLevel="0" collapsed="false">
      <c r="A2243" s="0" t="s">
        <v>133</v>
      </c>
      <c r="E2243" s="9" t="str">
        <f aca="false">IF(D2243="?OLD","!!!","")</f>
        <v/>
      </c>
      <c r="F2243" s="10" t="str">
        <f aca="false">IF(OR(E2243="",E2243="!!!"),"",IF(NOT(ISNA(VLOOKUP(E2243,E$1:E2242,1,FALSE()))),"OLD",IF(AND(E2243&lt;&gt;"",E2243&lt;&gt;"!!!"),"NEW","")))</f>
        <v/>
      </c>
      <c r="G2243" s="11" t="str">
        <f aca="false">IF(OR(E2243="",E2243="!!!"),"",IF(OR(J2243=0,AND(J2243=1,K2243=1),AND(J2243=1,I2243="SBJ"),AND(J2243=1,I2243=0)),"?IN_FOCUS",IF(J2243&lt;=2,"?ACTIVATED",IF(J2243&lt;&gt;"","?FAMILIAR",IF(F2243="NEW",IF(ISNA(VLOOKUP(E2243,#REF!,1,FALSE())),"?TYPE_IDENTIFIABLE","?REFERENTIAL"),"_")))))</f>
        <v/>
      </c>
      <c r="H2243" s="12" t="str">
        <f aca="false">IF(J2243&lt;&gt;1,"",IF(I2243="SBJ","CB","?"))</f>
        <v/>
      </c>
      <c r="I2243" s="13" t="str">
        <f aca="false">IF(OR(E2243="",E2243="!!!",F2243="NEW"),"",INDEX(B$2:B2242,-1+SUMPRODUCT(MAX(ROW(E$2:E2242)*(E2243=E$2:E2242)))))</f>
        <v/>
      </c>
      <c r="J2243" s="14" t="str">
        <f aca="true">IF(OR(E2243="",E2243="!!!",F2243="NEW"),"",COUNTBLANK(OFFSET(A$1,,,SUMPRODUCT(MAX(ROW(E$2:E2243)*(E2243=E$2:E2243)))))-COUNTBLANK(OFFSET(A$1,,,SUMPRODUCT(MAX(ROW(E$1:E2242)*(E2243=E$1:E2242))))))</f>
        <v/>
      </c>
      <c r="K2243" s="14" t="str">
        <f aca="false">IF(OR(E2243="",E2243="!!!",F2243="NEW"),"",INDEX(J$1:J2242,SUMPRODUCT(MAX(ROW(E$1:E2242)*(E2243=E$1:E2242)))))</f>
        <v/>
      </c>
      <c r="L2243" s="15"/>
    </row>
    <row r="2244" customFormat="false" ht="12.75" hidden="false" customHeight="false" outlineLevel="0" collapsed="false">
      <c r="A2244" s="0" t="s">
        <v>870</v>
      </c>
      <c r="B2244" s="0" t="s">
        <v>62</v>
      </c>
      <c r="C2244" s="0" t="s">
        <v>120</v>
      </c>
      <c r="E2244" s="9" t="str">
        <f aca="false">IF(D2244="?OLD","!!!","")</f>
        <v/>
      </c>
      <c r="F2244" s="10" t="str">
        <f aca="false">IF(OR(E2244="",E2244="!!!"),"",IF(NOT(ISNA(VLOOKUP(E2244,E$1:E2243,1,FALSE()))),"OLD",IF(AND(E2244&lt;&gt;"",E2244&lt;&gt;"!!!"),"NEW","")))</f>
        <v/>
      </c>
      <c r="G2244" s="11" t="str">
        <f aca="false">IF(OR(E2244="",E2244="!!!"),"",IF(OR(J2244=0,AND(J2244=1,K2244=1),AND(J2244=1,I2244="SBJ"),AND(J2244=1,I2244=0)),"?IN_FOCUS",IF(J2244&lt;=2,"?ACTIVATED",IF(J2244&lt;&gt;"","?FAMILIAR",IF(F2244="NEW",IF(ISNA(VLOOKUP(E2244,#REF!,1,FALSE())),"?TYPE_IDENTIFIABLE","?REFERENTIAL"),"_")))))</f>
        <v/>
      </c>
      <c r="H2244" s="12" t="str">
        <f aca="false">IF(J2244&lt;&gt;1,"",IF(I2244="SBJ","CB","?"))</f>
        <v/>
      </c>
      <c r="I2244" s="13" t="str">
        <f aca="false">IF(OR(E2244="",E2244="!!!",F2244="NEW"),"",INDEX(B$2:B2243,-1+SUMPRODUCT(MAX(ROW(E$2:E2243)*(E2244=E$2:E2243)))))</f>
        <v/>
      </c>
      <c r="J2244" s="14" t="str">
        <f aca="true">IF(OR(E2244="",E2244="!!!",F2244="NEW"),"",COUNTBLANK(OFFSET(A$1,,,SUMPRODUCT(MAX(ROW(E$2:E2244)*(E2244=E$2:E2244)))))-COUNTBLANK(OFFSET(A$1,,,SUMPRODUCT(MAX(ROW(E$1:E2243)*(E2244=E$1:E2243))))))</f>
        <v/>
      </c>
      <c r="K2244" s="14" t="str">
        <f aca="false">IF(OR(E2244="",E2244="!!!",F2244="NEW"),"",INDEX(J$1:J2243,SUMPRODUCT(MAX(ROW(E$1:E2243)*(E2244=E$1:E2243)))))</f>
        <v/>
      </c>
      <c r="L2244" s="15"/>
    </row>
    <row r="2245" customFormat="false" ht="12.75" hidden="false" customHeight="false" outlineLevel="0" collapsed="false">
      <c r="A2245" s="0" t="s">
        <v>66</v>
      </c>
      <c r="E2245" s="9" t="str">
        <f aca="false">IF(D2245="?OLD","!!!","")</f>
        <v/>
      </c>
      <c r="F2245" s="10" t="str">
        <f aca="false">IF(OR(E2245="",E2245="!!!"),"",IF(NOT(ISNA(VLOOKUP(E2245,E$1:E2244,1,FALSE()))),"OLD",IF(AND(E2245&lt;&gt;"",E2245&lt;&gt;"!!!"),"NEW","")))</f>
        <v/>
      </c>
      <c r="G2245" s="11" t="str">
        <f aca="false">IF(OR(E2245="",E2245="!!!"),"",IF(OR(J2245=0,AND(J2245=1,K2245=1),AND(J2245=1,I2245="SBJ"),AND(J2245=1,I2245=0)),"?IN_FOCUS",IF(J2245&lt;=2,"?ACTIVATED",IF(J2245&lt;&gt;"","?FAMILIAR",IF(F2245="NEW",IF(ISNA(VLOOKUP(E2245,#REF!,1,FALSE())),"?TYPE_IDENTIFIABLE","?REFERENTIAL"),"_")))))</f>
        <v/>
      </c>
      <c r="H2245" s="12" t="str">
        <f aca="false">IF(J2245&lt;&gt;1,"",IF(I2245="SBJ","CB","?"))</f>
        <v/>
      </c>
      <c r="I2245" s="13" t="str">
        <f aca="false">IF(OR(E2245="",E2245="!!!",F2245="NEW"),"",INDEX(B$2:B2244,-1+SUMPRODUCT(MAX(ROW(E$2:E2244)*(E2245=E$2:E2244)))))</f>
        <v/>
      </c>
      <c r="J2245" s="14" t="str">
        <f aca="true">IF(OR(E2245="",E2245="!!!",F2245="NEW"),"",COUNTBLANK(OFFSET(A$1,,,SUMPRODUCT(MAX(ROW(E$2:E2245)*(E2245=E$2:E2245)))))-COUNTBLANK(OFFSET(A$1,,,SUMPRODUCT(MAX(ROW(E$1:E2244)*(E2245=E$1:E2244))))))</f>
        <v/>
      </c>
      <c r="K2245" s="14" t="str">
        <f aca="false">IF(OR(E2245="",E2245="!!!",F2245="NEW"),"",INDEX(J$1:J2244,SUMPRODUCT(MAX(ROW(E$1:E2244)*(E2245=E$1:E2244)))))</f>
        <v/>
      </c>
      <c r="L2245" s="15"/>
    </row>
    <row r="2246" customFormat="false" ht="12.75" hidden="false" customHeight="false" outlineLevel="0" collapsed="false">
      <c r="A2246" s="0" t="s">
        <v>327</v>
      </c>
      <c r="E2246" s="9" t="str">
        <f aca="false">IF(D2246="?OLD","!!!","")</f>
        <v/>
      </c>
      <c r="F2246" s="10" t="str">
        <f aca="false">IF(OR(E2246="",E2246="!!!"),"",IF(NOT(ISNA(VLOOKUP(E2246,E$1:E2245,1,FALSE()))),"OLD",IF(AND(E2246&lt;&gt;"",E2246&lt;&gt;"!!!"),"NEW","")))</f>
        <v/>
      </c>
      <c r="G2246" s="11" t="str">
        <f aca="false">IF(OR(E2246="",E2246="!!!"),"",IF(OR(J2246=0,AND(J2246=1,K2246=1),AND(J2246=1,I2246="SBJ"),AND(J2246=1,I2246=0)),"?IN_FOCUS",IF(J2246&lt;=2,"?ACTIVATED",IF(J2246&lt;&gt;"","?FAMILIAR",IF(F2246="NEW",IF(ISNA(VLOOKUP(E2246,#REF!,1,FALSE())),"?TYPE_IDENTIFIABLE","?REFERENTIAL"),"_")))))</f>
        <v/>
      </c>
      <c r="H2246" s="12" t="str">
        <f aca="false">IF(J2246&lt;&gt;1,"",IF(I2246="SBJ","CB","?"))</f>
        <v/>
      </c>
      <c r="I2246" s="13" t="str">
        <f aca="false">IF(OR(E2246="",E2246="!!!",F2246="NEW"),"",INDEX(B$2:B2245,-1+SUMPRODUCT(MAX(ROW(E$2:E2245)*(E2246=E$2:E2245)))))</f>
        <v/>
      </c>
      <c r="J2246" s="14" t="str">
        <f aca="true">IF(OR(E2246="",E2246="!!!",F2246="NEW"),"",COUNTBLANK(OFFSET(A$1,,,SUMPRODUCT(MAX(ROW(E$2:E2246)*(E2246=E$2:E2246)))))-COUNTBLANK(OFFSET(A$1,,,SUMPRODUCT(MAX(ROW(E$1:E2245)*(E2246=E$1:E2245))))))</f>
        <v/>
      </c>
      <c r="K2246" s="14" t="str">
        <f aca="false">IF(OR(E2246="",E2246="!!!",F2246="NEW"),"",INDEX(J$1:J2245,SUMPRODUCT(MAX(ROW(E$1:E2245)*(E2246=E$1:E2245)))))</f>
        <v/>
      </c>
      <c r="L2246" s="15"/>
    </row>
    <row r="2247" customFormat="false" ht="12.75" hidden="false" customHeight="false" outlineLevel="0" collapsed="false">
      <c r="A2247" s="0" t="s">
        <v>839</v>
      </c>
      <c r="E2247" s="9" t="str">
        <f aca="false">IF(D2247="?OLD","!!!","")</f>
        <v/>
      </c>
      <c r="F2247" s="10" t="str">
        <f aca="false">IF(OR(E2247="",E2247="!!!"),"",IF(NOT(ISNA(VLOOKUP(E2247,E$1:E2246,1,FALSE()))),"OLD",IF(AND(E2247&lt;&gt;"",E2247&lt;&gt;"!!!"),"NEW","")))</f>
        <v/>
      </c>
      <c r="G2247" s="11" t="str">
        <f aca="false">IF(OR(E2247="",E2247="!!!"),"",IF(OR(J2247=0,AND(J2247=1,K2247=1),AND(J2247=1,I2247="SBJ"),AND(J2247=1,I2247=0)),"?IN_FOCUS",IF(J2247&lt;=2,"?ACTIVATED",IF(J2247&lt;&gt;"","?FAMILIAR",IF(F2247="NEW",IF(ISNA(VLOOKUP(E2247,#REF!,1,FALSE())),"?TYPE_IDENTIFIABLE","?REFERENTIAL"),"_")))))</f>
        <v/>
      </c>
      <c r="H2247" s="12" t="str">
        <f aca="false">IF(J2247&lt;&gt;1,"",IF(I2247="SBJ","CB","?"))</f>
        <v/>
      </c>
      <c r="I2247" s="13" t="str">
        <f aca="false">IF(OR(E2247="",E2247="!!!",F2247="NEW"),"",INDEX(B$2:B2246,-1+SUMPRODUCT(MAX(ROW(E$2:E2246)*(E2247=E$2:E2246)))))</f>
        <v/>
      </c>
      <c r="J2247" s="14" t="str">
        <f aca="true">IF(OR(E2247="",E2247="!!!",F2247="NEW"),"",COUNTBLANK(OFFSET(A$1,,,SUMPRODUCT(MAX(ROW(E$2:E2247)*(E2247=E$2:E2247)))))-COUNTBLANK(OFFSET(A$1,,,SUMPRODUCT(MAX(ROW(E$1:E2246)*(E2247=E$1:E2246))))))</f>
        <v/>
      </c>
      <c r="K2247" s="14" t="str">
        <f aca="false">IF(OR(E2247="",E2247="!!!",F2247="NEW"),"",INDEX(J$1:J2246,SUMPRODUCT(MAX(ROW(E$1:E2246)*(E2247=E$1:E2246)))))</f>
        <v/>
      </c>
      <c r="L2247" s="15"/>
    </row>
    <row r="2248" customFormat="false" ht="12.75" hidden="false" customHeight="false" outlineLevel="0" collapsed="false">
      <c r="A2248" s="0" t="s">
        <v>871</v>
      </c>
      <c r="B2248" s="0" t="s">
        <v>14</v>
      </c>
      <c r="C2248" s="0" t="s">
        <v>111</v>
      </c>
      <c r="D2248" s="0" t="s">
        <v>29</v>
      </c>
      <c r="E2248" s="9" t="str">
        <f aca="false">IF(D2248="?OLD","!!!","")</f>
        <v>!!!</v>
      </c>
      <c r="F2248" s="10" t="str">
        <f aca="false">IF(OR(E2248="",E2248="!!!"),"",IF(NOT(ISNA(VLOOKUP(E2248,E$1:E2247,1,FALSE()))),"OLD",IF(AND(E2248&lt;&gt;"",E2248&lt;&gt;"!!!"),"NEW","")))</f>
        <v/>
      </c>
      <c r="G2248" s="11" t="str">
        <f aca="false">IF(OR(E2248="",E2248="!!!"),"",IF(OR(J2248=0,AND(J2248=1,K2248=1),AND(J2248=1,I2248="SBJ"),AND(J2248=1,I2248=0)),"?IN_FOCUS",IF(J2248&lt;=2,"?ACTIVATED",IF(J2248&lt;&gt;"","?FAMILIAR",IF(F2248="NEW",IF(ISNA(VLOOKUP(E2248,#REF!,1,FALSE())),"?TYPE_IDENTIFIABLE","?REFERENTIAL"),"_")))))</f>
        <v/>
      </c>
      <c r="H2248" s="12" t="str">
        <f aca="false">IF(J2248&lt;&gt;1,"",IF(I2248="SBJ","CB","?"))</f>
        <v/>
      </c>
      <c r="I2248" s="13" t="str">
        <f aca="false">IF(OR(E2248="",E2248="!!!",F2248="NEW"),"",INDEX(B$2:B2247,-1+SUMPRODUCT(MAX(ROW(E$2:E2247)*(E2248=E$2:E2247)))))</f>
        <v/>
      </c>
      <c r="J2248" s="14" t="str">
        <f aca="true">IF(OR(E2248="",E2248="!!!",F2248="NEW"),"",COUNTBLANK(OFFSET(A$1,,,SUMPRODUCT(MAX(ROW(E$2:E2248)*(E2248=E$2:E2248)))))-COUNTBLANK(OFFSET(A$1,,,SUMPRODUCT(MAX(ROW(E$1:E2247)*(E2248=E$1:E2247))))))</f>
        <v/>
      </c>
      <c r="K2248" s="14" t="str">
        <f aca="false">IF(OR(E2248="",E2248="!!!",F2248="NEW"),"",INDEX(J$1:J2247,SUMPRODUCT(MAX(ROW(E$1:E2247)*(E2248=E$1:E2247)))))</f>
        <v/>
      </c>
      <c r="L2248" s="15"/>
    </row>
    <row r="2249" customFormat="false" ht="12.75" hidden="false" customHeight="false" outlineLevel="0" collapsed="false">
      <c r="A2249" s="0" t="s">
        <v>48</v>
      </c>
      <c r="E2249" s="9" t="str">
        <f aca="false">IF(D2249="?OLD","!!!","")</f>
        <v/>
      </c>
      <c r="F2249" s="10" t="str">
        <f aca="false">IF(OR(E2249="",E2249="!!!"),"",IF(NOT(ISNA(VLOOKUP(E2249,E$1:E2248,1,FALSE()))),"OLD",IF(AND(E2249&lt;&gt;"",E2249&lt;&gt;"!!!"),"NEW","")))</f>
        <v/>
      </c>
      <c r="G2249" s="11" t="str">
        <f aca="false">IF(OR(E2249="",E2249="!!!"),"",IF(OR(J2249=0,AND(J2249=1,K2249=1),AND(J2249=1,I2249="SBJ"),AND(J2249=1,I2249=0)),"?IN_FOCUS",IF(J2249&lt;=2,"?ACTIVATED",IF(J2249&lt;&gt;"","?FAMILIAR",IF(F2249="NEW",IF(ISNA(VLOOKUP(E2249,#REF!,1,FALSE())),"?TYPE_IDENTIFIABLE","?REFERENTIAL"),"_")))))</f>
        <v/>
      </c>
      <c r="H2249" s="12" t="str">
        <f aca="false">IF(J2249&lt;&gt;1,"",IF(I2249="SBJ","CB","?"))</f>
        <v/>
      </c>
      <c r="I2249" s="13" t="str">
        <f aca="false">IF(OR(E2249="",E2249="!!!",F2249="NEW"),"",INDEX(B$2:B2248,-1+SUMPRODUCT(MAX(ROW(E$2:E2248)*(E2249=E$2:E2248)))))</f>
        <v/>
      </c>
      <c r="J2249" s="14" t="str">
        <f aca="true">IF(OR(E2249="",E2249="!!!",F2249="NEW"),"",COUNTBLANK(OFFSET(A$1,,,SUMPRODUCT(MAX(ROW(E$2:E2249)*(E2249=E$2:E2249)))))-COUNTBLANK(OFFSET(A$1,,,SUMPRODUCT(MAX(ROW(E$1:E2248)*(E2249=E$1:E2248))))))</f>
        <v/>
      </c>
      <c r="K2249" s="14" t="str">
        <f aca="false">IF(OR(E2249="",E2249="!!!",F2249="NEW"),"",INDEX(J$1:J2248,SUMPRODUCT(MAX(ROW(E$1:E2248)*(E2249=E$1:E2248)))))</f>
        <v/>
      </c>
      <c r="L2249" s="15"/>
    </row>
    <row r="2250" customFormat="false" ht="12.75" hidden="false" customHeight="false" outlineLevel="0" collapsed="false">
      <c r="A2250" s="0" t="s">
        <v>872</v>
      </c>
      <c r="E2250" s="9" t="str">
        <f aca="false">IF(D2250="?OLD","!!!","")</f>
        <v/>
      </c>
      <c r="F2250" s="10" t="str">
        <f aca="false">IF(OR(E2250="",E2250="!!!"),"",IF(NOT(ISNA(VLOOKUP(E2250,E$1:E2249,1,FALSE()))),"OLD",IF(AND(E2250&lt;&gt;"",E2250&lt;&gt;"!!!"),"NEW","")))</f>
        <v/>
      </c>
      <c r="G2250" s="11" t="str">
        <f aca="false">IF(OR(E2250="",E2250="!!!"),"",IF(OR(J2250=0,AND(J2250=1,K2250=1),AND(J2250=1,I2250="SBJ"),AND(J2250=1,I2250=0)),"?IN_FOCUS",IF(J2250&lt;=2,"?ACTIVATED",IF(J2250&lt;&gt;"","?FAMILIAR",IF(F2250="NEW",IF(ISNA(VLOOKUP(E2250,#REF!,1,FALSE())),"?TYPE_IDENTIFIABLE","?REFERENTIAL"),"_")))))</f>
        <v/>
      </c>
      <c r="H2250" s="12" t="str">
        <f aca="false">IF(J2250&lt;&gt;1,"",IF(I2250="SBJ","CB","?"))</f>
        <v/>
      </c>
      <c r="I2250" s="13" t="str">
        <f aca="false">IF(OR(E2250="",E2250="!!!",F2250="NEW"),"",INDEX(B$2:B2249,-1+SUMPRODUCT(MAX(ROW(E$2:E2249)*(E2250=E$2:E2249)))))</f>
        <v/>
      </c>
      <c r="J2250" s="14" t="str">
        <f aca="true">IF(OR(E2250="",E2250="!!!",F2250="NEW"),"",COUNTBLANK(OFFSET(A$1,,,SUMPRODUCT(MAX(ROW(E$2:E2250)*(E2250=E$2:E2250)))))-COUNTBLANK(OFFSET(A$1,,,SUMPRODUCT(MAX(ROW(E$1:E2249)*(E2250=E$1:E2249))))))</f>
        <v/>
      </c>
      <c r="K2250" s="14" t="str">
        <f aca="false">IF(OR(E2250="",E2250="!!!",F2250="NEW"),"",INDEX(J$1:J2249,SUMPRODUCT(MAX(ROW(E$1:E2249)*(E2250=E$1:E2249)))))</f>
        <v/>
      </c>
      <c r="L2250" s="15"/>
    </row>
    <row r="2251" customFormat="false" ht="12.75" hidden="false" customHeight="false" outlineLevel="0" collapsed="false">
      <c r="A2251" s="0" t="s">
        <v>244</v>
      </c>
      <c r="E2251" s="9" t="str">
        <f aca="false">IF(D2251="?OLD","!!!","")</f>
        <v/>
      </c>
      <c r="F2251" s="10" t="str">
        <f aca="false">IF(OR(E2251="",E2251="!!!"),"",IF(NOT(ISNA(VLOOKUP(E2251,E$1:E2250,1,FALSE()))),"OLD",IF(AND(E2251&lt;&gt;"",E2251&lt;&gt;"!!!"),"NEW","")))</f>
        <v/>
      </c>
      <c r="G2251" s="11" t="str">
        <f aca="false">IF(OR(E2251="",E2251="!!!"),"",IF(OR(J2251=0,AND(J2251=1,K2251=1),AND(J2251=1,I2251="SBJ"),AND(J2251=1,I2251=0)),"?IN_FOCUS",IF(J2251&lt;=2,"?ACTIVATED",IF(J2251&lt;&gt;"","?FAMILIAR",IF(F2251="NEW",IF(ISNA(VLOOKUP(E2251,#REF!,1,FALSE())),"?TYPE_IDENTIFIABLE","?REFERENTIAL"),"_")))))</f>
        <v/>
      </c>
      <c r="H2251" s="12" t="str">
        <f aca="false">IF(J2251&lt;&gt;1,"",IF(I2251="SBJ","CB","?"))</f>
        <v/>
      </c>
      <c r="I2251" s="13" t="str">
        <f aca="false">IF(OR(E2251="",E2251="!!!",F2251="NEW"),"",INDEX(B$2:B2250,-1+SUMPRODUCT(MAX(ROW(E$2:E2250)*(E2251=E$2:E2250)))))</f>
        <v/>
      </c>
      <c r="J2251" s="14" t="str">
        <f aca="true">IF(OR(E2251="",E2251="!!!",F2251="NEW"),"",COUNTBLANK(OFFSET(A$1,,,SUMPRODUCT(MAX(ROW(E$2:E2251)*(E2251=E$2:E2251)))))-COUNTBLANK(OFFSET(A$1,,,SUMPRODUCT(MAX(ROW(E$1:E2250)*(E2251=E$1:E2250))))))</f>
        <v/>
      </c>
      <c r="K2251" s="14" t="str">
        <f aca="false">IF(OR(E2251="",E2251="!!!",F2251="NEW"),"",INDEX(J$1:J2250,SUMPRODUCT(MAX(ROW(E$1:E2250)*(E2251=E$1:E2250)))))</f>
        <v/>
      </c>
      <c r="L2251" s="15"/>
    </row>
    <row r="2252" customFormat="false" ht="12.75" hidden="false" customHeight="false" outlineLevel="0" collapsed="false">
      <c r="A2252" s="0" t="s">
        <v>66</v>
      </c>
      <c r="E2252" s="9" t="str">
        <f aca="false">IF(D2252="?OLD","!!!","")</f>
        <v/>
      </c>
      <c r="F2252" s="10" t="str">
        <f aca="false">IF(OR(E2252="",E2252="!!!"),"",IF(NOT(ISNA(VLOOKUP(E2252,E$1:E2251,1,FALSE()))),"OLD",IF(AND(E2252&lt;&gt;"",E2252&lt;&gt;"!!!"),"NEW","")))</f>
        <v/>
      </c>
      <c r="G2252" s="11" t="str">
        <f aca="false">IF(OR(E2252="",E2252="!!!"),"",IF(OR(J2252=0,AND(J2252=1,K2252=1),AND(J2252=1,I2252="SBJ"),AND(J2252=1,I2252=0)),"?IN_FOCUS",IF(J2252&lt;=2,"?ACTIVATED",IF(J2252&lt;&gt;"","?FAMILIAR",IF(F2252="NEW",IF(ISNA(VLOOKUP(E2252,#REF!,1,FALSE())),"?TYPE_IDENTIFIABLE","?REFERENTIAL"),"_")))))</f>
        <v/>
      </c>
      <c r="H2252" s="12" t="str">
        <f aca="false">IF(J2252&lt;&gt;1,"",IF(I2252="SBJ","CB","?"))</f>
        <v/>
      </c>
      <c r="I2252" s="13" t="str">
        <f aca="false">IF(OR(E2252="",E2252="!!!",F2252="NEW"),"",INDEX(B$2:B2251,-1+SUMPRODUCT(MAX(ROW(E$2:E2251)*(E2252=E$2:E2251)))))</f>
        <v/>
      </c>
      <c r="J2252" s="14" t="str">
        <f aca="true">IF(OR(E2252="",E2252="!!!",F2252="NEW"),"",COUNTBLANK(OFFSET(A$1,,,SUMPRODUCT(MAX(ROW(E$2:E2252)*(E2252=E$2:E2252)))))-COUNTBLANK(OFFSET(A$1,,,SUMPRODUCT(MAX(ROW(E$1:E2251)*(E2252=E$1:E2251))))))</f>
        <v/>
      </c>
      <c r="K2252" s="14" t="str">
        <f aca="false">IF(OR(E2252="",E2252="!!!",F2252="NEW"),"",INDEX(J$1:J2251,SUMPRODUCT(MAX(ROW(E$1:E2251)*(E2252=E$1:E2251)))))</f>
        <v/>
      </c>
      <c r="L2252" s="15"/>
    </row>
    <row r="2253" customFormat="false" ht="12.75" hidden="false" customHeight="false" outlineLevel="0" collapsed="false">
      <c r="A2253" s="0" t="s">
        <v>357</v>
      </c>
      <c r="B2253" s="0" t="s">
        <v>37</v>
      </c>
      <c r="C2253" s="0" t="s">
        <v>111</v>
      </c>
      <c r="D2253" s="0" t="s">
        <v>29</v>
      </c>
      <c r="E2253" s="9" t="str">
        <f aca="false">IF(D2253="?OLD","!!!","")</f>
        <v>!!!</v>
      </c>
      <c r="F2253" s="10" t="str">
        <f aca="false">IF(OR(E2253="",E2253="!!!"),"",IF(NOT(ISNA(VLOOKUP(E2253,E$1:E2252,1,FALSE()))),"OLD",IF(AND(E2253&lt;&gt;"",E2253&lt;&gt;"!!!"),"NEW","")))</f>
        <v/>
      </c>
      <c r="G2253" s="11" t="str">
        <f aca="false">IF(OR(E2253="",E2253="!!!"),"",IF(OR(J2253=0,AND(J2253=1,K2253=1),AND(J2253=1,I2253="SBJ"),AND(J2253=1,I2253=0)),"?IN_FOCUS",IF(J2253&lt;=2,"?ACTIVATED",IF(J2253&lt;&gt;"","?FAMILIAR",IF(F2253="NEW",IF(ISNA(VLOOKUP(E2253,#REF!,1,FALSE())),"?TYPE_IDENTIFIABLE","?REFERENTIAL"),"_")))))</f>
        <v/>
      </c>
      <c r="H2253" s="12" t="str">
        <f aca="false">IF(J2253&lt;&gt;1,"",IF(I2253="SBJ","CB","?"))</f>
        <v/>
      </c>
      <c r="I2253" s="13" t="str">
        <f aca="false">IF(OR(E2253="",E2253="!!!",F2253="NEW"),"",INDEX(B$2:B2252,-1+SUMPRODUCT(MAX(ROW(E$2:E2252)*(E2253=E$2:E2252)))))</f>
        <v/>
      </c>
      <c r="J2253" s="14" t="str">
        <f aca="true">IF(OR(E2253="",E2253="!!!",F2253="NEW"),"",COUNTBLANK(OFFSET(A$1,,,SUMPRODUCT(MAX(ROW(E$2:E2253)*(E2253=E$2:E2253)))))-COUNTBLANK(OFFSET(A$1,,,SUMPRODUCT(MAX(ROW(E$1:E2252)*(E2253=E$1:E2252))))))</f>
        <v/>
      </c>
      <c r="K2253" s="14" t="str">
        <f aca="false">IF(OR(E2253="",E2253="!!!",F2253="NEW"),"",INDEX(J$1:J2252,SUMPRODUCT(MAX(ROW(E$1:E2252)*(E2253=E$1:E2252)))))</f>
        <v/>
      </c>
      <c r="L2253" s="15"/>
    </row>
    <row r="2254" customFormat="false" ht="12.75" hidden="false" customHeight="false" outlineLevel="0" collapsed="false">
      <c r="A2254" s="0" t="s">
        <v>31</v>
      </c>
      <c r="E2254" s="9" t="str">
        <f aca="false">IF(D2254="?OLD","!!!","")</f>
        <v/>
      </c>
      <c r="F2254" s="10" t="str">
        <f aca="false">IF(OR(E2254="",E2254="!!!"),"",IF(NOT(ISNA(VLOOKUP(E2254,E$1:E2253,1,FALSE()))),"OLD",IF(AND(E2254&lt;&gt;"",E2254&lt;&gt;"!!!"),"NEW","")))</f>
        <v/>
      </c>
      <c r="G2254" s="11" t="str">
        <f aca="false">IF(OR(E2254="",E2254="!!!"),"",IF(OR(J2254=0,AND(J2254=1,K2254=1),AND(J2254=1,I2254="SBJ"),AND(J2254=1,I2254=0)),"?IN_FOCUS",IF(J2254&lt;=2,"?ACTIVATED",IF(J2254&lt;&gt;"","?FAMILIAR",IF(F2254="NEW",IF(ISNA(VLOOKUP(E2254,#REF!,1,FALSE())),"?TYPE_IDENTIFIABLE","?REFERENTIAL"),"_")))))</f>
        <v/>
      </c>
      <c r="H2254" s="12" t="str">
        <f aca="false">IF(J2254&lt;&gt;1,"",IF(I2254="SBJ","CB","?"))</f>
        <v/>
      </c>
      <c r="I2254" s="13" t="str">
        <f aca="false">IF(OR(E2254="",E2254="!!!",F2254="NEW"),"",INDEX(B$2:B2253,-1+SUMPRODUCT(MAX(ROW(E$2:E2253)*(E2254=E$2:E2253)))))</f>
        <v/>
      </c>
      <c r="J2254" s="14" t="str">
        <f aca="true">IF(OR(E2254="",E2254="!!!",F2254="NEW"),"",COUNTBLANK(OFFSET(A$1,,,SUMPRODUCT(MAX(ROW(E$2:E2254)*(E2254=E$2:E2254)))))-COUNTBLANK(OFFSET(A$1,,,SUMPRODUCT(MAX(ROW(E$1:E2253)*(E2254=E$1:E2253))))))</f>
        <v/>
      </c>
      <c r="K2254" s="14" t="str">
        <f aca="false">IF(OR(E2254="",E2254="!!!",F2254="NEW"),"",INDEX(J$1:J2253,SUMPRODUCT(MAX(ROW(E$1:E2253)*(E2254=E$1:E2253)))))</f>
        <v/>
      </c>
      <c r="L2254" s="15"/>
    </row>
    <row r="2255" customFormat="false" ht="12.75" hidden="false" customHeight="false" outlineLevel="0" collapsed="false">
      <c r="A2255" s="0" t="s">
        <v>873</v>
      </c>
      <c r="E2255" s="9" t="str">
        <f aca="false">IF(D2255="?OLD","!!!","")</f>
        <v/>
      </c>
      <c r="F2255" s="10" t="str">
        <f aca="false">IF(OR(E2255="",E2255="!!!"),"",IF(NOT(ISNA(VLOOKUP(E2255,E$1:E2254,1,FALSE()))),"OLD",IF(AND(E2255&lt;&gt;"",E2255&lt;&gt;"!!!"),"NEW","")))</f>
        <v/>
      </c>
      <c r="G2255" s="11" t="str">
        <f aca="false">IF(OR(E2255="",E2255="!!!"),"",IF(OR(J2255=0,AND(J2255=1,K2255=1),AND(J2255=1,I2255="SBJ"),AND(J2255=1,I2255=0)),"?IN_FOCUS",IF(J2255&lt;=2,"?ACTIVATED",IF(J2255&lt;&gt;"","?FAMILIAR",IF(F2255="NEW",IF(ISNA(VLOOKUP(E2255,#REF!,1,FALSE())),"?TYPE_IDENTIFIABLE","?REFERENTIAL"),"_")))))</f>
        <v/>
      </c>
      <c r="H2255" s="12" t="str">
        <f aca="false">IF(J2255&lt;&gt;1,"",IF(I2255="SBJ","CB","?"))</f>
        <v/>
      </c>
      <c r="I2255" s="13" t="str">
        <f aca="false">IF(OR(E2255="",E2255="!!!",F2255="NEW"),"",INDEX(B$2:B2254,-1+SUMPRODUCT(MAX(ROW(E$2:E2254)*(E2255=E$2:E2254)))))</f>
        <v/>
      </c>
      <c r="J2255" s="14" t="str">
        <f aca="true">IF(OR(E2255="",E2255="!!!",F2255="NEW"),"",COUNTBLANK(OFFSET(A$1,,,SUMPRODUCT(MAX(ROW(E$2:E2255)*(E2255=E$2:E2255)))))-COUNTBLANK(OFFSET(A$1,,,SUMPRODUCT(MAX(ROW(E$1:E2254)*(E2255=E$1:E2254))))))</f>
        <v/>
      </c>
      <c r="K2255" s="14" t="str">
        <f aca="false">IF(OR(E2255="",E2255="!!!",F2255="NEW"),"",INDEX(J$1:J2254,SUMPRODUCT(MAX(ROW(E$1:E2254)*(E2255=E$1:E2254)))))</f>
        <v/>
      </c>
      <c r="L2255" s="15"/>
    </row>
    <row r="2256" customFormat="false" ht="12.75" hidden="false" customHeight="false" outlineLevel="0" collapsed="false">
      <c r="A2256" s="0" t="s">
        <v>631</v>
      </c>
      <c r="E2256" s="9" t="str">
        <f aca="false">IF(D2256="?OLD","!!!","")</f>
        <v/>
      </c>
      <c r="F2256" s="10" t="str">
        <f aca="false">IF(OR(E2256="",E2256="!!!"),"",IF(NOT(ISNA(VLOOKUP(E2256,E$1:E2255,1,FALSE()))),"OLD",IF(AND(E2256&lt;&gt;"",E2256&lt;&gt;"!!!"),"NEW","")))</f>
        <v/>
      </c>
      <c r="G2256" s="11" t="str">
        <f aca="false">IF(OR(E2256="",E2256="!!!"),"",IF(OR(J2256=0,AND(J2256=1,K2256=1),AND(J2256=1,I2256="SBJ"),AND(J2256=1,I2256=0)),"?IN_FOCUS",IF(J2256&lt;=2,"?ACTIVATED",IF(J2256&lt;&gt;"","?FAMILIAR",IF(F2256="NEW",IF(ISNA(VLOOKUP(E2256,#REF!,1,FALSE())),"?TYPE_IDENTIFIABLE","?REFERENTIAL"),"_")))))</f>
        <v/>
      </c>
      <c r="H2256" s="12" t="str">
        <f aca="false">IF(J2256&lt;&gt;1,"",IF(I2256="SBJ","CB","?"))</f>
        <v/>
      </c>
      <c r="I2256" s="13" t="str">
        <f aca="false">IF(OR(E2256="",E2256="!!!",F2256="NEW"),"",INDEX(B$2:B2255,-1+SUMPRODUCT(MAX(ROW(E$2:E2255)*(E2256=E$2:E2255)))))</f>
        <v/>
      </c>
      <c r="J2256" s="14" t="str">
        <f aca="true">IF(OR(E2256="",E2256="!!!",F2256="NEW"),"",COUNTBLANK(OFFSET(A$1,,,SUMPRODUCT(MAX(ROW(E$2:E2256)*(E2256=E$2:E2256)))))-COUNTBLANK(OFFSET(A$1,,,SUMPRODUCT(MAX(ROW(E$1:E2255)*(E2256=E$1:E2255))))))</f>
        <v/>
      </c>
      <c r="K2256" s="14" t="str">
        <f aca="false">IF(OR(E2256="",E2256="!!!",F2256="NEW"),"",INDEX(J$1:J2255,SUMPRODUCT(MAX(ROW(E$1:E2255)*(E2256=E$1:E2255)))))</f>
        <v/>
      </c>
      <c r="L2256" s="15"/>
    </row>
    <row r="2257" customFormat="false" ht="12.75" hidden="false" customHeight="false" outlineLevel="0" collapsed="false">
      <c r="A2257" s="0" t="s">
        <v>178</v>
      </c>
      <c r="E2257" s="9" t="str">
        <f aca="false">IF(D2257="?OLD","!!!","")</f>
        <v/>
      </c>
      <c r="F2257" s="10" t="str">
        <f aca="false">IF(OR(E2257="",E2257="!!!"),"",IF(NOT(ISNA(VLOOKUP(E2257,E$1:E2256,1,FALSE()))),"OLD",IF(AND(E2257&lt;&gt;"",E2257&lt;&gt;"!!!"),"NEW","")))</f>
        <v/>
      </c>
      <c r="G2257" s="11" t="str">
        <f aca="false">IF(OR(E2257="",E2257="!!!"),"",IF(OR(J2257=0,AND(J2257=1,K2257=1),AND(J2257=1,I2257="SBJ"),AND(J2257=1,I2257=0)),"?IN_FOCUS",IF(J2257&lt;=2,"?ACTIVATED",IF(J2257&lt;&gt;"","?FAMILIAR",IF(F2257="NEW",IF(ISNA(VLOOKUP(E2257,#REF!,1,FALSE())),"?TYPE_IDENTIFIABLE","?REFERENTIAL"),"_")))))</f>
        <v/>
      </c>
      <c r="H2257" s="12" t="str">
        <f aca="false">IF(J2257&lt;&gt;1,"",IF(I2257="SBJ","CB","?"))</f>
        <v/>
      </c>
      <c r="I2257" s="13" t="str">
        <f aca="false">IF(OR(E2257="",E2257="!!!",F2257="NEW"),"",INDEX(B$2:B2256,-1+SUMPRODUCT(MAX(ROW(E$2:E2256)*(E2257=E$2:E2256)))))</f>
        <v/>
      </c>
      <c r="J2257" s="14" t="str">
        <f aca="true">IF(OR(E2257="",E2257="!!!",F2257="NEW"),"",COUNTBLANK(OFFSET(A$1,,,SUMPRODUCT(MAX(ROW(E$2:E2257)*(E2257=E$2:E2257)))))-COUNTBLANK(OFFSET(A$1,,,SUMPRODUCT(MAX(ROW(E$1:E2256)*(E2257=E$1:E2256))))))</f>
        <v/>
      </c>
      <c r="K2257" s="14" t="str">
        <f aca="false">IF(OR(E2257="",E2257="!!!",F2257="NEW"),"",INDEX(J$1:J2256,SUMPRODUCT(MAX(ROW(E$1:E2256)*(E2257=E$1:E2256)))))</f>
        <v/>
      </c>
      <c r="L2257" s="15"/>
    </row>
    <row r="2258" customFormat="false" ht="12.75" hidden="false" customHeight="false" outlineLevel="0" collapsed="false">
      <c r="A2258" s="0" t="s">
        <v>66</v>
      </c>
      <c r="E2258" s="9" t="str">
        <f aca="false">IF(D2258="?OLD","!!!","")</f>
        <v/>
      </c>
      <c r="F2258" s="10" t="str">
        <f aca="false">IF(OR(E2258="",E2258="!!!"),"",IF(NOT(ISNA(VLOOKUP(E2258,E$1:E2257,1,FALSE()))),"OLD",IF(AND(E2258&lt;&gt;"",E2258&lt;&gt;"!!!"),"NEW","")))</f>
        <v/>
      </c>
      <c r="G2258" s="11" t="str">
        <f aca="false">IF(OR(E2258="",E2258="!!!"),"",IF(OR(J2258=0,AND(J2258=1,K2258=1),AND(J2258=1,I2258="SBJ"),AND(J2258=1,I2258=0)),"?IN_FOCUS",IF(J2258&lt;=2,"?ACTIVATED",IF(J2258&lt;&gt;"","?FAMILIAR",IF(F2258="NEW",IF(ISNA(VLOOKUP(E2258,#REF!,1,FALSE())),"?TYPE_IDENTIFIABLE","?REFERENTIAL"),"_")))))</f>
        <v/>
      </c>
      <c r="H2258" s="12" t="str">
        <f aca="false">IF(J2258&lt;&gt;1,"",IF(I2258="SBJ","CB","?"))</f>
        <v/>
      </c>
      <c r="I2258" s="13" t="str">
        <f aca="false">IF(OR(E2258="",E2258="!!!",F2258="NEW"),"",INDEX(B$2:B2257,-1+SUMPRODUCT(MAX(ROW(E$2:E2257)*(E2258=E$2:E2257)))))</f>
        <v/>
      </c>
      <c r="J2258" s="14" t="str">
        <f aca="true">IF(OR(E2258="",E2258="!!!",F2258="NEW"),"",COUNTBLANK(OFFSET(A$1,,,SUMPRODUCT(MAX(ROW(E$2:E2258)*(E2258=E$2:E2258)))))-COUNTBLANK(OFFSET(A$1,,,SUMPRODUCT(MAX(ROW(E$1:E2257)*(E2258=E$1:E2257))))))</f>
        <v/>
      </c>
      <c r="K2258" s="14" t="str">
        <f aca="false">IF(OR(E2258="",E2258="!!!",F2258="NEW"),"",INDEX(J$1:J2257,SUMPRODUCT(MAX(ROW(E$1:E2257)*(E2258=E$1:E2257)))))</f>
        <v/>
      </c>
      <c r="L2258" s="15"/>
    </row>
    <row r="2259" customFormat="false" ht="12.75" hidden="false" customHeight="false" outlineLevel="0" collapsed="false">
      <c r="A2259" s="0" t="s">
        <v>874</v>
      </c>
      <c r="B2259" s="0" t="s">
        <v>28</v>
      </c>
      <c r="C2259" s="0" t="s">
        <v>15</v>
      </c>
      <c r="D2259" s="0" t="s">
        <v>29</v>
      </c>
      <c r="E2259" s="9" t="str">
        <f aca="false">IF(D2259="?OLD","!!!","")</f>
        <v>!!!</v>
      </c>
      <c r="F2259" s="10" t="str">
        <f aca="false">IF(OR(E2259="",E2259="!!!"),"",IF(NOT(ISNA(VLOOKUP(E2259,E$1:E2258,1,FALSE()))),"OLD",IF(AND(E2259&lt;&gt;"",E2259&lt;&gt;"!!!"),"NEW","")))</f>
        <v/>
      </c>
      <c r="G2259" s="11" t="str">
        <f aca="false">IF(OR(E2259="",E2259="!!!"),"",IF(OR(J2259=0,AND(J2259=1,K2259=1),AND(J2259=1,I2259="SBJ"),AND(J2259=1,I2259=0)),"?IN_FOCUS",IF(J2259&lt;=2,"?ACTIVATED",IF(J2259&lt;&gt;"","?FAMILIAR",IF(F2259="NEW",IF(ISNA(VLOOKUP(E2259,#REF!,1,FALSE())),"?TYPE_IDENTIFIABLE","?REFERENTIAL"),"_")))))</f>
        <v/>
      </c>
      <c r="H2259" s="12" t="str">
        <f aca="false">IF(J2259&lt;&gt;1,"",IF(I2259="SBJ","CB","?"))</f>
        <v/>
      </c>
      <c r="I2259" s="13" t="str">
        <f aca="false">IF(OR(E2259="",E2259="!!!",F2259="NEW"),"",INDEX(B$2:B2258,-1+SUMPRODUCT(MAX(ROW(E$2:E2258)*(E2259=E$2:E2258)))))</f>
        <v/>
      </c>
      <c r="J2259" s="14" t="str">
        <f aca="true">IF(OR(E2259="",E2259="!!!",F2259="NEW"),"",COUNTBLANK(OFFSET(A$1,,,SUMPRODUCT(MAX(ROW(E$2:E2259)*(E2259=E$2:E2259)))))-COUNTBLANK(OFFSET(A$1,,,SUMPRODUCT(MAX(ROW(E$1:E2258)*(E2259=E$1:E2258))))))</f>
        <v/>
      </c>
      <c r="K2259" s="14" t="str">
        <f aca="false">IF(OR(E2259="",E2259="!!!",F2259="NEW"),"",INDEX(J$1:J2258,SUMPRODUCT(MAX(ROW(E$1:E2258)*(E2259=E$1:E2258)))))</f>
        <v/>
      </c>
      <c r="L2259" s="15"/>
    </row>
    <row r="2260" customFormat="false" ht="12.75" hidden="false" customHeight="false" outlineLevel="0" collapsed="false">
      <c r="A2260" s="0" t="s">
        <v>19</v>
      </c>
      <c r="E2260" s="9" t="str">
        <f aca="false">IF(D2260="?OLD","!!!","")</f>
        <v/>
      </c>
      <c r="F2260" s="10" t="str">
        <f aca="false">IF(OR(E2260="",E2260="!!!"),"",IF(NOT(ISNA(VLOOKUP(E2260,E$1:E2259,1,FALSE()))),"OLD",IF(AND(E2260&lt;&gt;"",E2260&lt;&gt;"!!!"),"NEW","")))</f>
        <v/>
      </c>
      <c r="G2260" s="11" t="str">
        <f aca="false">IF(OR(E2260="",E2260="!!!"),"",IF(OR(J2260=0,AND(J2260=1,K2260=1),AND(J2260=1,I2260="SBJ"),AND(J2260=1,I2260=0)),"?IN_FOCUS",IF(J2260&lt;=2,"?ACTIVATED",IF(J2260&lt;&gt;"","?FAMILIAR",IF(F2260="NEW",IF(ISNA(VLOOKUP(E2260,#REF!,1,FALSE())),"?TYPE_IDENTIFIABLE","?REFERENTIAL"),"_")))))</f>
        <v/>
      </c>
      <c r="H2260" s="12" t="str">
        <f aca="false">IF(J2260&lt;&gt;1,"",IF(I2260="SBJ","CB","?"))</f>
        <v/>
      </c>
      <c r="I2260" s="13" t="str">
        <f aca="false">IF(OR(E2260="",E2260="!!!",F2260="NEW"),"",INDEX(B$2:B2259,-1+SUMPRODUCT(MAX(ROW(E$2:E2259)*(E2260=E$2:E2259)))))</f>
        <v/>
      </c>
      <c r="J2260" s="14" t="str">
        <f aca="true">IF(OR(E2260="",E2260="!!!",F2260="NEW"),"",COUNTBLANK(OFFSET(A$1,,,SUMPRODUCT(MAX(ROW(E$2:E2260)*(E2260=E$2:E2260)))))-COUNTBLANK(OFFSET(A$1,,,SUMPRODUCT(MAX(ROW(E$1:E2259)*(E2260=E$1:E2259))))))</f>
        <v/>
      </c>
      <c r="K2260" s="14" t="str">
        <f aca="false">IF(OR(E2260="",E2260="!!!",F2260="NEW"),"",INDEX(J$1:J2259,SUMPRODUCT(MAX(ROW(E$1:E2259)*(E2260=E$1:E2259)))))</f>
        <v/>
      </c>
      <c r="L2260" s="15"/>
    </row>
    <row r="2261" customFormat="false" ht="12.75" hidden="false" customHeight="false" outlineLevel="0" collapsed="false">
      <c r="A2261" s="0" t="s">
        <v>150</v>
      </c>
      <c r="B2261" s="0" t="s">
        <v>64</v>
      </c>
      <c r="C2261" s="0" t="s">
        <v>55</v>
      </c>
      <c r="D2261" s="0" t="s">
        <v>29</v>
      </c>
      <c r="E2261" s="9" t="str">
        <f aca="false">IF(D2261="?OLD","!!!","")</f>
        <v>!!!</v>
      </c>
      <c r="F2261" s="10" t="str">
        <f aca="false">IF(OR(E2261="",E2261="!!!"),"",IF(NOT(ISNA(VLOOKUP(E2261,E$1:E2260,1,FALSE()))),"OLD",IF(AND(E2261&lt;&gt;"",E2261&lt;&gt;"!!!"),"NEW","")))</f>
        <v/>
      </c>
      <c r="G2261" s="11" t="str">
        <f aca="false">IF(OR(E2261="",E2261="!!!"),"",IF(OR(J2261=0,AND(J2261=1,K2261=1),AND(J2261=1,I2261="SBJ"),AND(J2261=1,I2261=0)),"?IN_FOCUS",IF(J2261&lt;=2,"?ACTIVATED",IF(J2261&lt;&gt;"","?FAMILIAR",IF(F2261="NEW",IF(ISNA(VLOOKUP(E2261,#REF!,1,FALSE())),"?TYPE_IDENTIFIABLE","?REFERENTIAL"),"_")))))</f>
        <v/>
      </c>
      <c r="H2261" s="12" t="str">
        <f aca="false">IF(J2261&lt;&gt;1,"",IF(I2261="SBJ","CB","?"))</f>
        <v/>
      </c>
      <c r="I2261" s="13" t="str">
        <f aca="false">IF(OR(E2261="",E2261="!!!",F2261="NEW"),"",INDEX(B$2:B2260,-1+SUMPRODUCT(MAX(ROW(E$2:E2260)*(E2261=E$2:E2260)))))</f>
        <v/>
      </c>
      <c r="J2261" s="14" t="str">
        <f aca="true">IF(OR(E2261="",E2261="!!!",F2261="NEW"),"",COUNTBLANK(OFFSET(A$1,,,SUMPRODUCT(MAX(ROW(E$2:E2261)*(E2261=E$2:E2261)))))-COUNTBLANK(OFFSET(A$1,,,SUMPRODUCT(MAX(ROW(E$1:E2260)*(E2261=E$1:E2260))))))</f>
        <v/>
      </c>
      <c r="K2261" s="14" t="str">
        <f aca="false">IF(OR(E2261="",E2261="!!!",F2261="NEW"),"",INDEX(J$1:J2260,SUMPRODUCT(MAX(ROW(E$1:E2260)*(E2261=E$1:E2260)))))</f>
        <v/>
      </c>
      <c r="L2261" s="15"/>
    </row>
    <row r="2262" customFormat="false" ht="12.75" hidden="false" customHeight="false" outlineLevel="0" collapsed="false">
      <c r="A2262" s="0" t="s">
        <v>293</v>
      </c>
      <c r="B2262" s="0" t="s">
        <v>22</v>
      </c>
      <c r="C2262" s="0" t="s">
        <v>15</v>
      </c>
      <c r="D2262" s="0" t="s">
        <v>29</v>
      </c>
      <c r="E2262" s="9" t="str">
        <f aca="false">IF(D2262="?OLD","!!!","")</f>
        <v>!!!</v>
      </c>
      <c r="F2262" s="10" t="str">
        <f aca="false">IF(OR(E2262="",E2262="!!!"),"",IF(NOT(ISNA(VLOOKUP(E2262,E$1:E2261,1,FALSE()))),"OLD",IF(AND(E2262&lt;&gt;"",E2262&lt;&gt;"!!!"),"NEW","")))</f>
        <v/>
      </c>
      <c r="G2262" s="11" t="str">
        <f aca="false">IF(OR(E2262="",E2262="!!!"),"",IF(OR(J2262=0,AND(J2262=1,K2262=1),AND(J2262=1,I2262="SBJ"),AND(J2262=1,I2262=0)),"?IN_FOCUS",IF(J2262&lt;=2,"?ACTIVATED",IF(J2262&lt;&gt;"","?FAMILIAR",IF(F2262="NEW",IF(ISNA(VLOOKUP(E2262,#REF!,1,FALSE())),"?TYPE_IDENTIFIABLE","?REFERENTIAL"),"_")))))</f>
        <v/>
      </c>
      <c r="H2262" s="12" t="str">
        <f aca="false">IF(J2262&lt;&gt;1,"",IF(I2262="SBJ","CB","?"))</f>
        <v/>
      </c>
      <c r="I2262" s="13" t="str">
        <f aca="false">IF(OR(E2262="",E2262="!!!",F2262="NEW"),"",INDEX(B$2:B2261,-1+SUMPRODUCT(MAX(ROW(E$2:E2261)*(E2262=E$2:E2261)))))</f>
        <v/>
      </c>
      <c r="J2262" s="14" t="str">
        <f aca="true">IF(OR(E2262="",E2262="!!!",F2262="NEW"),"",COUNTBLANK(OFFSET(A$1,,,SUMPRODUCT(MAX(ROW(E$2:E2262)*(E2262=E$2:E2262)))))-COUNTBLANK(OFFSET(A$1,,,SUMPRODUCT(MAX(ROW(E$1:E2261)*(E2262=E$1:E2261))))))</f>
        <v/>
      </c>
      <c r="K2262" s="14" t="str">
        <f aca="false">IF(OR(E2262="",E2262="!!!",F2262="NEW"),"",INDEX(J$1:J2261,SUMPRODUCT(MAX(ROW(E$1:E2261)*(E2262=E$1:E2261)))))</f>
        <v/>
      </c>
      <c r="L2262" s="15"/>
    </row>
    <row r="2263" customFormat="false" ht="12.75" hidden="false" customHeight="false" outlineLevel="0" collapsed="false">
      <c r="A2263" s="0" t="s">
        <v>73</v>
      </c>
      <c r="E2263" s="9" t="str">
        <f aca="false">IF(D2263="?OLD","!!!","")</f>
        <v/>
      </c>
      <c r="F2263" s="10" t="str">
        <f aca="false">IF(OR(E2263="",E2263="!!!"),"",IF(NOT(ISNA(VLOOKUP(E2263,E$1:E2262,1,FALSE()))),"OLD",IF(AND(E2263&lt;&gt;"",E2263&lt;&gt;"!!!"),"NEW","")))</f>
        <v/>
      </c>
      <c r="G2263" s="11" t="str">
        <f aca="false">IF(OR(E2263="",E2263="!!!"),"",IF(OR(J2263=0,AND(J2263=1,K2263=1),AND(J2263=1,I2263="SBJ"),AND(J2263=1,I2263=0)),"?IN_FOCUS",IF(J2263&lt;=2,"?ACTIVATED",IF(J2263&lt;&gt;"","?FAMILIAR",IF(F2263="NEW",IF(ISNA(VLOOKUP(E2263,#REF!,1,FALSE())),"?TYPE_IDENTIFIABLE","?REFERENTIAL"),"_")))))</f>
        <v/>
      </c>
      <c r="H2263" s="12" t="str">
        <f aca="false">IF(J2263&lt;&gt;1,"",IF(I2263="SBJ","CB","?"))</f>
        <v/>
      </c>
      <c r="I2263" s="13" t="str">
        <f aca="false">IF(OR(E2263="",E2263="!!!",F2263="NEW"),"",INDEX(B$2:B2262,-1+SUMPRODUCT(MAX(ROW(E$2:E2262)*(E2263=E$2:E2262)))))</f>
        <v/>
      </c>
      <c r="J2263" s="14" t="str">
        <f aca="true">IF(OR(E2263="",E2263="!!!",F2263="NEW"),"",COUNTBLANK(OFFSET(A$1,,,SUMPRODUCT(MAX(ROW(E$2:E2263)*(E2263=E$2:E2263)))))-COUNTBLANK(OFFSET(A$1,,,SUMPRODUCT(MAX(ROW(E$1:E2262)*(E2263=E$1:E2262))))))</f>
        <v/>
      </c>
      <c r="K2263" s="14" t="str">
        <f aca="false">IF(OR(E2263="",E2263="!!!",F2263="NEW"),"",INDEX(J$1:J2262,SUMPRODUCT(MAX(ROW(E$1:E2262)*(E2263=E$1:E2262)))))</f>
        <v/>
      </c>
      <c r="L2263" s="15"/>
    </row>
    <row r="2264" customFormat="false" ht="12.75" hidden="false" customHeight="false" outlineLevel="0" collapsed="false">
      <c r="E2264" s="9" t="str">
        <f aca="false">IF(D2264="?OLD","!!!","")</f>
        <v/>
      </c>
      <c r="F2264" s="10" t="str">
        <f aca="false">IF(OR(E2264="",E2264="!!!"),"",IF(NOT(ISNA(VLOOKUP(E2264,E$1:E2263,1,FALSE()))),"OLD",IF(AND(E2264&lt;&gt;"",E2264&lt;&gt;"!!!"),"NEW","")))</f>
        <v/>
      </c>
      <c r="G2264" s="11" t="str">
        <f aca="false">IF(OR(E2264="",E2264="!!!"),"",IF(OR(J2264=0,AND(J2264=1,K2264=1),AND(J2264=1,I2264="SBJ"),AND(J2264=1,I2264=0)),"?IN_FOCUS",IF(J2264&lt;=2,"?ACTIVATED",IF(J2264&lt;&gt;"","?FAMILIAR",IF(F2264="NEW",IF(ISNA(VLOOKUP(E2264,#REF!,1,FALSE())),"?TYPE_IDENTIFIABLE","?REFERENTIAL"),"_")))))</f>
        <v/>
      </c>
      <c r="H2264" s="12" t="str">
        <f aca="false">IF(J2264&lt;&gt;1,"",IF(I2264="SBJ","CB","?"))</f>
        <v/>
      </c>
      <c r="I2264" s="13" t="str">
        <f aca="false">IF(OR(E2264="",E2264="!!!",F2264="NEW"),"",INDEX(B$2:B2263,-1+SUMPRODUCT(MAX(ROW(E$2:E2263)*(E2264=E$2:E2263)))))</f>
        <v/>
      </c>
      <c r="J2264" s="14" t="str">
        <f aca="true">IF(OR(E2264="",E2264="!!!",F2264="NEW"),"",COUNTBLANK(OFFSET(A$1,,,SUMPRODUCT(MAX(ROW(E$2:E2264)*(E2264=E$2:E2264)))))-COUNTBLANK(OFFSET(A$1,,,SUMPRODUCT(MAX(ROW(E$1:E2263)*(E2264=E$1:E2263))))))</f>
        <v/>
      </c>
      <c r="K2264" s="14" t="str">
        <f aca="false">IF(OR(E2264="",E2264="!!!",F2264="NEW"),"",INDEX(J$1:J2263,SUMPRODUCT(MAX(ROW(E$1:E2263)*(E2264=E$1:E2263)))))</f>
        <v/>
      </c>
      <c r="L2264" s="15"/>
    </row>
    <row r="2265" customFormat="false" ht="12.75" hidden="false" customHeight="false" outlineLevel="0" collapsed="false">
      <c r="A2265" s="0" t="s">
        <v>875</v>
      </c>
      <c r="E2265" s="9" t="str">
        <f aca="false">IF(D2265="?OLD","!!!","")</f>
        <v/>
      </c>
      <c r="F2265" s="10" t="str">
        <f aca="false">IF(OR(E2265="",E2265="!!!"),"",IF(NOT(ISNA(VLOOKUP(E2265,E$1:E2264,1,FALSE()))),"OLD",IF(AND(E2265&lt;&gt;"",E2265&lt;&gt;"!!!"),"NEW","")))</f>
        <v/>
      </c>
      <c r="G2265" s="11" t="str">
        <f aca="false">IF(OR(E2265="",E2265="!!!"),"",IF(OR(J2265=0,AND(J2265=1,K2265=1),AND(J2265=1,I2265="SBJ"),AND(J2265=1,I2265=0)),"?IN_FOCUS",IF(J2265&lt;=2,"?ACTIVATED",IF(J2265&lt;&gt;"","?FAMILIAR",IF(F2265="NEW",IF(ISNA(VLOOKUP(E2265,#REF!,1,FALSE())),"?TYPE_IDENTIFIABLE","?REFERENTIAL"),"_")))))</f>
        <v/>
      </c>
      <c r="H2265" s="12" t="str">
        <f aca="false">IF(J2265&lt;&gt;1,"",IF(I2265="SBJ","CB","?"))</f>
        <v/>
      </c>
      <c r="I2265" s="13" t="str">
        <f aca="false">IF(OR(E2265="",E2265="!!!",F2265="NEW"),"",INDEX(B$2:B2264,-1+SUMPRODUCT(MAX(ROW(E$2:E2264)*(E2265=E$2:E2264)))))</f>
        <v/>
      </c>
      <c r="J2265" s="14" t="str">
        <f aca="true">IF(OR(E2265="",E2265="!!!",F2265="NEW"),"",COUNTBLANK(OFFSET(A$1,,,SUMPRODUCT(MAX(ROW(E$2:E2265)*(E2265=E$2:E2265)))))-COUNTBLANK(OFFSET(A$1,,,SUMPRODUCT(MAX(ROW(E$1:E2264)*(E2265=E$1:E2264))))))</f>
        <v/>
      </c>
      <c r="K2265" s="14" t="str">
        <f aca="false">IF(OR(E2265="",E2265="!!!",F2265="NEW"),"",INDEX(J$1:J2264,SUMPRODUCT(MAX(ROW(E$1:E2264)*(E2265=E$1:E2264)))))</f>
        <v/>
      </c>
      <c r="L2265" s="15"/>
    </row>
    <row r="2266" customFormat="false" ht="12.75" hidden="false" customHeight="false" outlineLevel="0" collapsed="false">
      <c r="A2266" s="0" t="s">
        <v>714</v>
      </c>
      <c r="E2266" s="9" t="str">
        <f aca="false">IF(D2266="?OLD","!!!","")</f>
        <v/>
      </c>
      <c r="F2266" s="10" t="str">
        <f aca="false">IF(OR(E2266="",E2266="!!!"),"",IF(NOT(ISNA(VLOOKUP(E2266,E$1:E2265,1,FALSE()))),"OLD",IF(AND(E2266&lt;&gt;"",E2266&lt;&gt;"!!!"),"NEW","")))</f>
        <v/>
      </c>
      <c r="G2266" s="11" t="str">
        <f aca="false">IF(OR(E2266="",E2266="!!!"),"",IF(OR(J2266=0,AND(J2266=1,K2266=1),AND(J2266=1,I2266="SBJ"),AND(J2266=1,I2266=0)),"?IN_FOCUS",IF(J2266&lt;=2,"?ACTIVATED",IF(J2266&lt;&gt;"","?FAMILIAR",IF(F2266="NEW",IF(ISNA(VLOOKUP(E2266,#REF!,1,FALSE())),"?TYPE_IDENTIFIABLE","?REFERENTIAL"),"_")))))</f>
        <v/>
      </c>
      <c r="H2266" s="12" t="str">
        <f aca="false">IF(J2266&lt;&gt;1,"",IF(I2266="SBJ","CB","?"))</f>
        <v/>
      </c>
      <c r="I2266" s="13" t="str">
        <f aca="false">IF(OR(E2266="",E2266="!!!",F2266="NEW"),"",INDEX(B$2:B2265,-1+SUMPRODUCT(MAX(ROW(E$2:E2265)*(E2266=E$2:E2265)))))</f>
        <v/>
      </c>
      <c r="J2266" s="14" t="str">
        <f aca="true">IF(OR(E2266="",E2266="!!!",F2266="NEW"),"",COUNTBLANK(OFFSET(A$1,,,SUMPRODUCT(MAX(ROW(E$2:E2266)*(E2266=E$2:E2266)))))-COUNTBLANK(OFFSET(A$1,,,SUMPRODUCT(MAX(ROW(E$1:E2265)*(E2266=E$1:E2265))))))</f>
        <v/>
      </c>
      <c r="K2266" s="14" t="str">
        <f aca="false">IF(OR(E2266="",E2266="!!!",F2266="NEW"),"",INDEX(J$1:J2265,SUMPRODUCT(MAX(ROW(E$1:E2265)*(E2266=E$1:E2265)))))</f>
        <v/>
      </c>
      <c r="L2266" s="15"/>
    </row>
    <row r="2267" customFormat="false" ht="12.75" hidden="false" customHeight="false" outlineLevel="0" collapsed="false">
      <c r="A2267" s="0" t="s">
        <v>829</v>
      </c>
      <c r="E2267" s="9" t="str">
        <f aca="false">IF(D2267="?OLD","!!!","")</f>
        <v/>
      </c>
      <c r="F2267" s="10" t="str">
        <f aca="false">IF(OR(E2267="",E2267="!!!"),"",IF(NOT(ISNA(VLOOKUP(E2267,E$1:E2266,1,FALSE()))),"OLD",IF(AND(E2267&lt;&gt;"",E2267&lt;&gt;"!!!"),"NEW","")))</f>
        <v/>
      </c>
      <c r="G2267" s="11" t="str">
        <f aca="false">IF(OR(E2267="",E2267="!!!"),"",IF(OR(J2267=0,AND(J2267=1,K2267=1),AND(J2267=1,I2267="SBJ"),AND(J2267=1,I2267=0)),"?IN_FOCUS",IF(J2267&lt;=2,"?ACTIVATED",IF(J2267&lt;&gt;"","?FAMILIAR",IF(F2267="NEW",IF(ISNA(VLOOKUP(E2267,#REF!,1,FALSE())),"?TYPE_IDENTIFIABLE","?REFERENTIAL"),"_")))))</f>
        <v/>
      </c>
      <c r="H2267" s="12" t="str">
        <f aca="false">IF(J2267&lt;&gt;1,"",IF(I2267="SBJ","CB","?"))</f>
        <v/>
      </c>
      <c r="I2267" s="13" t="str">
        <f aca="false">IF(OR(E2267="",E2267="!!!",F2267="NEW"),"",INDEX(B$2:B2266,-1+SUMPRODUCT(MAX(ROW(E$2:E2266)*(E2267=E$2:E2266)))))</f>
        <v/>
      </c>
      <c r="J2267" s="14" t="str">
        <f aca="true">IF(OR(E2267="",E2267="!!!",F2267="NEW"),"",COUNTBLANK(OFFSET(A$1,,,SUMPRODUCT(MAX(ROW(E$2:E2267)*(E2267=E$2:E2267)))))-COUNTBLANK(OFFSET(A$1,,,SUMPRODUCT(MAX(ROW(E$1:E2266)*(E2267=E$1:E2266))))))</f>
        <v/>
      </c>
      <c r="K2267" s="14" t="str">
        <f aca="false">IF(OR(E2267="",E2267="!!!",F2267="NEW"),"",INDEX(J$1:J2266,SUMPRODUCT(MAX(ROW(E$1:E2266)*(E2267=E$1:E2266)))))</f>
        <v/>
      </c>
      <c r="L2267" s="15"/>
    </row>
    <row r="2268" customFormat="false" ht="12.75" hidden="false" customHeight="false" outlineLevel="0" collapsed="false">
      <c r="A2268" s="0" t="s">
        <v>95</v>
      </c>
      <c r="E2268" s="9" t="str">
        <f aca="false">IF(D2268="?OLD","!!!","")</f>
        <v/>
      </c>
      <c r="F2268" s="10" t="str">
        <f aca="false">IF(OR(E2268="",E2268="!!!"),"",IF(NOT(ISNA(VLOOKUP(E2268,E$1:E2267,1,FALSE()))),"OLD",IF(AND(E2268&lt;&gt;"",E2268&lt;&gt;"!!!"),"NEW","")))</f>
        <v/>
      </c>
      <c r="G2268" s="11" t="str">
        <f aca="false">IF(OR(E2268="",E2268="!!!"),"",IF(OR(J2268=0,AND(J2268=1,K2268=1),AND(J2268=1,I2268="SBJ"),AND(J2268=1,I2268=0)),"?IN_FOCUS",IF(J2268&lt;=2,"?ACTIVATED",IF(J2268&lt;&gt;"","?FAMILIAR",IF(F2268="NEW",IF(ISNA(VLOOKUP(E2268,#REF!,1,FALSE())),"?TYPE_IDENTIFIABLE","?REFERENTIAL"),"_")))))</f>
        <v/>
      </c>
      <c r="H2268" s="12" t="str">
        <f aca="false">IF(J2268&lt;&gt;1,"",IF(I2268="SBJ","CB","?"))</f>
        <v/>
      </c>
      <c r="I2268" s="13" t="str">
        <f aca="false">IF(OR(E2268="",E2268="!!!",F2268="NEW"),"",INDEX(B$2:B2267,-1+SUMPRODUCT(MAX(ROW(E$2:E2267)*(E2268=E$2:E2267)))))</f>
        <v/>
      </c>
      <c r="J2268" s="14" t="str">
        <f aca="true">IF(OR(E2268="",E2268="!!!",F2268="NEW"),"",COUNTBLANK(OFFSET(A$1,,,SUMPRODUCT(MAX(ROW(E$2:E2268)*(E2268=E$2:E2268)))))-COUNTBLANK(OFFSET(A$1,,,SUMPRODUCT(MAX(ROW(E$1:E2267)*(E2268=E$1:E2267))))))</f>
        <v/>
      </c>
      <c r="K2268" s="14" t="str">
        <f aca="false">IF(OR(E2268="",E2268="!!!",F2268="NEW"),"",INDEX(J$1:J2267,SUMPRODUCT(MAX(ROW(E$1:E2267)*(E2268=E$1:E2267)))))</f>
        <v/>
      </c>
      <c r="L2268" s="15"/>
    </row>
    <row r="2269" customFormat="false" ht="12.75" hidden="false" customHeight="false" outlineLevel="0" collapsed="false">
      <c r="A2269" s="0" t="s">
        <v>147</v>
      </c>
      <c r="B2269" s="0" t="s">
        <v>14</v>
      </c>
      <c r="C2269" s="0" t="s">
        <v>38</v>
      </c>
      <c r="D2269" s="0" t="s">
        <v>29</v>
      </c>
      <c r="E2269" s="9" t="str">
        <f aca="false">IF(D2269="?OLD","!!!","")</f>
        <v>!!!</v>
      </c>
      <c r="F2269" s="10" t="str">
        <f aca="false">IF(OR(E2269="",E2269="!!!"),"",IF(NOT(ISNA(VLOOKUP(E2269,E$1:E2268,1,FALSE()))),"OLD",IF(AND(E2269&lt;&gt;"",E2269&lt;&gt;"!!!"),"NEW","")))</f>
        <v/>
      </c>
      <c r="G2269" s="11" t="str">
        <f aca="false">IF(OR(E2269="",E2269="!!!"),"",IF(OR(J2269=0,AND(J2269=1,K2269=1),AND(J2269=1,I2269="SBJ"),AND(J2269=1,I2269=0)),"?IN_FOCUS",IF(J2269&lt;=2,"?ACTIVATED",IF(J2269&lt;&gt;"","?FAMILIAR",IF(F2269="NEW",IF(ISNA(VLOOKUP(E2269,#REF!,1,FALSE())),"?TYPE_IDENTIFIABLE","?REFERENTIAL"),"_")))))</f>
        <v/>
      </c>
      <c r="H2269" s="12" t="str">
        <f aca="false">IF(J2269&lt;&gt;1,"",IF(I2269="SBJ","CB","?"))</f>
        <v/>
      </c>
      <c r="I2269" s="13" t="str">
        <f aca="false">IF(OR(E2269="",E2269="!!!",F2269="NEW"),"",INDEX(B$2:B2268,-1+SUMPRODUCT(MAX(ROW(E$2:E2268)*(E2269=E$2:E2268)))))</f>
        <v/>
      </c>
      <c r="J2269" s="14" t="str">
        <f aca="true">IF(OR(E2269="",E2269="!!!",F2269="NEW"),"",COUNTBLANK(OFFSET(A$1,,,SUMPRODUCT(MAX(ROW(E$2:E2269)*(E2269=E$2:E2269)))))-COUNTBLANK(OFFSET(A$1,,,SUMPRODUCT(MAX(ROW(E$1:E2268)*(E2269=E$1:E2268))))))</f>
        <v/>
      </c>
      <c r="K2269" s="14" t="str">
        <f aca="false">IF(OR(E2269="",E2269="!!!",F2269="NEW"),"",INDEX(J$1:J2268,SUMPRODUCT(MAX(ROW(E$1:E2268)*(E2269=E$1:E2268)))))</f>
        <v/>
      </c>
      <c r="L2269" s="15"/>
    </row>
    <row r="2270" customFormat="false" ht="12.75" hidden="false" customHeight="false" outlineLevel="0" collapsed="false">
      <c r="A2270" s="0" t="s">
        <v>212</v>
      </c>
      <c r="E2270" s="9" t="str">
        <f aca="false">IF(D2270="?OLD","!!!","")</f>
        <v/>
      </c>
      <c r="F2270" s="10" t="str">
        <f aca="false">IF(OR(E2270="",E2270="!!!"),"",IF(NOT(ISNA(VLOOKUP(E2270,E$1:E2269,1,FALSE()))),"OLD",IF(AND(E2270&lt;&gt;"",E2270&lt;&gt;"!!!"),"NEW","")))</f>
        <v/>
      </c>
      <c r="G2270" s="11" t="str">
        <f aca="false">IF(OR(E2270="",E2270="!!!"),"",IF(OR(J2270=0,AND(J2270=1,K2270=1),AND(J2270=1,I2270="SBJ"),AND(J2270=1,I2270=0)),"?IN_FOCUS",IF(J2270&lt;=2,"?ACTIVATED",IF(J2270&lt;&gt;"","?FAMILIAR",IF(F2270="NEW",IF(ISNA(VLOOKUP(E2270,#REF!,1,FALSE())),"?TYPE_IDENTIFIABLE","?REFERENTIAL"),"_")))))</f>
        <v/>
      </c>
      <c r="H2270" s="12" t="str">
        <f aca="false">IF(J2270&lt;&gt;1,"",IF(I2270="SBJ","CB","?"))</f>
        <v/>
      </c>
      <c r="I2270" s="13" t="str">
        <f aca="false">IF(OR(E2270="",E2270="!!!",F2270="NEW"),"",INDEX(B$2:B2269,-1+SUMPRODUCT(MAX(ROW(E$2:E2269)*(E2270=E$2:E2269)))))</f>
        <v/>
      </c>
      <c r="J2270" s="14" t="str">
        <f aca="true">IF(OR(E2270="",E2270="!!!",F2270="NEW"),"",COUNTBLANK(OFFSET(A$1,,,SUMPRODUCT(MAX(ROW(E$2:E2270)*(E2270=E$2:E2270)))))-COUNTBLANK(OFFSET(A$1,,,SUMPRODUCT(MAX(ROW(E$1:E2269)*(E2270=E$1:E2269))))))</f>
        <v/>
      </c>
      <c r="K2270" s="14" t="str">
        <f aca="false">IF(OR(E2270="",E2270="!!!",F2270="NEW"),"",INDEX(J$1:J2269,SUMPRODUCT(MAX(ROW(E$1:E2269)*(E2270=E$1:E2269)))))</f>
        <v/>
      </c>
      <c r="L2270" s="15"/>
    </row>
    <row r="2271" customFormat="false" ht="12.75" hidden="false" customHeight="false" outlineLevel="0" collapsed="false">
      <c r="A2271" s="0" t="s">
        <v>66</v>
      </c>
      <c r="E2271" s="9" t="str">
        <f aca="false">IF(D2271="?OLD","!!!","")</f>
        <v/>
      </c>
      <c r="F2271" s="10" t="str">
        <f aca="false">IF(OR(E2271="",E2271="!!!"),"",IF(NOT(ISNA(VLOOKUP(E2271,E$1:E2270,1,FALSE()))),"OLD",IF(AND(E2271&lt;&gt;"",E2271&lt;&gt;"!!!"),"NEW","")))</f>
        <v/>
      </c>
      <c r="G2271" s="11" t="str">
        <f aca="false">IF(OR(E2271="",E2271="!!!"),"",IF(OR(J2271=0,AND(J2271=1,K2271=1),AND(J2271=1,I2271="SBJ"),AND(J2271=1,I2271=0)),"?IN_FOCUS",IF(J2271&lt;=2,"?ACTIVATED",IF(J2271&lt;&gt;"","?FAMILIAR",IF(F2271="NEW",IF(ISNA(VLOOKUP(E2271,#REF!,1,FALSE())),"?TYPE_IDENTIFIABLE","?REFERENTIAL"),"_")))))</f>
        <v/>
      </c>
      <c r="H2271" s="12" t="str">
        <f aca="false">IF(J2271&lt;&gt;1,"",IF(I2271="SBJ","CB","?"))</f>
        <v/>
      </c>
      <c r="I2271" s="13" t="str">
        <f aca="false">IF(OR(E2271="",E2271="!!!",F2271="NEW"),"",INDEX(B$2:B2270,-1+SUMPRODUCT(MAX(ROW(E$2:E2270)*(E2271=E$2:E2270)))))</f>
        <v/>
      </c>
      <c r="J2271" s="14" t="str">
        <f aca="true">IF(OR(E2271="",E2271="!!!",F2271="NEW"),"",COUNTBLANK(OFFSET(A$1,,,SUMPRODUCT(MAX(ROW(E$2:E2271)*(E2271=E$2:E2271)))))-COUNTBLANK(OFFSET(A$1,,,SUMPRODUCT(MAX(ROW(E$1:E2270)*(E2271=E$1:E2270))))))</f>
        <v/>
      </c>
      <c r="K2271" s="14" t="str">
        <f aca="false">IF(OR(E2271="",E2271="!!!",F2271="NEW"),"",INDEX(J$1:J2270,SUMPRODUCT(MAX(ROW(E$1:E2270)*(E2271=E$1:E2270)))))</f>
        <v/>
      </c>
      <c r="L2271" s="15"/>
    </row>
    <row r="2272" customFormat="false" ht="12.75" hidden="false" customHeight="false" outlineLevel="0" collapsed="false">
      <c r="A2272" s="0" t="s">
        <v>876</v>
      </c>
      <c r="B2272" s="0" t="s">
        <v>28</v>
      </c>
      <c r="C2272" s="0" t="s">
        <v>111</v>
      </c>
      <c r="D2272" s="0" t="s">
        <v>29</v>
      </c>
      <c r="E2272" s="9" t="str">
        <f aca="false">IF(D2272="?OLD","!!!","")</f>
        <v>!!!</v>
      </c>
      <c r="F2272" s="10" t="str">
        <f aca="false">IF(OR(E2272="",E2272="!!!"),"",IF(NOT(ISNA(VLOOKUP(E2272,E$1:E2271,1,FALSE()))),"OLD",IF(AND(E2272&lt;&gt;"",E2272&lt;&gt;"!!!"),"NEW","")))</f>
        <v/>
      </c>
      <c r="G2272" s="11" t="str">
        <f aca="false">IF(OR(E2272="",E2272="!!!"),"",IF(OR(J2272=0,AND(J2272=1,K2272=1),AND(J2272=1,I2272="SBJ"),AND(J2272=1,I2272=0)),"?IN_FOCUS",IF(J2272&lt;=2,"?ACTIVATED",IF(J2272&lt;&gt;"","?FAMILIAR",IF(F2272="NEW",IF(ISNA(VLOOKUP(E2272,#REF!,1,FALSE())),"?TYPE_IDENTIFIABLE","?REFERENTIAL"),"_")))))</f>
        <v/>
      </c>
      <c r="H2272" s="12" t="str">
        <f aca="false">IF(J2272&lt;&gt;1,"",IF(I2272="SBJ","CB","?"))</f>
        <v/>
      </c>
      <c r="I2272" s="13" t="str">
        <f aca="false">IF(OR(E2272="",E2272="!!!",F2272="NEW"),"",INDEX(B$2:B2271,-1+SUMPRODUCT(MAX(ROW(E$2:E2271)*(E2272=E$2:E2271)))))</f>
        <v/>
      </c>
      <c r="J2272" s="14" t="str">
        <f aca="true">IF(OR(E2272="",E2272="!!!",F2272="NEW"),"",COUNTBLANK(OFFSET(A$1,,,SUMPRODUCT(MAX(ROW(E$2:E2272)*(E2272=E$2:E2272)))))-COUNTBLANK(OFFSET(A$1,,,SUMPRODUCT(MAX(ROW(E$1:E2271)*(E2272=E$1:E2271))))))</f>
        <v/>
      </c>
      <c r="K2272" s="14" t="str">
        <f aca="false">IF(OR(E2272="",E2272="!!!",F2272="NEW"),"",INDEX(J$1:J2271,SUMPRODUCT(MAX(ROW(E$1:E2271)*(E2272=E$1:E2271)))))</f>
        <v/>
      </c>
      <c r="L2272" s="15"/>
    </row>
    <row r="2273" customFormat="false" ht="12.75" hidden="false" customHeight="false" outlineLevel="0" collapsed="false">
      <c r="A2273" s="0" t="s">
        <v>45</v>
      </c>
      <c r="B2273" s="0" t="s">
        <v>59</v>
      </c>
      <c r="E2273" s="9" t="str">
        <f aca="false">IF(D2273="?OLD","!!!","")</f>
        <v/>
      </c>
      <c r="F2273" s="10" t="str">
        <f aca="false">IF(OR(E2273="",E2273="!!!"),"",IF(NOT(ISNA(VLOOKUP(E2273,E$1:E2272,1,FALSE()))),"OLD",IF(AND(E2273&lt;&gt;"",E2273&lt;&gt;"!!!"),"NEW","")))</f>
        <v/>
      </c>
      <c r="G2273" s="11" t="str">
        <f aca="false">IF(OR(E2273="",E2273="!!!"),"",IF(OR(J2273=0,AND(J2273=1,K2273=1),AND(J2273=1,I2273="SBJ"),AND(J2273=1,I2273=0)),"?IN_FOCUS",IF(J2273&lt;=2,"?ACTIVATED",IF(J2273&lt;&gt;"","?FAMILIAR",IF(F2273="NEW",IF(ISNA(VLOOKUP(E2273,#REF!,1,FALSE())),"?TYPE_IDENTIFIABLE","?REFERENTIAL"),"_")))))</f>
        <v/>
      </c>
      <c r="H2273" s="12" t="str">
        <f aca="false">IF(J2273&lt;&gt;1,"",IF(I2273="SBJ","CB","?"))</f>
        <v/>
      </c>
      <c r="I2273" s="13" t="str">
        <f aca="false">IF(OR(E2273="",E2273="!!!",F2273="NEW"),"",INDEX(B$2:B2272,-1+SUMPRODUCT(MAX(ROW(E$2:E2272)*(E2273=E$2:E2272)))))</f>
        <v/>
      </c>
      <c r="J2273" s="14" t="str">
        <f aca="true">IF(OR(E2273="",E2273="!!!",F2273="NEW"),"",COUNTBLANK(OFFSET(A$1,,,SUMPRODUCT(MAX(ROW(E$2:E2273)*(E2273=E$2:E2273)))))-COUNTBLANK(OFFSET(A$1,,,SUMPRODUCT(MAX(ROW(E$1:E2272)*(E2273=E$1:E2272))))))</f>
        <v/>
      </c>
      <c r="K2273" s="14" t="str">
        <f aca="false">IF(OR(E2273="",E2273="!!!",F2273="NEW"),"",INDEX(J$1:J2272,SUMPRODUCT(MAX(ROW(E$1:E2272)*(E2273=E$1:E2272)))))</f>
        <v/>
      </c>
      <c r="L2273" s="15"/>
    </row>
    <row r="2274" customFormat="false" ht="12.75" hidden="false" customHeight="false" outlineLevel="0" collapsed="false">
      <c r="A2274" s="0" t="s">
        <v>147</v>
      </c>
      <c r="B2274" s="0" t="s">
        <v>157</v>
      </c>
      <c r="C2274" s="0" t="s">
        <v>38</v>
      </c>
      <c r="D2274" s="0" t="s">
        <v>29</v>
      </c>
      <c r="E2274" s="9" t="str">
        <f aca="false">IF(D2274="?OLD","!!!","")</f>
        <v>!!!</v>
      </c>
      <c r="F2274" s="10" t="str">
        <f aca="false">IF(OR(E2274="",E2274="!!!"),"",IF(NOT(ISNA(VLOOKUP(E2274,E$1:E2273,1,FALSE()))),"OLD",IF(AND(E2274&lt;&gt;"",E2274&lt;&gt;"!!!"),"NEW","")))</f>
        <v/>
      </c>
      <c r="G2274" s="11" t="str">
        <f aca="false">IF(OR(E2274="",E2274="!!!"),"",IF(OR(J2274=0,AND(J2274=1,K2274=1),AND(J2274=1,I2274="SBJ"),AND(J2274=1,I2274=0)),"?IN_FOCUS",IF(J2274&lt;=2,"?ACTIVATED",IF(J2274&lt;&gt;"","?FAMILIAR",IF(F2274="NEW",IF(ISNA(VLOOKUP(E2274,#REF!,1,FALSE())),"?TYPE_IDENTIFIABLE","?REFERENTIAL"),"_")))))</f>
        <v/>
      </c>
      <c r="H2274" s="12" t="str">
        <f aca="false">IF(J2274&lt;&gt;1,"",IF(I2274="SBJ","CB","?"))</f>
        <v/>
      </c>
      <c r="I2274" s="13" t="str">
        <f aca="false">IF(OR(E2274="",E2274="!!!",F2274="NEW"),"",INDEX(B$2:B2273,-1+SUMPRODUCT(MAX(ROW(E$2:E2273)*(E2274=E$2:E2273)))))</f>
        <v/>
      </c>
      <c r="J2274" s="14" t="str">
        <f aca="true">IF(OR(E2274="",E2274="!!!",F2274="NEW"),"",COUNTBLANK(OFFSET(A$1,,,SUMPRODUCT(MAX(ROW(E$2:E2274)*(E2274=E$2:E2274)))))-COUNTBLANK(OFFSET(A$1,,,SUMPRODUCT(MAX(ROW(E$1:E2273)*(E2274=E$1:E2273))))))</f>
        <v/>
      </c>
      <c r="K2274" s="14" t="str">
        <f aca="false">IF(OR(E2274="",E2274="!!!",F2274="NEW"),"",INDEX(J$1:J2273,SUMPRODUCT(MAX(ROW(E$1:E2273)*(E2274=E$1:E2273)))))</f>
        <v/>
      </c>
      <c r="L2274" s="15"/>
    </row>
    <row r="2275" customFormat="false" ht="12.75" hidden="false" customHeight="false" outlineLevel="0" collapsed="false">
      <c r="A2275" s="0" t="s">
        <v>877</v>
      </c>
      <c r="E2275" s="9" t="str">
        <f aca="false">IF(D2275="?OLD","!!!","")</f>
        <v/>
      </c>
      <c r="F2275" s="10" t="str">
        <f aca="false">IF(OR(E2275="",E2275="!!!"),"",IF(NOT(ISNA(VLOOKUP(E2275,E$1:E2274,1,FALSE()))),"OLD",IF(AND(E2275&lt;&gt;"",E2275&lt;&gt;"!!!"),"NEW","")))</f>
        <v/>
      </c>
      <c r="G2275" s="11" t="str">
        <f aca="false">IF(OR(E2275="",E2275="!!!"),"",IF(OR(J2275=0,AND(J2275=1,K2275=1),AND(J2275=1,I2275="SBJ"),AND(J2275=1,I2275=0)),"?IN_FOCUS",IF(J2275&lt;=2,"?ACTIVATED",IF(J2275&lt;&gt;"","?FAMILIAR",IF(F2275="NEW",IF(ISNA(VLOOKUP(E2275,#REF!,1,FALSE())),"?TYPE_IDENTIFIABLE","?REFERENTIAL"),"_")))))</f>
        <v/>
      </c>
      <c r="H2275" s="12" t="str">
        <f aca="false">IF(J2275&lt;&gt;1,"",IF(I2275="SBJ","CB","?"))</f>
        <v/>
      </c>
      <c r="I2275" s="13" t="str">
        <f aca="false">IF(OR(E2275="",E2275="!!!",F2275="NEW"),"",INDEX(B$2:B2274,-1+SUMPRODUCT(MAX(ROW(E$2:E2274)*(E2275=E$2:E2274)))))</f>
        <v/>
      </c>
      <c r="J2275" s="14" t="str">
        <f aca="true">IF(OR(E2275="",E2275="!!!",F2275="NEW"),"",COUNTBLANK(OFFSET(A$1,,,SUMPRODUCT(MAX(ROW(E$2:E2275)*(E2275=E$2:E2275)))))-COUNTBLANK(OFFSET(A$1,,,SUMPRODUCT(MAX(ROW(E$1:E2274)*(E2275=E$1:E2274))))))</f>
        <v/>
      </c>
      <c r="K2275" s="14" t="str">
        <f aca="false">IF(OR(E2275="",E2275="!!!",F2275="NEW"),"",INDEX(J$1:J2274,SUMPRODUCT(MAX(ROW(E$1:E2274)*(E2275=E$1:E2274)))))</f>
        <v/>
      </c>
      <c r="L2275" s="15"/>
    </row>
    <row r="2276" customFormat="false" ht="12.75" hidden="false" customHeight="false" outlineLevel="0" collapsed="false">
      <c r="A2276" s="0" t="s">
        <v>97</v>
      </c>
      <c r="B2276" s="0" t="s">
        <v>59</v>
      </c>
      <c r="C2276" s="0" t="s">
        <v>38</v>
      </c>
      <c r="D2276" s="0" t="s">
        <v>29</v>
      </c>
      <c r="E2276" s="9" t="str">
        <f aca="false">IF(D2276="?OLD","!!!","")</f>
        <v>!!!</v>
      </c>
      <c r="F2276" s="10" t="str">
        <f aca="false">IF(OR(E2276="",E2276="!!!"),"",IF(NOT(ISNA(VLOOKUP(E2276,E$1:E2275,1,FALSE()))),"OLD",IF(AND(E2276&lt;&gt;"",E2276&lt;&gt;"!!!"),"NEW","")))</f>
        <v/>
      </c>
      <c r="G2276" s="11" t="str">
        <f aca="false">IF(OR(E2276="",E2276="!!!"),"",IF(OR(J2276=0,AND(J2276=1,K2276=1),AND(J2276=1,I2276="SBJ"),AND(J2276=1,I2276=0)),"?IN_FOCUS",IF(J2276&lt;=2,"?ACTIVATED",IF(J2276&lt;&gt;"","?FAMILIAR",IF(F2276="NEW",IF(ISNA(VLOOKUP(E2276,#REF!,1,FALSE())),"?TYPE_IDENTIFIABLE","?REFERENTIAL"),"_")))))</f>
        <v/>
      </c>
      <c r="H2276" s="12" t="str">
        <f aca="false">IF(J2276&lt;&gt;1,"",IF(I2276="SBJ","CB","?"))</f>
        <v/>
      </c>
      <c r="I2276" s="13" t="str">
        <f aca="false">IF(OR(E2276="",E2276="!!!",F2276="NEW"),"",INDEX(B$2:B2275,-1+SUMPRODUCT(MAX(ROW(E$2:E2275)*(E2276=E$2:E2275)))))</f>
        <v/>
      </c>
      <c r="J2276" s="14" t="str">
        <f aca="true">IF(OR(E2276="",E2276="!!!",F2276="NEW"),"",COUNTBLANK(OFFSET(A$1,,,SUMPRODUCT(MAX(ROW(E$2:E2276)*(E2276=E$2:E2276)))))-COUNTBLANK(OFFSET(A$1,,,SUMPRODUCT(MAX(ROW(E$1:E2275)*(E2276=E$1:E2275))))))</f>
        <v/>
      </c>
      <c r="K2276" s="14" t="str">
        <f aca="false">IF(OR(E2276="",E2276="!!!",F2276="NEW"),"",INDEX(J$1:J2275,SUMPRODUCT(MAX(ROW(E$1:E2275)*(E2276=E$1:E2275)))))</f>
        <v/>
      </c>
      <c r="L2276" s="15"/>
    </row>
    <row r="2277" customFormat="false" ht="12.75" hidden="false" customHeight="false" outlineLevel="0" collapsed="false">
      <c r="A2277" s="0" t="s">
        <v>51</v>
      </c>
      <c r="E2277" s="9" t="str">
        <f aca="false">IF(D2277="?OLD","!!!","")</f>
        <v/>
      </c>
      <c r="F2277" s="10" t="str">
        <f aca="false">IF(OR(E2277="",E2277="!!!"),"",IF(NOT(ISNA(VLOOKUP(E2277,E$1:E2276,1,FALSE()))),"OLD",IF(AND(E2277&lt;&gt;"",E2277&lt;&gt;"!!!"),"NEW","")))</f>
        <v/>
      </c>
      <c r="G2277" s="11" t="str">
        <f aca="false">IF(OR(E2277="",E2277="!!!"),"",IF(OR(J2277=0,AND(J2277=1,K2277=1),AND(J2277=1,I2277="SBJ"),AND(J2277=1,I2277=0)),"?IN_FOCUS",IF(J2277&lt;=2,"?ACTIVATED",IF(J2277&lt;&gt;"","?FAMILIAR",IF(F2277="NEW",IF(ISNA(VLOOKUP(E2277,#REF!,1,FALSE())),"?TYPE_IDENTIFIABLE","?REFERENTIAL"),"_")))))</f>
        <v/>
      </c>
      <c r="H2277" s="12" t="str">
        <f aca="false">IF(J2277&lt;&gt;1,"",IF(I2277="SBJ","CB","?"))</f>
        <v/>
      </c>
      <c r="I2277" s="13" t="str">
        <f aca="false">IF(OR(E2277="",E2277="!!!",F2277="NEW"),"",INDEX(B$2:B2276,-1+SUMPRODUCT(MAX(ROW(E$2:E2276)*(E2277=E$2:E2276)))))</f>
        <v/>
      </c>
      <c r="J2277" s="14" t="str">
        <f aca="true">IF(OR(E2277="",E2277="!!!",F2277="NEW"),"",COUNTBLANK(OFFSET(A$1,,,SUMPRODUCT(MAX(ROW(E$2:E2277)*(E2277=E$2:E2277)))))-COUNTBLANK(OFFSET(A$1,,,SUMPRODUCT(MAX(ROW(E$1:E2276)*(E2277=E$1:E2276))))))</f>
        <v/>
      </c>
      <c r="K2277" s="14" t="str">
        <f aca="false">IF(OR(E2277="",E2277="!!!",F2277="NEW"),"",INDEX(J$1:J2276,SUMPRODUCT(MAX(ROW(E$1:E2276)*(E2277=E$1:E2276)))))</f>
        <v/>
      </c>
      <c r="L2277" s="15"/>
    </row>
    <row r="2278" customFormat="false" ht="12.75" hidden="false" customHeight="false" outlineLevel="0" collapsed="false">
      <c r="A2278" s="0" t="s">
        <v>878</v>
      </c>
      <c r="E2278" s="9" t="str">
        <f aca="false">IF(D2278="?OLD","!!!","")</f>
        <v/>
      </c>
      <c r="F2278" s="10" t="str">
        <f aca="false">IF(OR(E2278="",E2278="!!!"),"",IF(NOT(ISNA(VLOOKUP(E2278,E$1:E2277,1,FALSE()))),"OLD",IF(AND(E2278&lt;&gt;"",E2278&lt;&gt;"!!!"),"NEW","")))</f>
        <v/>
      </c>
      <c r="G2278" s="11" t="str">
        <f aca="false">IF(OR(E2278="",E2278="!!!"),"",IF(OR(J2278=0,AND(J2278=1,K2278=1),AND(J2278=1,I2278="SBJ"),AND(J2278=1,I2278=0)),"?IN_FOCUS",IF(J2278&lt;=2,"?ACTIVATED",IF(J2278&lt;&gt;"","?FAMILIAR",IF(F2278="NEW",IF(ISNA(VLOOKUP(E2278,#REF!,1,FALSE())),"?TYPE_IDENTIFIABLE","?REFERENTIAL"),"_")))))</f>
        <v/>
      </c>
      <c r="H2278" s="12" t="str">
        <f aca="false">IF(J2278&lt;&gt;1,"",IF(I2278="SBJ","CB","?"))</f>
        <v/>
      </c>
      <c r="I2278" s="13" t="str">
        <f aca="false">IF(OR(E2278="",E2278="!!!",F2278="NEW"),"",INDEX(B$2:B2277,-1+SUMPRODUCT(MAX(ROW(E$2:E2277)*(E2278=E$2:E2277)))))</f>
        <v/>
      </c>
      <c r="J2278" s="14" t="str">
        <f aca="true">IF(OR(E2278="",E2278="!!!",F2278="NEW"),"",COUNTBLANK(OFFSET(A$1,,,SUMPRODUCT(MAX(ROW(E$2:E2278)*(E2278=E$2:E2278)))))-COUNTBLANK(OFFSET(A$1,,,SUMPRODUCT(MAX(ROW(E$1:E2277)*(E2278=E$1:E2277))))))</f>
        <v/>
      </c>
      <c r="K2278" s="14" t="str">
        <f aca="false">IF(OR(E2278="",E2278="!!!",F2278="NEW"),"",INDEX(J$1:J2277,SUMPRODUCT(MAX(ROW(E$1:E2277)*(E2278=E$1:E2277)))))</f>
        <v/>
      </c>
      <c r="L2278" s="15"/>
    </row>
    <row r="2279" customFormat="false" ht="12.75" hidden="false" customHeight="false" outlineLevel="0" collapsed="false">
      <c r="A2279" s="0" t="s">
        <v>611</v>
      </c>
      <c r="E2279" s="9" t="str">
        <f aca="false">IF(D2279="?OLD","!!!","")</f>
        <v/>
      </c>
      <c r="F2279" s="10" t="str">
        <f aca="false">IF(OR(E2279="",E2279="!!!"),"",IF(NOT(ISNA(VLOOKUP(E2279,E$1:E2278,1,FALSE()))),"OLD",IF(AND(E2279&lt;&gt;"",E2279&lt;&gt;"!!!"),"NEW","")))</f>
        <v/>
      </c>
      <c r="G2279" s="11" t="str">
        <f aca="false">IF(OR(E2279="",E2279="!!!"),"",IF(OR(J2279=0,AND(J2279=1,K2279=1),AND(J2279=1,I2279="SBJ"),AND(J2279=1,I2279=0)),"?IN_FOCUS",IF(J2279&lt;=2,"?ACTIVATED",IF(J2279&lt;&gt;"","?FAMILIAR",IF(F2279="NEW",IF(ISNA(VLOOKUP(E2279,#REF!,1,FALSE())),"?TYPE_IDENTIFIABLE","?REFERENTIAL"),"_")))))</f>
        <v/>
      </c>
      <c r="H2279" s="12" t="str">
        <f aca="false">IF(J2279&lt;&gt;1,"",IF(I2279="SBJ","CB","?"))</f>
        <v/>
      </c>
      <c r="I2279" s="13" t="str">
        <f aca="false">IF(OR(E2279="",E2279="!!!",F2279="NEW"),"",INDEX(B$2:B2278,-1+SUMPRODUCT(MAX(ROW(E$2:E2278)*(E2279=E$2:E2278)))))</f>
        <v/>
      </c>
      <c r="J2279" s="14" t="str">
        <f aca="true">IF(OR(E2279="",E2279="!!!",F2279="NEW"),"",COUNTBLANK(OFFSET(A$1,,,SUMPRODUCT(MAX(ROW(E$2:E2279)*(E2279=E$2:E2279)))))-COUNTBLANK(OFFSET(A$1,,,SUMPRODUCT(MAX(ROW(E$1:E2278)*(E2279=E$1:E2278))))))</f>
        <v/>
      </c>
      <c r="K2279" s="14" t="str">
        <f aca="false">IF(OR(E2279="",E2279="!!!",F2279="NEW"),"",INDEX(J$1:J2278,SUMPRODUCT(MAX(ROW(E$1:E2278)*(E2279=E$1:E2278)))))</f>
        <v/>
      </c>
      <c r="L2279" s="15"/>
    </row>
    <row r="2280" customFormat="false" ht="12.75" hidden="false" customHeight="false" outlineLevel="0" collapsed="false">
      <c r="A2280" s="0" t="s">
        <v>147</v>
      </c>
      <c r="B2280" s="0" t="s">
        <v>165</v>
      </c>
      <c r="C2280" s="0" t="s">
        <v>38</v>
      </c>
      <c r="D2280" s="0" t="s">
        <v>29</v>
      </c>
      <c r="E2280" s="9" t="str">
        <f aca="false">IF(D2280="?OLD","!!!","")</f>
        <v>!!!</v>
      </c>
      <c r="F2280" s="10" t="str">
        <f aca="false">IF(OR(E2280="",E2280="!!!"),"",IF(NOT(ISNA(VLOOKUP(E2280,E$1:E2279,1,FALSE()))),"OLD",IF(AND(E2280&lt;&gt;"",E2280&lt;&gt;"!!!"),"NEW","")))</f>
        <v/>
      </c>
      <c r="G2280" s="11" t="str">
        <f aca="false">IF(OR(E2280="",E2280="!!!"),"",IF(OR(J2280=0,AND(J2280=1,K2280=1),AND(J2280=1,I2280="SBJ"),AND(J2280=1,I2280=0)),"?IN_FOCUS",IF(J2280&lt;=2,"?ACTIVATED",IF(J2280&lt;&gt;"","?FAMILIAR",IF(F2280="NEW",IF(ISNA(VLOOKUP(E2280,#REF!,1,FALSE())),"?TYPE_IDENTIFIABLE","?REFERENTIAL"),"_")))))</f>
        <v/>
      </c>
      <c r="H2280" s="12" t="str">
        <f aca="false">IF(J2280&lt;&gt;1,"",IF(I2280="SBJ","CB","?"))</f>
        <v/>
      </c>
      <c r="I2280" s="13" t="str">
        <f aca="false">IF(OR(E2280="",E2280="!!!",F2280="NEW"),"",INDEX(B$2:B2279,-1+SUMPRODUCT(MAX(ROW(E$2:E2279)*(E2280=E$2:E2279)))))</f>
        <v/>
      </c>
      <c r="J2280" s="14" t="str">
        <f aca="true">IF(OR(E2280="",E2280="!!!",F2280="NEW"),"",COUNTBLANK(OFFSET(A$1,,,SUMPRODUCT(MAX(ROW(E$2:E2280)*(E2280=E$2:E2280)))))-COUNTBLANK(OFFSET(A$1,,,SUMPRODUCT(MAX(ROW(E$1:E2279)*(E2280=E$1:E2279))))))</f>
        <v/>
      </c>
      <c r="K2280" s="14" t="str">
        <f aca="false">IF(OR(E2280="",E2280="!!!",F2280="NEW"),"",INDEX(J$1:J2279,SUMPRODUCT(MAX(ROW(E$1:E2279)*(E2280=E$1:E2279)))))</f>
        <v/>
      </c>
      <c r="L2280" s="15"/>
    </row>
    <row r="2281" customFormat="false" ht="12.75" hidden="false" customHeight="false" outlineLevel="0" collapsed="false">
      <c r="A2281" s="0" t="s">
        <v>124</v>
      </c>
      <c r="E2281" s="9" t="str">
        <f aca="false">IF(D2281="?OLD","!!!","")</f>
        <v/>
      </c>
      <c r="F2281" s="10" t="str">
        <f aca="false">IF(OR(E2281="",E2281="!!!"),"",IF(NOT(ISNA(VLOOKUP(E2281,E$1:E2280,1,FALSE()))),"OLD",IF(AND(E2281&lt;&gt;"",E2281&lt;&gt;"!!!"),"NEW","")))</f>
        <v/>
      </c>
      <c r="G2281" s="11" t="str">
        <f aca="false">IF(OR(E2281="",E2281="!!!"),"",IF(OR(J2281=0,AND(J2281=1,K2281=1),AND(J2281=1,I2281="SBJ"),AND(J2281=1,I2281=0)),"?IN_FOCUS",IF(J2281&lt;=2,"?ACTIVATED",IF(J2281&lt;&gt;"","?FAMILIAR",IF(F2281="NEW",IF(ISNA(VLOOKUP(E2281,#REF!,1,FALSE())),"?TYPE_IDENTIFIABLE","?REFERENTIAL"),"_")))))</f>
        <v/>
      </c>
      <c r="H2281" s="12" t="str">
        <f aca="false">IF(J2281&lt;&gt;1,"",IF(I2281="SBJ","CB","?"))</f>
        <v/>
      </c>
      <c r="I2281" s="13" t="str">
        <f aca="false">IF(OR(E2281="",E2281="!!!",F2281="NEW"),"",INDEX(B$2:B2280,-1+SUMPRODUCT(MAX(ROW(E$2:E2280)*(E2281=E$2:E2280)))))</f>
        <v/>
      </c>
      <c r="J2281" s="14" t="str">
        <f aca="true">IF(OR(E2281="",E2281="!!!",F2281="NEW"),"",COUNTBLANK(OFFSET(A$1,,,SUMPRODUCT(MAX(ROW(E$2:E2281)*(E2281=E$2:E2281)))))-COUNTBLANK(OFFSET(A$1,,,SUMPRODUCT(MAX(ROW(E$1:E2280)*(E2281=E$1:E2280))))))</f>
        <v/>
      </c>
      <c r="K2281" s="14" t="str">
        <f aca="false">IF(OR(E2281="",E2281="!!!",F2281="NEW"),"",INDEX(J$1:J2280,SUMPRODUCT(MAX(ROW(E$1:E2280)*(E2281=E$1:E2280)))))</f>
        <v/>
      </c>
      <c r="L2281" s="15"/>
    </row>
    <row r="2282" customFormat="false" ht="12.75" hidden="false" customHeight="false" outlineLevel="0" collapsed="false">
      <c r="A2282" s="0" t="s">
        <v>879</v>
      </c>
      <c r="E2282" s="9" t="str">
        <f aca="false">IF(D2282="?OLD","!!!","")</f>
        <v/>
      </c>
      <c r="F2282" s="10" t="str">
        <f aca="false">IF(OR(E2282="",E2282="!!!"),"",IF(NOT(ISNA(VLOOKUP(E2282,E$1:E2281,1,FALSE()))),"OLD",IF(AND(E2282&lt;&gt;"",E2282&lt;&gt;"!!!"),"NEW","")))</f>
        <v/>
      </c>
      <c r="G2282" s="11" t="str">
        <f aca="false">IF(OR(E2282="",E2282="!!!"),"",IF(OR(J2282=0,AND(J2282=1,K2282=1),AND(J2282=1,I2282="SBJ"),AND(J2282=1,I2282=0)),"?IN_FOCUS",IF(J2282&lt;=2,"?ACTIVATED",IF(J2282&lt;&gt;"","?FAMILIAR",IF(F2282="NEW",IF(ISNA(VLOOKUP(E2282,#REF!,1,FALSE())),"?TYPE_IDENTIFIABLE","?REFERENTIAL"),"_")))))</f>
        <v/>
      </c>
      <c r="H2282" s="12" t="str">
        <f aca="false">IF(J2282&lt;&gt;1,"",IF(I2282="SBJ","CB","?"))</f>
        <v/>
      </c>
      <c r="I2282" s="13" t="str">
        <f aca="false">IF(OR(E2282="",E2282="!!!",F2282="NEW"),"",INDEX(B$2:B2281,-1+SUMPRODUCT(MAX(ROW(E$2:E2281)*(E2282=E$2:E2281)))))</f>
        <v/>
      </c>
      <c r="J2282" s="14" t="str">
        <f aca="true">IF(OR(E2282="",E2282="!!!",F2282="NEW"),"",COUNTBLANK(OFFSET(A$1,,,SUMPRODUCT(MAX(ROW(E$2:E2282)*(E2282=E$2:E2282)))))-COUNTBLANK(OFFSET(A$1,,,SUMPRODUCT(MAX(ROW(E$1:E2281)*(E2282=E$1:E2281))))))</f>
        <v/>
      </c>
      <c r="K2282" s="14" t="str">
        <f aca="false">IF(OR(E2282="",E2282="!!!",F2282="NEW"),"",INDEX(J$1:J2281,SUMPRODUCT(MAX(ROW(E$1:E2281)*(E2282=E$1:E2281)))))</f>
        <v/>
      </c>
      <c r="L2282" s="15"/>
    </row>
    <row r="2283" customFormat="false" ht="12.75" hidden="false" customHeight="false" outlineLevel="0" collapsed="false">
      <c r="A2283" s="0" t="s">
        <v>150</v>
      </c>
      <c r="B2283" s="0" t="s">
        <v>163</v>
      </c>
      <c r="C2283" s="0" t="s">
        <v>55</v>
      </c>
      <c r="D2283" s="0" t="s">
        <v>29</v>
      </c>
      <c r="E2283" s="9" t="str">
        <f aca="false">IF(D2283="?OLD","!!!","")</f>
        <v>!!!</v>
      </c>
      <c r="F2283" s="10" t="str">
        <f aca="false">IF(OR(E2283="",E2283="!!!"),"",IF(NOT(ISNA(VLOOKUP(E2283,E$1:E2282,1,FALSE()))),"OLD",IF(AND(E2283&lt;&gt;"",E2283&lt;&gt;"!!!"),"NEW","")))</f>
        <v/>
      </c>
      <c r="G2283" s="11" t="str">
        <f aca="false">IF(OR(E2283="",E2283="!!!"),"",IF(OR(J2283=0,AND(J2283=1,K2283=1),AND(J2283=1,I2283="SBJ"),AND(J2283=1,I2283=0)),"?IN_FOCUS",IF(J2283&lt;=2,"?ACTIVATED",IF(J2283&lt;&gt;"","?FAMILIAR",IF(F2283="NEW",IF(ISNA(VLOOKUP(E2283,#REF!,1,FALSE())),"?TYPE_IDENTIFIABLE","?REFERENTIAL"),"_")))))</f>
        <v/>
      </c>
      <c r="H2283" s="12" t="str">
        <f aca="false">IF(J2283&lt;&gt;1,"",IF(I2283="SBJ","CB","?"))</f>
        <v/>
      </c>
      <c r="I2283" s="13" t="str">
        <f aca="false">IF(OR(E2283="",E2283="!!!",F2283="NEW"),"",INDEX(B$2:B2282,-1+SUMPRODUCT(MAX(ROW(E$2:E2282)*(E2283=E$2:E2282)))))</f>
        <v/>
      </c>
      <c r="J2283" s="14" t="str">
        <f aca="true">IF(OR(E2283="",E2283="!!!",F2283="NEW"),"",COUNTBLANK(OFFSET(A$1,,,SUMPRODUCT(MAX(ROW(E$2:E2283)*(E2283=E$2:E2283)))))-COUNTBLANK(OFFSET(A$1,,,SUMPRODUCT(MAX(ROW(E$1:E2282)*(E2283=E$1:E2282))))))</f>
        <v/>
      </c>
      <c r="K2283" s="14" t="str">
        <f aca="false">IF(OR(E2283="",E2283="!!!",F2283="NEW"),"",INDEX(J$1:J2282,SUMPRODUCT(MAX(ROW(E$1:E2282)*(E2283=E$1:E2282)))))</f>
        <v/>
      </c>
      <c r="L2283" s="15"/>
    </row>
    <row r="2284" customFormat="false" ht="12.75" hidden="false" customHeight="false" outlineLevel="0" collapsed="false">
      <c r="A2284" s="0" t="s">
        <v>880</v>
      </c>
      <c r="B2284" s="0" t="s">
        <v>536</v>
      </c>
      <c r="C2284" s="0" t="s">
        <v>15</v>
      </c>
      <c r="D2284" s="0" t="s">
        <v>29</v>
      </c>
      <c r="E2284" s="9" t="str">
        <f aca="false">IF(D2284="?OLD","!!!","")</f>
        <v>!!!</v>
      </c>
      <c r="F2284" s="10" t="str">
        <f aca="false">IF(OR(E2284="",E2284="!!!"),"",IF(NOT(ISNA(VLOOKUP(E2284,E$1:E2283,1,FALSE()))),"OLD",IF(AND(E2284&lt;&gt;"",E2284&lt;&gt;"!!!"),"NEW","")))</f>
        <v/>
      </c>
      <c r="G2284" s="11" t="str">
        <f aca="false">IF(OR(E2284="",E2284="!!!"),"",IF(OR(J2284=0,AND(J2284=1,K2284=1),AND(J2284=1,I2284="SBJ"),AND(J2284=1,I2284=0)),"?IN_FOCUS",IF(J2284&lt;=2,"?ACTIVATED",IF(J2284&lt;&gt;"","?FAMILIAR",IF(F2284="NEW",IF(ISNA(VLOOKUP(E2284,#REF!,1,FALSE())),"?TYPE_IDENTIFIABLE","?REFERENTIAL"),"_")))))</f>
        <v/>
      </c>
      <c r="H2284" s="12" t="str">
        <f aca="false">IF(J2284&lt;&gt;1,"",IF(I2284="SBJ","CB","?"))</f>
        <v/>
      </c>
      <c r="I2284" s="13" t="str">
        <f aca="false">IF(OR(E2284="",E2284="!!!",F2284="NEW"),"",INDEX(B$2:B2283,-1+SUMPRODUCT(MAX(ROW(E$2:E2283)*(E2284=E$2:E2283)))))</f>
        <v/>
      </c>
      <c r="J2284" s="14" t="str">
        <f aca="true">IF(OR(E2284="",E2284="!!!",F2284="NEW"),"",COUNTBLANK(OFFSET(A$1,,,SUMPRODUCT(MAX(ROW(E$2:E2284)*(E2284=E$2:E2284)))))-COUNTBLANK(OFFSET(A$1,,,SUMPRODUCT(MAX(ROW(E$1:E2283)*(E2284=E$1:E2283))))))</f>
        <v/>
      </c>
      <c r="K2284" s="14" t="str">
        <f aca="false">IF(OR(E2284="",E2284="!!!",F2284="NEW"),"",INDEX(J$1:J2283,SUMPRODUCT(MAX(ROW(E$1:E2283)*(E2284=E$1:E2283)))))</f>
        <v/>
      </c>
      <c r="L2284" s="15"/>
    </row>
    <row r="2285" customFormat="false" ht="12.75" hidden="false" customHeight="false" outlineLevel="0" collapsed="false">
      <c r="A2285" s="0" t="s">
        <v>73</v>
      </c>
      <c r="E2285" s="9" t="str">
        <f aca="false">IF(D2285="?OLD","!!!","")</f>
        <v/>
      </c>
      <c r="F2285" s="10" t="str">
        <f aca="false">IF(OR(E2285="",E2285="!!!"),"",IF(NOT(ISNA(VLOOKUP(E2285,E$1:E2284,1,FALSE()))),"OLD",IF(AND(E2285&lt;&gt;"",E2285&lt;&gt;"!!!"),"NEW","")))</f>
        <v/>
      </c>
      <c r="G2285" s="11" t="str">
        <f aca="false">IF(OR(E2285="",E2285="!!!"),"",IF(OR(J2285=0,AND(J2285=1,K2285=1),AND(J2285=1,I2285="SBJ"),AND(J2285=1,I2285=0)),"?IN_FOCUS",IF(J2285&lt;=2,"?ACTIVATED",IF(J2285&lt;&gt;"","?FAMILIAR",IF(F2285="NEW",IF(ISNA(VLOOKUP(E2285,#REF!,1,FALSE())),"?TYPE_IDENTIFIABLE","?REFERENTIAL"),"_")))))</f>
        <v/>
      </c>
      <c r="H2285" s="12" t="str">
        <f aca="false">IF(J2285&lt;&gt;1,"",IF(I2285="SBJ","CB","?"))</f>
        <v/>
      </c>
      <c r="I2285" s="13" t="str">
        <f aca="false">IF(OR(E2285="",E2285="!!!",F2285="NEW"),"",INDEX(B$2:B2284,-1+SUMPRODUCT(MAX(ROW(E$2:E2284)*(E2285=E$2:E2284)))))</f>
        <v/>
      </c>
      <c r="J2285" s="14" t="str">
        <f aca="true">IF(OR(E2285="",E2285="!!!",F2285="NEW"),"",COUNTBLANK(OFFSET(A$1,,,SUMPRODUCT(MAX(ROW(E$2:E2285)*(E2285=E$2:E2285)))))-COUNTBLANK(OFFSET(A$1,,,SUMPRODUCT(MAX(ROW(E$1:E2284)*(E2285=E$1:E2284))))))</f>
        <v/>
      </c>
      <c r="K2285" s="14" t="str">
        <f aca="false">IF(OR(E2285="",E2285="!!!",F2285="NEW"),"",INDEX(J$1:J2284,SUMPRODUCT(MAX(ROW(E$1:E2284)*(E2285=E$1:E2284)))))</f>
        <v/>
      </c>
      <c r="L2285" s="15"/>
    </row>
    <row r="2286" customFormat="false" ht="12.75" hidden="false" customHeight="false" outlineLevel="0" collapsed="false">
      <c r="E2286" s="9" t="str">
        <f aca="false">IF(D2286="?OLD","!!!","")</f>
        <v/>
      </c>
      <c r="F2286" s="10" t="str">
        <f aca="false">IF(OR(E2286="",E2286="!!!"),"",IF(NOT(ISNA(VLOOKUP(E2286,E$1:E2285,1,FALSE()))),"OLD",IF(AND(E2286&lt;&gt;"",E2286&lt;&gt;"!!!"),"NEW","")))</f>
        <v/>
      </c>
      <c r="G2286" s="11" t="str">
        <f aca="false">IF(OR(E2286="",E2286="!!!"),"",IF(OR(J2286=0,AND(J2286=1,K2286=1),AND(J2286=1,I2286="SBJ"),AND(J2286=1,I2286=0)),"?IN_FOCUS",IF(J2286&lt;=2,"?ACTIVATED",IF(J2286&lt;&gt;"","?FAMILIAR",IF(F2286="NEW",IF(ISNA(VLOOKUP(E2286,#REF!,1,FALSE())),"?TYPE_IDENTIFIABLE","?REFERENTIAL"),"_")))))</f>
        <v/>
      </c>
      <c r="H2286" s="12" t="str">
        <f aca="false">IF(J2286&lt;&gt;1,"",IF(I2286="SBJ","CB","?"))</f>
        <v/>
      </c>
      <c r="I2286" s="13" t="str">
        <f aca="false">IF(OR(E2286="",E2286="!!!",F2286="NEW"),"",INDEX(B$2:B2285,-1+SUMPRODUCT(MAX(ROW(E$2:E2285)*(E2286=E$2:E2285)))))</f>
        <v/>
      </c>
      <c r="J2286" s="14" t="str">
        <f aca="true">IF(OR(E2286="",E2286="!!!",F2286="NEW"),"",COUNTBLANK(OFFSET(A$1,,,SUMPRODUCT(MAX(ROW(E$2:E2286)*(E2286=E$2:E2286)))))-COUNTBLANK(OFFSET(A$1,,,SUMPRODUCT(MAX(ROW(E$1:E2285)*(E2286=E$1:E2285))))))</f>
        <v/>
      </c>
      <c r="K2286" s="14" t="str">
        <f aca="false">IF(OR(E2286="",E2286="!!!",F2286="NEW"),"",INDEX(J$1:J2285,SUMPRODUCT(MAX(ROW(E$1:E2285)*(E2286=E$1:E2285)))))</f>
        <v/>
      </c>
      <c r="L2286" s="15"/>
    </row>
    <row r="2287" customFormat="false" ht="12.75" hidden="false" customHeight="false" outlineLevel="0" collapsed="false">
      <c r="A2287" s="0" t="s">
        <v>881</v>
      </c>
      <c r="E2287" s="9" t="str">
        <f aca="false">IF(D2287="?OLD","!!!","")</f>
        <v/>
      </c>
      <c r="F2287" s="10" t="str">
        <f aca="false">IF(OR(E2287="",E2287="!!!"),"",IF(NOT(ISNA(VLOOKUP(E2287,E$1:E2286,1,FALSE()))),"OLD",IF(AND(E2287&lt;&gt;"",E2287&lt;&gt;"!!!"),"NEW","")))</f>
        <v/>
      </c>
      <c r="G2287" s="11" t="str">
        <f aca="false">IF(OR(E2287="",E2287="!!!"),"",IF(OR(J2287=0,AND(J2287=1,K2287=1),AND(J2287=1,I2287="SBJ"),AND(J2287=1,I2287=0)),"?IN_FOCUS",IF(J2287&lt;=2,"?ACTIVATED",IF(J2287&lt;&gt;"","?FAMILIAR",IF(F2287="NEW",IF(ISNA(VLOOKUP(E2287,#REF!,1,FALSE())),"?TYPE_IDENTIFIABLE","?REFERENTIAL"),"_")))))</f>
        <v/>
      </c>
      <c r="H2287" s="12" t="str">
        <f aca="false">IF(J2287&lt;&gt;1,"",IF(I2287="SBJ","CB","?"))</f>
        <v/>
      </c>
      <c r="I2287" s="13" t="str">
        <f aca="false">IF(OR(E2287="",E2287="!!!",F2287="NEW"),"",INDEX(B$2:B2286,-1+SUMPRODUCT(MAX(ROW(E$2:E2286)*(E2287=E$2:E2286)))))</f>
        <v/>
      </c>
      <c r="J2287" s="14" t="str">
        <f aca="true">IF(OR(E2287="",E2287="!!!",F2287="NEW"),"",COUNTBLANK(OFFSET(A$1,,,SUMPRODUCT(MAX(ROW(E$2:E2287)*(E2287=E$2:E2287)))))-COUNTBLANK(OFFSET(A$1,,,SUMPRODUCT(MAX(ROW(E$1:E2286)*(E2287=E$1:E2286))))))</f>
        <v/>
      </c>
      <c r="K2287" s="14" t="str">
        <f aca="false">IF(OR(E2287="",E2287="!!!",F2287="NEW"),"",INDEX(J$1:J2286,SUMPRODUCT(MAX(ROW(E$1:E2286)*(E2287=E$1:E2286)))))</f>
        <v/>
      </c>
      <c r="L2287" s="15"/>
    </row>
    <row r="2288" customFormat="false" ht="12.75" hidden="false" customHeight="false" outlineLevel="0" collapsed="false">
      <c r="A2288" s="0" t="s">
        <v>770</v>
      </c>
      <c r="E2288" s="9" t="str">
        <f aca="false">IF(D2288="?OLD","!!!","")</f>
        <v/>
      </c>
      <c r="F2288" s="10" t="str">
        <f aca="false">IF(OR(E2288="",E2288="!!!"),"",IF(NOT(ISNA(VLOOKUP(E2288,E$1:E2287,1,FALSE()))),"OLD",IF(AND(E2288&lt;&gt;"",E2288&lt;&gt;"!!!"),"NEW","")))</f>
        <v/>
      </c>
      <c r="G2288" s="11" t="str">
        <f aca="false">IF(OR(E2288="",E2288="!!!"),"",IF(OR(J2288=0,AND(J2288=1,K2288=1),AND(J2288=1,I2288="SBJ"),AND(J2288=1,I2288=0)),"?IN_FOCUS",IF(J2288&lt;=2,"?ACTIVATED",IF(J2288&lt;&gt;"","?FAMILIAR",IF(F2288="NEW",IF(ISNA(VLOOKUP(E2288,#REF!,1,FALSE())),"?TYPE_IDENTIFIABLE","?REFERENTIAL"),"_")))))</f>
        <v/>
      </c>
      <c r="H2288" s="12" t="str">
        <f aca="false">IF(J2288&lt;&gt;1,"",IF(I2288="SBJ","CB","?"))</f>
        <v/>
      </c>
      <c r="I2288" s="13" t="str">
        <f aca="false">IF(OR(E2288="",E2288="!!!",F2288="NEW"),"",INDEX(B$2:B2287,-1+SUMPRODUCT(MAX(ROW(E$2:E2287)*(E2288=E$2:E2287)))))</f>
        <v/>
      </c>
      <c r="J2288" s="14" t="str">
        <f aca="true">IF(OR(E2288="",E2288="!!!",F2288="NEW"),"",COUNTBLANK(OFFSET(A$1,,,SUMPRODUCT(MAX(ROW(E$2:E2288)*(E2288=E$2:E2288)))))-COUNTBLANK(OFFSET(A$1,,,SUMPRODUCT(MAX(ROW(E$1:E2287)*(E2288=E$1:E2287))))))</f>
        <v/>
      </c>
      <c r="K2288" s="14" t="str">
        <f aca="false">IF(OR(E2288="",E2288="!!!",F2288="NEW"),"",INDEX(J$1:J2287,SUMPRODUCT(MAX(ROW(E$1:E2287)*(E2288=E$1:E2287)))))</f>
        <v/>
      </c>
      <c r="L2288" s="15"/>
    </row>
    <row r="2289" customFormat="false" ht="12.75" hidden="false" customHeight="false" outlineLevel="0" collapsed="false">
      <c r="A2289" s="0" t="s">
        <v>21</v>
      </c>
      <c r="B2289" s="0" t="s">
        <v>14</v>
      </c>
      <c r="C2289" s="0" t="s">
        <v>23</v>
      </c>
      <c r="D2289" s="0" t="s">
        <v>29</v>
      </c>
      <c r="E2289" s="9" t="str">
        <f aca="false">IF(D2289="?OLD","!!!","")</f>
        <v>!!!</v>
      </c>
      <c r="F2289" s="10" t="str">
        <f aca="false">IF(OR(E2289="",E2289="!!!"),"",IF(NOT(ISNA(VLOOKUP(E2289,E$1:E2288,1,FALSE()))),"OLD",IF(AND(E2289&lt;&gt;"",E2289&lt;&gt;"!!!"),"NEW","")))</f>
        <v/>
      </c>
      <c r="G2289" s="11" t="str">
        <f aca="false">IF(OR(E2289="",E2289="!!!"),"",IF(OR(J2289=0,AND(J2289=1,K2289=1),AND(J2289=1,I2289="SBJ"),AND(J2289=1,I2289=0)),"?IN_FOCUS",IF(J2289&lt;=2,"?ACTIVATED",IF(J2289&lt;&gt;"","?FAMILIAR",IF(F2289="NEW",IF(ISNA(VLOOKUP(E2289,#REF!,1,FALSE())),"?TYPE_IDENTIFIABLE","?REFERENTIAL"),"_")))))</f>
        <v/>
      </c>
      <c r="H2289" s="12" t="str">
        <f aca="false">IF(J2289&lt;&gt;1,"",IF(I2289="SBJ","CB","?"))</f>
        <v/>
      </c>
      <c r="I2289" s="13" t="str">
        <f aca="false">IF(OR(E2289="",E2289="!!!",F2289="NEW"),"",INDEX(B$2:B2288,-1+SUMPRODUCT(MAX(ROW(E$2:E2288)*(E2289=E$2:E2288)))))</f>
        <v/>
      </c>
      <c r="J2289" s="14" t="str">
        <f aca="true">IF(OR(E2289="",E2289="!!!",F2289="NEW"),"",COUNTBLANK(OFFSET(A$1,,,SUMPRODUCT(MAX(ROW(E$2:E2289)*(E2289=E$2:E2289)))))-COUNTBLANK(OFFSET(A$1,,,SUMPRODUCT(MAX(ROW(E$1:E2288)*(E2289=E$1:E2288))))))</f>
        <v/>
      </c>
      <c r="K2289" s="14" t="str">
        <f aca="false">IF(OR(E2289="",E2289="!!!",F2289="NEW"),"",INDEX(J$1:J2288,SUMPRODUCT(MAX(ROW(E$1:E2288)*(E2289=E$1:E2288)))))</f>
        <v/>
      </c>
      <c r="L2289" s="15"/>
    </row>
    <row r="2290" customFormat="false" ht="12.75" hidden="false" customHeight="false" outlineLevel="0" collapsed="false">
      <c r="A2290" s="0" t="s">
        <v>88</v>
      </c>
      <c r="E2290" s="9" t="str">
        <f aca="false">IF(D2290="?OLD","!!!","")</f>
        <v/>
      </c>
      <c r="F2290" s="10" t="str">
        <f aca="false">IF(OR(E2290="",E2290="!!!"),"",IF(NOT(ISNA(VLOOKUP(E2290,E$1:E2289,1,FALSE()))),"OLD",IF(AND(E2290&lt;&gt;"",E2290&lt;&gt;"!!!"),"NEW","")))</f>
        <v/>
      </c>
      <c r="G2290" s="11" t="str">
        <f aca="false">IF(OR(E2290="",E2290="!!!"),"",IF(OR(J2290=0,AND(J2290=1,K2290=1),AND(J2290=1,I2290="SBJ"),AND(J2290=1,I2290=0)),"?IN_FOCUS",IF(J2290&lt;=2,"?ACTIVATED",IF(J2290&lt;&gt;"","?FAMILIAR",IF(F2290="NEW",IF(ISNA(VLOOKUP(E2290,#REF!,1,FALSE())),"?TYPE_IDENTIFIABLE","?REFERENTIAL"),"_")))))</f>
        <v/>
      </c>
      <c r="H2290" s="12" t="str">
        <f aca="false">IF(J2290&lt;&gt;1,"",IF(I2290="SBJ","CB","?"))</f>
        <v/>
      </c>
      <c r="I2290" s="13" t="str">
        <f aca="false">IF(OR(E2290="",E2290="!!!",F2290="NEW"),"",INDEX(B$2:B2289,-1+SUMPRODUCT(MAX(ROW(E$2:E2289)*(E2290=E$2:E2289)))))</f>
        <v/>
      </c>
      <c r="J2290" s="14" t="str">
        <f aca="true">IF(OR(E2290="",E2290="!!!",F2290="NEW"),"",COUNTBLANK(OFFSET(A$1,,,SUMPRODUCT(MAX(ROW(E$2:E2290)*(E2290=E$2:E2290)))))-COUNTBLANK(OFFSET(A$1,,,SUMPRODUCT(MAX(ROW(E$1:E2289)*(E2290=E$1:E2289))))))</f>
        <v/>
      </c>
      <c r="K2290" s="14" t="str">
        <f aca="false">IF(OR(E2290="",E2290="!!!",F2290="NEW"),"",INDEX(J$1:J2289,SUMPRODUCT(MAX(ROW(E$1:E2289)*(E2290=E$1:E2289)))))</f>
        <v/>
      </c>
      <c r="L2290" s="15"/>
    </row>
    <row r="2291" customFormat="false" ht="12.75" hidden="false" customHeight="false" outlineLevel="0" collapsed="false">
      <c r="A2291" s="0" t="s">
        <v>122</v>
      </c>
      <c r="B2291" s="0" t="s">
        <v>28</v>
      </c>
      <c r="C2291" s="0" t="s">
        <v>38</v>
      </c>
      <c r="D2291" s="0" t="s">
        <v>29</v>
      </c>
      <c r="E2291" s="9" t="str">
        <f aca="false">IF(D2291="?OLD","!!!","")</f>
        <v>!!!</v>
      </c>
      <c r="F2291" s="10" t="str">
        <f aca="false">IF(OR(E2291="",E2291="!!!"),"",IF(NOT(ISNA(VLOOKUP(E2291,E$1:E2290,1,FALSE()))),"OLD",IF(AND(E2291&lt;&gt;"",E2291&lt;&gt;"!!!"),"NEW","")))</f>
        <v/>
      </c>
      <c r="G2291" s="11" t="str">
        <f aca="false">IF(OR(E2291="",E2291="!!!"),"",IF(OR(J2291=0,AND(J2291=1,K2291=1),AND(J2291=1,I2291="SBJ"),AND(J2291=1,I2291=0)),"?IN_FOCUS",IF(J2291&lt;=2,"?ACTIVATED",IF(J2291&lt;&gt;"","?FAMILIAR",IF(F2291="NEW",IF(ISNA(VLOOKUP(E2291,#REF!,1,FALSE())),"?TYPE_IDENTIFIABLE","?REFERENTIAL"),"_")))))</f>
        <v/>
      </c>
      <c r="H2291" s="12" t="str">
        <f aca="false">IF(J2291&lt;&gt;1,"",IF(I2291="SBJ","CB","?"))</f>
        <v/>
      </c>
      <c r="I2291" s="13" t="str">
        <f aca="false">IF(OR(E2291="",E2291="!!!",F2291="NEW"),"",INDEX(B$2:B2290,-1+SUMPRODUCT(MAX(ROW(E$2:E2290)*(E2291=E$2:E2290)))))</f>
        <v/>
      </c>
      <c r="J2291" s="14" t="str">
        <f aca="true">IF(OR(E2291="",E2291="!!!",F2291="NEW"),"",COUNTBLANK(OFFSET(A$1,,,SUMPRODUCT(MAX(ROW(E$2:E2291)*(E2291=E$2:E2291)))))-COUNTBLANK(OFFSET(A$1,,,SUMPRODUCT(MAX(ROW(E$1:E2290)*(E2291=E$1:E2290))))))</f>
        <v/>
      </c>
      <c r="K2291" s="14" t="str">
        <f aca="false">IF(OR(E2291="",E2291="!!!",F2291="NEW"),"",INDEX(J$1:J2290,SUMPRODUCT(MAX(ROW(E$1:E2290)*(E2291=E$1:E2290)))))</f>
        <v/>
      </c>
      <c r="L2291" s="15"/>
    </row>
    <row r="2292" customFormat="false" ht="12.75" hidden="false" customHeight="false" outlineLevel="0" collapsed="false">
      <c r="A2292" s="0" t="s">
        <v>679</v>
      </c>
      <c r="E2292" s="9" t="str">
        <f aca="false">IF(D2292="?OLD","!!!","")</f>
        <v/>
      </c>
      <c r="F2292" s="10" t="str">
        <f aca="false">IF(OR(E2292="",E2292="!!!"),"",IF(NOT(ISNA(VLOOKUP(E2292,E$1:E2291,1,FALSE()))),"OLD",IF(AND(E2292&lt;&gt;"",E2292&lt;&gt;"!!!"),"NEW","")))</f>
        <v/>
      </c>
      <c r="G2292" s="11" t="str">
        <f aca="false">IF(OR(E2292="",E2292="!!!"),"",IF(OR(J2292=0,AND(J2292=1,K2292=1),AND(J2292=1,I2292="SBJ"),AND(J2292=1,I2292=0)),"?IN_FOCUS",IF(J2292&lt;=2,"?ACTIVATED",IF(J2292&lt;&gt;"","?FAMILIAR",IF(F2292="NEW",IF(ISNA(VLOOKUP(E2292,#REF!,1,FALSE())),"?TYPE_IDENTIFIABLE","?REFERENTIAL"),"_")))))</f>
        <v/>
      </c>
      <c r="H2292" s="12" t="str">
        <f aca="false">IF(J2292&lt;&gt;1,"",IF(I2292="SBJ","CB","?"))</f>
        <v/>
      </c>
      <c r="I2292" s="13" t="str">
        <f aca="false">IF(OR(E2292="",E2292="!!!",F2292="NEW"),"",INDEX(B$2:B2291,-1+SUMPRODUCT(MAX(ROW(E$2:E2291)*(E2292=E$2:E2291)))))</f>
        <v/>
      </c>
      <c r="J2292" s="14" t="str">
        <f aca="true">IF(OR(E2292="",E2292="!!!",F2292="NEW"),"",COUNTBLANK(OFFSET(A$1,,,SUMPRODUCT(MAX(ROW(E$2:E2292)*(E2292=E$2:E2292)))))-COUNTBLANK(OFFSET(A$1,,,SUMPRODUCT(MAX(ROW(E$1:E2291)*(E2292=E$1:E2291))))))</f>
        <v/>
      </c>
      <c r="K2292" s="14" t="str">
        <f aca="false">IF(OR(E2292="",E2292="!!!",F2292="NEW"),"",INDEX(J$1:J2291,SUMPRODUCT(MAX(ROW(E$1:E2291)*(E2292=E$1:E2291)))))</f>
        <v/>
      </c>
      <c r="L2292" s="15"/>
    </row>
    <row r="2293" customFormat="false" ht="12.75" hidden="false" customHeight="false" outlineLevel="0" collapsed="false">
      <c r="A2293" s="0" t="s">
        <v>882</v>
      </c>
      <c r="E2293" s="9" t="str">
        <f aca="false">IF(D2293="?OLD","!!!","")</f>
        <v/>
      </c>
      <c r="F2293" s="10" t="str">
        <f aca="false">IF(OR(E2293="",E2293="!!!"),"",IF(NOT(ISNA(VLOOKUP(E2293,E$1:E2292,1,FALSE()))),"OLD",IF(AND(E2293&lt;&gt;"",E2293&lt;&gt;"!!!"),"NEW","")))</f>
        <v/>
      </c>
      <c r="G2293" s="11" t="str">
        <f aca="false">IF(OR(E2293="",E2293="!!!"),"",IF(OR(J2293=0,AND(J2293=1,K2293=1),AND(J2293=1,I2293="SBJ"),AND(J2293=1,I2293=0)),"?IN_FOCUS",IF(J2293&lt;=2,"?ACTIVATED",IF(J2293&lt;&gt;"","?FAMILIAR",IF(F2293="NEW",IF(ISNA(VLOOKUP(E2293,#REF!,1,FALSE())),"?TYPE_IDENTIFIABLE","?REFERENTIAL"),"_")))))</f>
        <v/>
      </c>
      <c r="H2293" s="12" t="str">
        <f aca="false">IF(J2293&lt;&gt;1,"",IF(I2293="SBJ","CB","?"))</f>
        <v/>
      </c>
      <c r="I2293" s="13" t="str">
        <f aca="false">IF(OR(E2293="",E2293="!!!",F2293="NEW"),"",INDEX(B$2:B2292,-1+SUMPRODUCT(MAX(ROW(E$2:E2292)*(E2293=E$2:E2292)))))</f>
        <v/>
      </c>
      <c r="J2293" s="14" t="str">
        <f aca="true">IF(OR(E2293="",E2293="!!!",F2293="NEW"),"",COUNTBLANK(OFFSET(A$1,,,SUMPRODUCT(MAX(ROW(E$2:E2293)*(E2293=E$2:E2293)))))-COUNTBLANK(OFFSET(A$1,,,SUMPRODUCT(MAX(ROW(E$1:E2292)*(E2293=E$1:E2292))))))</f>
        <v/>
      </c>
      <c r="K2293" s="14" t="str">
        <f aca="false">IF(OR(E2293="",E2293="!!!",F2293="NEW"),"",INDEX(J$1:J2292,SUMPRODUCT(MAX(ROW(E$1:E2292)*(E2293=E$1:E2292)))))</f>
        <v/>
      </c>
      <c r="L2293" s="15"/>
    </row>
    <row r="2294" customFormat="false" ht="12.75" hidden="false" customHeight="false" outlineLevel="0" collapsed="false">
      <c r="A2294" s="0" t="s">
        <v>883</v>
      </c>
      <c r="E2294" s="9" t="str">
        <f aca="false">IF(D2294="?OLD","!!!","")</f>
        <v/>
      </c>
      <c r="F2294" s="10" t="str">
        <f aca="false">IF(OR(E2294="",E2294="!!!"),"",IF(NOT(ISNA(VLOOKUP(E2294,E$1:E2293,1,FALSE()))),"OLD",IF(AND(E2294&lt;&gt;"",E2294&lt;&gt;"!!!"),"NEW","")))</f>
        <v/>
      </c>
      <c r="G2294" s="11" t="str">
        <f aca="false">IF(OR(E2294="",E2294="!!!"),"",IF(OR(J2294=0,AND(J2294=1,K2294=1),AND(J2294=1,I2294="SBJ"),AND(J2294=1,I2294=0)),"?IN_FOCUS",IF(J2294&lt;=2,"?ACTIVATED",IF(J2294&lt;&gt;"","?FAMILIAR",IF(F2294="NEW",IF(ISNA(VLOOKUP(E2294,#REF!,1,FALSE())),"?TYPE_IDENTIFIABLE","?REFERENTIAL"),"_")))))</f>
        <v/>
      </c>
      <c r="H2294" s="12" t="str">
        <f aca="false">IF(J2294&lt;&gt;1,"",IF(I2294="SBJ","CB","?"))</f>
        <v/>
      </c>
      <c r="I2294" s="13" t="str">
        <f aca="false">IF(OR(E2294="",E2294="!!!",F2294="NEW"),"",INDEX(B$2:B2293,-1+SUMPRODUCT(MAX(ROW(E$2:E2293)*(E2294=E$2:E2293)))))</f>
        <v/>
      </c>
      <c r="J2294" s="14" t="str">
        <f aca="true">IF(OR(E2294="",E2294="!!!",F2294="NEW"),"",COUNTBLANK(OFFSET(A$1,,,SUMPRODUCT(MAX(ROW(E$2:E2294)*(E2294=E$2:E2294)))))-COUNTBLANK(OFFSET(A$1,,,SUMPRODUCT(MAX(ROW(E$1:E2293)*(E2294=E$1:E2293))))))</f>
        <v/>
      </c>
      <c r="K2294" s="14" t="str">
        <f aca="false">IF(OR(E2294="",E2294="!!!",F2294="NEW"),"",INDEX(J$1:J2293,SUMPRODUCT(MAX(ROW(E$1:E2293)*(E2294=E$1:E2293)))))</f>
        <v/>
      </c>
      <c r="L2294" s="15"/>
    </row>
    <row r="2295" customFormat="false" ht="12.75" hidden="false" customHeight="false" outlineLevel="0" collapsed="false">
      <c r="A2295" s="0" t="s">
        <v>31</v>
      </c>
      <c r="E2295" s="9" t="str">
        <f aca="false">IF(D2295="?OLD","!!!","")</f>
        <v/>
      </c>
      <c r="F2295" s="10" t="str">
        <f aca="false">IF(OR(E2295="",E2295="!!!"),"",IF(NOT(ISNA(VLOOKUP(E2295,E$1:E2294,1,FALSE()))),"OLD",IF(AND(E2295&lt;&gt;"",E2295&lt;&gt;"!!!"),"NEW","")))</f>
        <v/>
      </c>
      <c r="G2295" s="11" t="str">
        <f aca="false">IF(OR(E2295="",E2295="!!!"),"",IF(OR(J2295=0,AND(J2295=1,K2295=1),AND(J2295=1,I2295="SBJ"),AND(J2295=1,I2295=0)),"?IN_FOCUS",IF(J2295&lt;=2,"?ACTIVATED",IF(J2295&lt;&gt;"","?FAMILIAR",IF(F2295="NEW",IF(ISNA(VLOOKUP(E2295,#REF!,1,FALSE())),"?TYPE_IDENTIFIABLE","?REFERENTIAL"),"_")))))</f>
        <v/>
      </c>
      <c r="H2295" s="12" t="str">
        <f aca="false">IF(J2295&lt;&gt;1,"",IF(I2295="SBJ","CB","?"))</f>
        <v/>
      </c>
      <c r="I2295" s="13" t="str">
        <f aca="false">IF(OR(E2295="",E2295="!!!",F2295="NEW"),"",INDEX(B$2:B2294,-1+SUMPRODUCT(MAX(ROW(E$2:E2294)*(E2295=E$2:E2294)))))</f>
        <v/>
      </c>
      <c r="J2295" s="14" t="str">
        <f aca="true">IF(OR(E2295="",E2295="!!!",F2295="NEW"),"",COUNTBLANK(OFFSET(A$1,,,SUMPRODUCT(MAX(ROW(E$2:E2295)*(E2295=E$2:E2295)))))-COUNTBLANK(OFFSET(A$1,,,SUMPRODUCT(MAX(ROW(E$1:E2294)*(E2295=E$1:E2294))))))</f>
        <v/>
      </c>
      <c r="K2295" s="14" t="str">
        <f aca="false">IF(OR(E2295="",E2295="!!!",F2295="NEW"),"",INDEX(J$1:J2294,SUMPRODUCT(MAX(ROW(E$1:E2294)*(E2295=E$1:E2294)))))</f>
        <v/>
      </c>
      <c r="L2295" s="15"/>
    </row>
    <row r="2296" customFormat="false" ht="12.75" hidden="false" customHeight="false" outlineLevel="0" collapsed="false">
      <c r="A2296" s="0" t="s">
        <v>88</v>
      </c>
      <c r="E2296" s="9" t="str">
        <f aca="false">IF(D2296="?OLD","!!!","")</f>
        <v/>
      </c>
      <c r="F2296" s="10" t="str">
        <f aca="false">IF(OR(E2296="",E2296="!!!"),"",IF(NOT(ISNA(VLOOKUP(E2296,E$1:E2295,1,FALSE()))),"OLD",IF(AND(E2296&lt;&gt;"",E2296&lt;&gt;"!!!"),"NEW","")))</f>
        <v/>
      </c>
      <c r="G2296" s="11" t="str">
        <f aca="false">IF(OR(E2296="",E2296="!!!"),"",IF(OR(J2296=0,AND(J2296=1,K2296=1),AND(J2296=1,I2296="SBJ"),AND(J2296=1,I2296=0)),"?IN_FOCUS",IF(J2296&lt;=2,"?ACTIVATED",IF(J2296&lt;&gt;"","?FAMILIAR",IF(F2296="NEW",IF(ISNA(VLOOKUP(E2296,#REF!,1,FALSE())),"?TYPE_IDENTIFIABLE","?REFERENTIAL"),"_")))))</f>
        <v/>
      </c>
      <c r="H2296" s="12" t="str">
        <f aca="false">IF(J2296&lt;&gt;1,"",IF(I2296="SBJ","CB","?"))</f>
        <v/>
      </c>
      <c r="I2296" s="13" t="str">
        <f aca="false">IF(OR(E2296="",E2296="!!!",F2296="NEW"),"",INDEX(B$2:B2295,-1+SUMPRODUCT(MAX(ROW(E$2:E2295)*(E2296=E$2:E2295)))))</f>
        <v/>
      </c>
      <c r="J2296" s="14" t="str">
        <f aca="true">IF(OR(E2296="",E2296="!!!",F2296="NEW"),"",COUNTBLANK(OFFSET(A$1,,,SUMPRODUCT(MAX(ROW(E$2:E2296)*(E2296=E$2:E2296)))))-COUNTBLANK(OFFSET(A$1,,,SUMPRODUCT(MAX(ROW(E$1:E2295)*(E2296=E$1:E2295))))))</f>
        <v/>
      </c>
      <c r="K2296" s="14" t="str">
        <f aca="false">IF(OR(E2296="",E2296="!!!",F2296="NEW"),"",INDEX(J$1:J2295,SUMPRODUCT(MAX(ROW(E$1:E2295)*(E2296=E$1:E2295)))))</f>
        <v/>
      </c>
      <c r="L2296" s="15"/>
    </row>
    <row r="2297" customFormat="false" ht="12.75" hidden="false" customHeight="false" outlineLevel="0" collapsed="false">
      <c r="A2297" s="0" t="s">
        <v>66</v>
      </c>
      <c r="E2297" s="9" t="str">
        <f aca="false">IF(D2297="?OLD","!!!","")</f>
        <v/>
      </c>
      <c r="F2297" s="10" t="str">
        <f aca="false">IF(OR(E2297="",E2297="!!!"),"",IF(NOT(ISNA(VLOOKUP(E2297,E$1:E2296,1,FALSE()))),"OLD",IF(AND(E2297&lt;&gt;"",E2297&lt;&gt;"!!!"),"NEW","")))</f>
        <v/>
      </c>
      <c r="G2297" s="11" t="str">
        <f aca="false">IF(OR(E2297="",E2297="!!!"),"",IF(OR(J2297=0,AND(J2297=1,K2297=1),AND(J2297=1,I2297="SBJ"),AND(J2297=1,I2297=0)),"?IN_FOCUS",IF(J2297&lt;=2,"?ACTIVATED",IF(J2297&lt;&gt;"","?FAMILIAR",IF(F2297="NEW",IF(ISNA(VLOOKUP(E2297,#REF!,1,FALSE())),"?TYPE_IDENTIFIABLE","?REFERENTIAL"),"_")))))</f>
        <v/>
      </c>
      <c r="H2297" s="12" t="str">
        <f aca="false">IF(J2297&lt;&gt;1,"",IF(I2297="SBJ","CB","?"))</f>
        <v/>
      </c>
      <c r="I2297" s="13" t="str">
        <f aca="false">IF(OR(E2297="",E2297="!!!",F2297="NEW"),"",INDEX(B$2:B2296,-1+SUMPRODUCT(MAX(ROW(E$2:E2296)*(E2297=E$2:E2296)))))</f>
        <v/>
      </c>
      <c r="J2297" s="14" t="str">
        <f aca="true">IF(OR(E2297="",E2297="!!!",F2297="NEW"),"",COUNTBLANK(OFFSET(A$1,,,SUMPRODUCT(MAX(ROW(E$2:E2297)*(E2297=E$2:E2297)))))-COUNTBLANK(OFFSET(A$1,,,SUMPRODUCT(MAX(ROW(E$1:E2296)*(E2297=E$1:E2296))))))</f>
        <v/>
      </c>
      <c r="K2297" s="14" t="str">
        <f aca="false">IF(OR(E2297="",E2297="!!!",F2297="NEW"),"",INDEX(J$1:J2296,SUMPRODUCT(MAX(ROW(E$1:E2296)*(E2297=E$1:E2296)))))</f>
        <v/>
      </c>
      <c r="L2297" s="15"/>
    </row>
    <row r="2298" customFormat="false" ht="12.75" hidden="false" customHeight="false" outlineLevel="0" collapsed="false">
      <c r="A2298" s="0" t="s">
        <v>871</v>
      </c>
      <c r="B2298" s="0" t="s">
        <v>42</v>
      </c>
      <c r="C2298" s="0" t="s">
        <v>111</v>
      </c>
      <c r="D2298" s="0" t="s">
        <v>29</v>
      </c>
      <c r="E2298" s="9" t="str">
        <f aca="false">IF(D2298="?OLD","!!!","")</f>
        <v>!!!</v>
      </c>
      <c r="F2298" s="10" t="str">
        <f aca="false">IF(OR(E2298="",E2298="!!!"),"",IF(NOT(ISNA(VLOOKUP(E2298,E$1:E2297,1,FALSE()))),"OLD",IF(AND(E2298&lt;&gt;"",E2298&lt;&gt;"!!!"),"NEW","")))</f>
        <v/>
      </c>
      <c r="G2298" s="11" t="str">
        <f aca="false">IF(OR(E2298="",E2298="!!!"),"",IF(OR(J2298=0,AND(J2298=1,K2298=1),AND(J2298=1,I2298="SBJ"),AND(J2298=1,I2298=0)),"?IN_FOCUS",IF(J2298&lt;=2,"?ACTIVATED",IF(J2298&lt;&gt;"","?FAMILIAR",IF(F2298="NEW",IF(ISNA(VLOOKUP(E2298,#REF!,1,FALSE())),"?TYPE_IDENTIFIABLE","?REFERENTIAL"),"_")))))</f>
        <v/>
      </c>
      <c r="H2298" s="12" t="str">
        <f aca="false">IF(J2298&lt;&gt;1,"",IF(I2298="SBJ","CB","?"))</f>
        <v/>
      </c>
      <c r="I2298" s="13" t="str">
        <f aca="false">IF(OR(E2298="",E2298="!!!",F2298="NEW"),"",INDEX(B$2:B2297,-1+SUMPRODUCT(MAX(ROW(E$2:E2297)*(E2298=E$2:E2297)))))</f>
        <v/>
      </c>
      <c r="J2298" s="14" t="str">
        <f aca="true">IF(OR(E2298="",E2298="!!!",F2298="NEW"),"",COUNTBLANK(OFFSET(A$1,,,SUMPRODUCT(MAX(ROW(E$2:E2298)*(E2298=E$2:E2298)))))-COUNTBLANK(OFFSET(A$1,,,SUMPRODUCT(MAX(ROW(E$1:E2297)*(E2298=E$1:E2297))))))</f>
        <v/>
      </c>
      <c r="K2298" s="14" t="str">
        <f aca="false">IF(OR(E2298="",E2298="!!!",F2298="NEW"),"",INDEX(J$1:J2297,SUMPRODUCT(MAX(ROW(E$1:E2297)*(E2298=E$1:E2297)))))</f>
        <v/>
      </c>
      <c r="L2298" s="15"/>
    </row>
    <row r="2299" customFormat="false" ht="12.75" hidden="false" customHeight="false" outlineLevel="0" collapsed="false">
      <c r="A2299" s="0" t="s">
        <v>819</v>
      </c>
      <c r="E2299" s="9" t="str">
        <f aca="false">IF(D2299="?OLD","!!!","")</f>
        <v/>
      </c>
      <c r="F2299" s="10" t="str">
        <f aca="false">IF(OR(E2299="",E2299="!!!"),"",IF(NOT(ISNA(VLOOKUP(E2299,E$1:E2298,1,FALSE()))),"OLD",IF(AND(E2299&lt;&gt;"",E2299&lt;&gt;"!!!"),"NEW","")))</f>
        <v/>
      </c>
      <c r="G2299" s="11" t="str">
        <f aca="false">IF(OR(E2299="",E2299="!!!"),"",IF(OR(J2299=0,AND(J2299=1,K2299=1),AND(J2299=1,I2299="SBJ"),AND(J2299=1,I2299=0)),"?IN_FOCUS",IF(J2299&lt;=2,"?ACTIVATED",IF(J2299&lt;&gt;"","?FAMILIAR",IF(F2299="NEW",IF(ISNA(VLOOKUP(E2299,#REF!,1,FALSE())),"?TYPE_IDENTIFIABLE","?REFERENTIAL"),"_")))))</f>
        <v/>
      </c>
      <c r="H2299" s="12" t="str">
        <f aca="false">IF(J2299&lt;&gt;1,"",IF(I2299="SBJ","CB","?"))</f>
        <v/>
      </c>
      <c r="I2299" s="13" t="str">
        <f aca="false">IF(OR(E2299="",E2299="!!!",F2299="NEW"),"",INDEX(B$2:B2298,-1+SUMPRODUCT(MAX(ROW(E$2:E2298)*(E2299=E$2:E2298)))))</f>
        <v/>
      </c>
      <c r="J2299" s="14" t="str">
        <f aca="true">IF(OR(E2299="",E2299="!!!",F2299="NEW"),"",COUNTBLANK(OFFSET(A$1,,,SUMPRODUCT(MAX(ROW(E$2:E2299)*(E2299=E$2:E2299)))))-COUNTBLANK(OFFSET(A$1,,,SUMPRODUCT(MAX(ROW(E$1:E2298)*(E2299=E$1:E2298))))))</f>
        <v/>
      </c>
      <c r="K2299" s="14" t="str">
        <f aca="false">IF(OR(E2299="",E2299="!!!",F2299="NEW"),"",INDEX(J$1:J2298,SUMPRODUCT(MAX(ROW(E$1:E2298)*(E2299=E$1:E2298)))))</f>
        <v/>
      </c>
      <c r="L2299" s="15"/>
    </row>
    <row r="2300" customFormat="false" ht="12.75" hidden="false" customHeight="false" outlineLevel="0" collapsed="false">
      <c r="A2300" s="0" t="s">
        <v>40</v>
      </c>
      <c r="E2300" s="9" t="str">
        <f aca="false">IF(D2300="?OLD","!!!","")</f>
        <v/>
      </c>
      <c r="F2300" s="10" t="str">
        <f aca="false">IF(OR(E2300="",E2300="!!!"),"",IF(NOT(ISNA(VLOOKUP(E2300,E$1:E2299,1,FALSE()))),"OLD",IF(AND(E2300&lt;&gt;"",E2300&lt;&gt;"!!!"),"NEW","")))</f>
        <v/>
      </c>
      <c r="G2300" s="11" t="str">
        <f aca="false">IF(OR(E2300="",E2300="!!!"),"",IF(OR(J2300=0,AND(J2300=1,K2300=1),AND(J2300=1,I2300="SBJ"),AND(J2300=1,I2300=0)),"?IN_FOCUS",IF(J2300&lt;=2,"?ACTIVATED",IF(J2300&lt;&gt;"","?FAMILIAR",IF(F2300="NEW",IF(ISNA(VLOOKUP(E2300,#REF!,1,FALSE())),"?TYPE_IDENTIFIABLE","?REFERENTIAL"),"_")))))</f>
        <v/>
      </c>
      <c r="H2300" s="12" t="str">
        <f aca="false">IF(J2300&lt;&gt;1,"",IF(I2300="SBJ","CB","?"))</f>
        <v/>
      </c>
      <c r="I2300" s="13" t="str">
        <f aca="false">IF(OR(E2300="",E2300="!!!",F2300="NEW"),"",INDEX(B$2:B2299,-1+SUMPRODUCT(MAX(ROW(E$2:E2299)*(E2300=E$2:E2299)))))</f>
        <v/>
      </c>
      <c r="J2300" s="14" t="str">
        <f aca="true">IF(OR(E2300="",E2300="!!!",F2300="NEW"),"",COUNTBLANK(OFFSET(A$1,,,SUMPRODUCT(MAX(ROW(E$2:E2300)*(E2300=E$2:E2300)))))-COUNTBLANK(OFFSET(A$1,,,SUMPRODUCT(MAX(ROW(E$1:E2299)*(E2300=E$1:E2299))))))</f>
        <v/>
      </c>
      <c r="K2300" s="14" t="str">
        <f aca="false">IF(OR(E2300="",E2300="!!!",F2300="NEW"),"",INDEX(J$1:J2299,SUMPRODUCT(MAX(ROW(E$1:E2299)*(E2300=E$1:E2299)))))</f>
        <v/>
      </c>
      <c r="L2300" s="15"/>
    </row>
    <row r="2301" customFormat="false" ht="12.75" hidden="false" customHeight="false" outlineLevel="0" collapsed="false">
      <c r="A2301" s="0" t="s">
        <v>884</v>
      </c>
      <c r="E2301" s="9" t="str">
        <f aca="false">IF(D2301="?OLD","!!!","")</f>
        <v/>
      </c>
      <c r="F2301" s="10" t="str">
        <f aca="false">IF(OR(E2301="",E2301="!!!"),"",IF(NOT(ISNA(VLOOKUP(E2301,E$1:E2300,1,FALSE()))),"OLD",IF(AND(E2301&lt;&gt;"",E2301&lt;&gt;"!!!"),"NEW","")))</f>
        <v/>
      </c>
      <c r="G2301" s="11" t="str">
        <f aca="false">IF(OR(E2301="",E2301="!!!"),"",IF(OR(J2301=0,AND(J2301=1,K2301=1),AND(J2301=1,I2301="SBJ"),AND(J2301=1,I2301=0)),"?IN_FOCUS",IF(J2301&lt;=2,"?ACTIVATED",IF(J2301&lt;&gt;"","?FAMILIAR",IF(F2301="NEW",IF(ISNA(VLOOKUP(E2301,#REF!,1,FALSE())),"?TYPE_IDENTIFIABLE","?REFERENTIAL"),"_")))))</f>
        <v/>
      </c>
      <c r="H2301" s="12" t="str">
        <f aca="false">IF(J2301&lt;&gt;1,"",IF(I2301="SBJ","CB","?"))</f>
        <v/>
      </c>
      <c r="I2301" s="13" t="str">
        <f aca="false">IF(OR(E2301="",E2301="!!!",F2301="NEW"),"",INDEX(B$2:B2300,-1+SUMPRODUCT(MAX(ROW(E$2:E2300)*(E2301=E$2:E2300)))))</f>
        <v/>
      </c>
      <c r="J2301" s="14" t="str">
        <f aca="true">IF(OR(E2301="",E2301="!!!",F2301="NEW"),"",COUNTBLANK(OFFSET(A$1,,,SUMPRODUCT(MAX(ROW(E$2:E2301)*(E2301=E$2:E2301)))))-COUNTBLANK(OFFSET(A$1,,,SUMPRODUCT(MAX(ROW(E$1:E2300)*(E2301=E$1:E2300))))))</f>
        <v/>
      </c>
      <c r="K2301" s="14" t="str">
        <f aca="false">IF(OR(E2301="",E2301="!!!",F2301="NEW"),"",INDEX(J$1:J2300,SUMPRODUCT(MAX(ROW(E$1:E2300)*(E2301=E$1:E2300)))))</f>
        <v/>
      </c>
      <c r="L2301" s="15"/>
    </row>
    <row r="2302" customFormat="false" ht="12.75" hidden="false" customHeight="false" outlineLevel="0" collapsed="false">
      <c r="A2302" s="0" t="s">
        <v>885</v>
      </c>
      <c r="B2302" s="0" t="s">
        <v>103</v>
      </c>
      <c r="C2302" s="0" t="s">
        <v>43</v>
      </c>
      <c r="E2302" s="9" t="str">
        <f aca="false">IF(D2302="?OLD","!!!","")</f>
        <v/>
      </c>
      <c r="F2302" s="10" t="str">
        <f aca="false">IF(OR(E2302="",E2302="!!!"),"",IF(NOT(ISNA(VLOOKUP(E2302,E$1:E2301,1,FALSE()))),"OLD",IF(AND(E2302&lt;&gt;"",E2302&lt;&gt;"!!!"),"NEW","")))</f>
        <v/>
      </c>
      <c r="G2302" s="11" t="str">
        <f aca="false">IF(OR(E2302="",E2302="!!!"),"",IF(OR(J2302=0,AND(J2302=1,K2302=1),AND(J2302=1,I2302="SBJ"),AND(J2302=1,I2302=0)),"?IN_FOCUS",IF(J2302&lt;=2,"?ACTIVATED",IF(J2302&lt;&gt;"","?FAMILIAR",IF(F2302="NEW",IF(ISNA(VLOOKUP(E2302,#REF!,1,FALSE())),"?TYPE_IDENTIFIABLE","?REFERENTIAL"),"_")))))</f>
        <v/>
      </c>
      <c r="H2302" s="12" t="str">
        <f aca="false">IF(J2302&lt;&gt;1,"",IF(I2302="SBJ","CB","?"))</f>
        <v/>
      </c>
      <c r="I2302" s="13" t="str">
        <f aca="false">IF(OR(E2302="",E2302="!!!",F2302="NEW"),"",INDEX(B$2:B2301,-1+SUMPRODUCT(MAX(ROW(E$2:E2301)*(E2302=E$2:E2301)))))</f>
        <v/>
      </c>
      <c r="J2302" s="14" t="str">
        <f aca="true">IF(OR(E2302="",E2302="!!!",F2302="NEW"),"",COUNTBLANK(OFFSET(A$1,,,SUMPRODUCT(MAX(ROW(E$2:E2302)*(E2302=E$2:E2302)))))-COUNTBLANK(OFFSET(A$1,,,SUMPRODUCT(MAX(ROW(E$1:E2301)*(E2302=E$1:E2301))))))</f>
        <v/>
      </c>
      <c r="K2302" s="14" t="str">
        <f aca="false">IF(OR(E2302="",E2302="!!!",F2302="NEW"),"",INDEX(J$1:J2301,SUMPRODUCT(MAX(ROW(E$1:E2301)*(E2302=E$1:E2301)))))</f>
        <v/>
      </c>
      <c r="L2302" s="15"/>
    </row>
    <row r="2303" customFormat="false" ht="12.75" hidden="false" customHeight="false" outlineLevel="0" collapsed="false">
      <c r="A2303" s="0" t="s">
        <v>31</v>
      </c>
      <c r="E2303" s="9" t="str">
        <f aca="false">IF(D2303="?OLD","!!!","")</f>
        <v/>
      </c>
      <c r="F2303" s="10" t="str">
        <f aca="false">IF(OR(E2303="",E2303="!!!"),"",IF(NOT(ISNA(VLOOKUP(E2303,E$1:E2302,1,FALSE()))),"OLD",IF(AND(E2303&lt;&gt;"",E2303&lt;&gt;"!!!"),"NEW","")))</f>
        <v/>
      </c>
      <c r="G2303" s="11" t="str">
        <f aca="false">IF(OR(E2303="",E2303="!!!"),"",IF(OR(J2303=0,AND(J2303=1,K2303=1),AND(J2303=1,I2303="SBJ"),AND(J2303=1,I2303=0)),"?IN_FOCUS",IF(J2303&lt;=2,"?ACTIVATED",IF(J2303&lt;&gt;"","?FAMILIAR",IF(F2303="NEW",IF(ISNA(VLOOKUP(E2303,#REF!,1,FALSE())),"?TYPE_IDENTIFIABLE","?REFERENTIAL"),"_")))))</f>
        <v/>
      </c>
      <c r="H2303" s="12" t="str">
        <f aca="false">IF(J2303&lt;&gt;1,"",IF(I2303="SBJ","CB","?"))</f>
        <v/>
      </c>
      <c r="I2303" s="13" t="str">
        <f aca="false">IF(OR(E2303="",E2303="!!!",F2303="NEW"),"",INDEX(B$2:B2302,-1+SUMPRODUCT(MAX(ROW(E$2:E2302)*(E2303=E$2:E2302)))))</f>
        <v/>
      </c>
      <c r="J2303" s="14" t="str">
        <f aca="true">IF(OR(E2303="",E2303="!!!",F2303="NEW"),"",COUNTBLANK(OFFSET(A$1,,,SUMPRODUCT(MAX(ROW(E$2:E2303)*(E2303=E$2:E2303)))))-COUNTBLANK(OFFSET(A$1,,,SUMPRODUCT(MAX(ROW(E$1:E2302)*(E2303=E$1:E2302))))))</f>
        <v/>
      </c>
      <c r="K2303" s="14" t="str">
        <f aca="false">IF(OR(E2303="",E2303="!!!",F2303="NEW"),"",INDEX(J$1:J2302,SUMPRODUCT(MAX(ROW(E$1:E2302)*(E2303=E$1:E2302)))))</f>
        <v/>
      </c>
      <c r="L2303" s="15"/>
    </row>
    <row r="2304" customFormat="false" ht="12.75" hidden="false" customHeight="false" outlineLevel="0" collapsed="false">
      <c r="A2304" s="0" t="s">
        <v>85</v>
      </c>
      <c r="B2304" s="0" t="s">
        <v>157</v>
      </c>
      <c r="E2304" s="9" t="str">
        <f aca="false">IF(D2304="?OLD","!!!","")</f>
        <v/>
      </c>
      <c r="F2304" s="10" t="str">
        <f aca="false">IF(OR(E2304="",E2304="!!!"),"",IF(NOT(ISNA(VLOOKUP(E2304,E$1:E2303,1,FALSE()))),"OLD",IF(AND(E2304&lt;&gt;"",E2304&lt;&gt;"!!!"),"NEW","")))</f>
        <v/>
      </c>
      <c r="G2304" s="11" t="str">
        <f aca="false">IF(OR(E2304="",E2304="!!!"),"",IF(OR(J2304=0,AND(J2304=1,K2304=1),AND(J2304=1,I2304="SBJ"),AND(J2304=1,I2304=0)),"?IN_FOCUS",IF(J2304&lt;=2,"?ACTIVATED",IF(J2304&lt;&gt;"","?FAMILIAR",IF(F2304="NEW",IF(ISNA(VLOOKUP(E2304,#REF!,1,FALSE())),"?TYPE_IDENTIFIABLE","?REFERENTIAL"),"_")))))</f>
        <v/>
      </c>
      <c r="H2304" s="12" t="str">
        <f aca="false">IF(J2304&lt;&gt;1,"",IF(I2304="SBJ","CB","?"))</f>
        <v/>
      </c>
      <c r="I2304" s="13" t="str">
        <f aca="false">IF(OR(E2304="",E2304="!!!",F2304="NEW"),"",INDEX(B$2:B2303,-1+SUMPRODUCT(MAX(ROW(E$2:E2303)*(E2304=E$2:E2303)))))</f>
        <v/>
      </c>
      <c r="J2304" s="14" t="str">
        <f aca="true">IF(OR(E2304="",E2304="!!!",F2304="NEW"),"",COUNTBLANK(OFFSET(A$1,,,SUMPRODUCT(MAX(ROW(E$2:E2304)*(E2304=E$2:E2304)))))-COUNTBLANK(OFFSET(A$1,,,SUMPRODUCT(MAX(ROW(E$1:E2303)*(E2304=E$1:E2303))))))</f>
        <v/>
      </c>
      <c r="K2304" s="14" t="str">
        <f aca="false">IF(OR(E2304="",E2304="!!!",F2304="NEW"),"",INDEX(J$1:J2303,SUMPRODUCT(MAX(ROW(E$1:E2303)*(E2304=E$1:E2303)))))</f>
        <v/>
      </c>
      <c r="L2304" s="15"/>
    </row>
    <row r="2305" customFormat="false" ht="12.75" hidden="false" customHeight="false" outlineLevel="0" collapsed="false">
      <c r="A2305" s="0" t="s">
        <v>886</v>
      </c>
      <c r="E2305" s="9" t="str">
        <f aca="false">IF(D2305="?OLD","!!!","")</f>
        <v/>
      </c>
      <c r="F2305" s="10" t="str">
        <f aca="false">IF(OR(E2305="",E2305="!!!"),"",IF(NOT(ISNA(VLOOKUP(E2305,E$1:E2304,1,FALSE()))),"OLD",IF(AND(E2305&lt;&gt;"",E2305&lt;&gt;"!!!"),"NEW","")))</f>
        <v/>
      </c>
      <c r="G2305" s="11" t="str">
        <f aca="false">IF(OR(E2305="",E2305="!!!"),"",IF(OR(J2305=0,AND(J2305=1,K2305=1),AND(J2305=1,I2305="SBJ"),AND(J2305=1,I2305=0)),"?IN_FOCUS",IF(J2305&lt;=2,"?ACTIVATED",IF(J2305&lt;&gt;"","?FAMILIAR",IF(F2305="NEW",IF(ISNA(VLOOKUP(E2305,#REF!,1,FALSE())),"?TYPE_IDENTIFIABLE","?REFERENTIAL"),"_")))))</f>
        <v/>
      </c>
      <c r="H2305" s="12" t="str">
        <f aca="false">IF(J2305&lt;&gt;1,"",IF(I2305="SBJ","CB","?"))</f>
        <v/>
      </c>
      <c r="I2305" s="13" t="str">
        <f aca="false">IF(OR(E2305="",E2305="!!!",F2305="NEW"),"",INDEX(B$2:B2304,-1+SUMPRODUCT(MAX(ROW(E$2:E2304)*(E2305=E$2:E2304)))))</f>
        <v/>
      </c>
      <c r="J2305" s="14" t="str">
        <f aca="true">IF(OR(E2305="",E2305="!!!",F2305="NEW"),"",COUNTBLANK(OFFSET(A$1,,,SUMPRODUCT(MAX(ROW(E$2:E2305)*(E2305=E$2:E2305)))))-COUNTBLANK(OFFSET(A$1,,,SUMPRODUCT(MAX(ROW(E$1:E2304)*(E2305=E$1:E2304))))))</f>
        <v/>
      </c>
      <c r="K2305" s="14" t="str">
        <f aca="false">IF(OR(E2305="",E2305="!!!",F2305="NEW"),"",INDEX(J$1:J2304,SUMPRODUCT(MAX(ROW(E$1:E2304)*(E2305=E$1:E2304)))))</f>
        <v/>
      </c>
      <c r="L2305" s="15"/>
    </row>
    <row r="2306" customFormat="false" ht="12.75" hidden="false" customHeight="false" outlineLevel="0" collapsed="false">
      <c r="A2306" s="0" t="s">
        <v>45</v>
      </c>
      <c r="E2306" s="9" t="str">
        <f aca="false">IF(D2306="?OLD","!!!","")</f>
        <v/>
      </c>
      <c r="F2306" s="10" t="str">
        <f aca="false">IF(OR(E2306="",E2306="!!!"),"",IF(NOT(ISNA(VLOOKUP(E2306,E$1:E2305,1,FALSE()))),"OLD",IF(AND(E2306&lt;&gt;"",E2306&lt;&gt;"!!!"),"NEW","")))</f>
        <v/>
      </c>
      <c r="G2306" s="11" t="str">
        <f aca="false">IF(OR(E2306="",E2306="!!!"),"",IF(OR(J2306=0,AND(J2306=1,K2306=1),AND(J2306=1,I2306="SBJ"),AND(J2306=1,I2306=0)),"?IN_FOCUS",IF(J2306&lt;=2,"?ACTIVATED",IF(J2306&lt;&gt;"","?FAMILIAR",IF(F2306="NEW",IF(ISNA(VLOOKUP(E2306,#REF!,1,FALSE())),"?TYPE_IDENTIFIABLE","?REFERENTIAL"),"_")))))</f>
        <v/>
      </c>
      <c r="H2306" s="12" t="str">
        <f aca="false">IF(J2306&lt;&gt;1,"",IF(I2306="SBJ","CB","?"))</f>
        <v/>
      </c>
      <c r="I2306" s="13" t="str">
        <f aca="false">IF(OR(E2306="",E2306="!!!",F2306="NEW"),"",INDEX(B$2:B2305,-1+SUMPRODUCT(MAX(ROW(E$2:E2305)*(E2306=E$2:E2305)))))</f>
        <v/>
      </c>
      <c r="J2306" s="14" t="str">
        <f aca="true">IF(OR(E2306="",E2306="!!!",F2306="NEW"),"",COUNTBLANK(OFFSET(A$1,,,SUMPRODUCT(MAX(ROW(E$2:E2306)*(E2306=E$2:E2306)))))-COUNTBLANK(OFFSET(A$1,,,SUMPRODUCT(MAX(ROW(E$1:E2305)*(E2306=E$1:E2305))))))</f>
        <v/>
      </c>
      <c r="K2306" s="14" t="str">
        <f aca="false">IF(OR(E2306="",E2306="!!!",F2306="NEW"),"",INDEX(J$1:J2305,SUMPRODUCT(MAX(ROW(E$1:E2305)*(E2306=E$1:E2305)))))</f>
        <v/>
      </c>
      <c r="L2306" s="15"/>
    </row>
    <row r="2307" customFormat="false" ht="12.75" hidden="false" customHeight="false" outlineLevel="0" collapsed="false">
      <c r="A2307" s="0" t="s">
        <v>33</v>
      </c>
      <c r="B2307" s="0" t="s">
        <v>59</v>
      </c>
      <c r="C2307" s="0" t="s">
        <v>135</v>
      </c>
      <c r="D2307" s="0" t="s">
        <v>29</v>
      </c>
      <c r="E2307" s="9" t="str">
        <f aca="false">IF(D2307="?OLD","!!!","")</f>
        <v>!!!</v>
      </c>
      <c r="F2307" s="10" t="str">
        <f aca="false">IF(OR(E2307="",E2307="!!!"),"",IF(NOT(ISNA(VLOOKUP(E2307,E$1:E2306,1,FALSE()))),"OLD",IF(AND(E2307&lt;&gt;"",E2307&lt;&gt;"!!!"),"NEW","")))</f>
        <v/>
      </c>
      <c r="G2307" s="11" t="str">
        <f aca="false">IF(OR(E2307="",E2307="!!!"),"",IF(OR(J2307=0,AND(J2307=1,K2307=1),AND(J2307=1,I2307="SBJ"),AND(J2307=1,I2307=0)),"?IN_FOCUS",IF(J2307&lt;=2,"?ACTIVATED",IF(J2307&lt;&gt;"","?FAMILIAR",IF(F2307="NEW",IF(ISNA(VLOOKUP(E2307,#REF!,1,FALSE())),"?TYPE_IDENTIFIABLE","?REFERENTIAL"),"_")))))</f>
        <v/>
      </c>
      <c r="H2307" s="12" t="str">
        <f aca="false">IF(J2307&lt;&gt;1,"",IF(I2307="SBJ","CB","?"))</f>
        <v/>
      </c>
      <c r="I2307" s="13" t="str">
        <f aca="false">IF(OR(E2307="",E2307="!!!",F2307="NEW"),"",INDEX(B$2:B2306,-1+SUMPRODUCT(MAX(ROW(E$2:E2306)*(E2307=E$2:E2306)))))</f>
        <v/>
      </c>
      <c r="J2307" s="14" t="str">
        <f aca="true">IF(OR(E2307="",E2307="!!!",F2307="NEW"),"",COUNTBLANK(OFFSET(A$1,,,SUMPRODUCT(MAX(ROW(E$2:E2307)*(E2307=E$2:E2307)))))-COUNTBLANK(OFFSET(A$1,,,SUMPRODUCT(MAX(ROW(E$1:E2306)*(E2307=E$1:E2306))))))</f>
        <v/>
      </c>
      <c r="K2307" s="14" t="str">
        <f aca="false">IF(OR(E2307="",E2307="!!!",F2307="NEW"),"",INDEX(J$1:J2306,SUMPRODUCT(MAX(ROW(E$1:E2306)*(E2307=E$1:E2306)))))</f>
        <v/>
      </c>
      <c r="L2307" s="15"/>
    </row>
    <row r="2308" customFormat="false" ht="12.75" hidden="false" customHeight="false" outlineLevel="0" collapsed="false">
      <c r="A2308" s="0" t="s">
        <v>145</v>
      </c>
      <c r="E2308" s="9" t="str">
        <f aca="false">IF(D2308="?OLD","!!!","")</f>
        <v/>
      </c>
      <c r="F2308" s="10" t="str">
        <f aca="false">IF(OR(E2308="",E2308="!!!"),"",IF(NOT(ISNA(VLOOKUP(E2308,E$1:E2307,1,FALSE()))),"OLD",IF(AND(E2308&lt;&gt;"",E2308&lt;&gt;"!!!"),"NEW","")))</f>
        <v/>
      </c>
      <c r="G2308" s="11" t="str">
        <f aca="false">IF(OR(E2308="",E2308="!!!"),"",IF(OR(J2308=0,AND(J2308=1,K2308=1),AND(J2308=1,I2308="SBJ"),AND(J2308=1,I2308=0)),"?IN_FOCUS",IF(J2308&lt;=2,"?ACTIVATED",IF(J2308&lt;&gt;"","?FAMILIAR",IF(F2308="NEW",IF(ISNA(VLOOKUP(E2308,#REF!,1,FALSE())),"?TYPE_IDENTIFIABLE","?REFERENTIAL"),"_")))))</f>
        <v/>
      </c>
      <c r="H2308" s="12" t="str">
        <f aca="false">IF(J2308&lt;&gt;1,"",IF(I2308="SBJ","CB","?"))</f>
        <v/>
      </c>
      <c r="I2308" s="13" t="str">
        <f aca="false">IF(OR(E2308="",E2308="!!!",F2308="NEW"),"",INDEX(B$2:B2307,-1+SUMPRODUCT(MAX(ROW(E$2:E2307)*(E2308=E$2:E2307)))))</f>
        <v/>
      </c>
      <c r="J2308" s="14" t="str">
        <f aca="true">IF(OR(E2308="",E2308="!!!",F2308="NEW"),"",COUNTBLANK(OFFSET(A$1,,,SUMPRODUCT(MAX(ROW(E$2:E2308)*(E2308=E$2:E2308)))))-COUNTBLANK(OFFSET(A$1,,,SUMPRODUCT(MAX(ROW(E$1:E2307)*(E2308=E$1:E2307))))))</f>
        <v/>
      </c>
      <c r="K2308" s="14" t="str">
        <f aca="false">IF(OR(E2308="",E2308="!!!",F2308="NEW"),"",INDEX(J$1:J2307,SUMPRODUCT(MAX(ROW(E$1:E2307)*(E2308=E$1:E2307)))))</f>
        <v/>
      </c>
      <c r="L2308" s="15"/>
    </row>
    <row r="2309" customFormat="false" ht="12.75" hidden="false" customHeight="false" outlineLevel="0" collapsed="false">
      <c r="A2309" s="0" t="s">
        <v>887</v>
      </c>
      <c r="E2309" s="9" t="str">
        <f aca="false">IF(D2309="?OLD","!!!","")</f>
        <v/>
      </c>
      <c r="F2309" s="10" t="str">
        <f aca="false">IF(OR(E2309="",E2309="!!!"),"",IF(NOT(ISNA(VLOOKUP(E2309,E$1:E2308,1,FALSE()))),"OLD",IF(AND(E2309&lt;&gt;"",E2309&lt;&gt;"!!!"),"NEW","")))</f>
        <v/>
      </c>
      <c r="G2309" s="11" t="str">
        <f aca="false">IF(OR(E2309="",E2309="!!!"),"",IF(OR(J2309=0,AND(J2309=1,K2309=1),AND(J2309=1,I2309="SBJ"),AND(J2309=1,I2309=0)),"?IN_FOCUS",IF(J2309&lt;=2,"?ACTIVATED",IF(J2309&lt;&gt;"","?FAMILIAR",IF(F2309="NEW",IF(ISNA(VLOOKUP(E2309,#REF!,1,FALSE())),"?TYPE_IDENTIFIABLE","?REFERENTIAL"),"_")))))</f>
        <v/>
      </c>
      <c r="H2309" s="12" t="str">
        <f aca="false">IF(J2309&lt;&gt;1,"",IF(I2309="SBJ","CB","?"))</f>
        <v/>
      </c>
      <c r="I2309" s="13" t="str">
        <f aca="false">IF(OR(E2309="",E2309="!!!",F2309="NEW"),"",INDEX(B$2:B2308,-1+SUMPRODUCT(MAX(ROW(E$2:E2308)*(E2309=E$2:E2308)))))</f>
        <v/>
      </c>
      <c r="J2309" s="14" t="str">
        <f aca="true">IF(OR(E2309="",E2309="!!!",F2309="NEW"),"",COUNTBLANK(OFFSET(A$1,,,SUMPRODUCT(MAX(ROW(E$2:E2309)*(E2309=E$2:E2309)))))-COUNTBLANK(OFFSET(A$1,,,SUMPRODUCT(MAX(ROW(E$1:E2308)*(E2309=E$1:E2308))))))</f>
        <v/>
      </c>
      <c r="K2309" s="14" t="str">
        <f aca="false">IF(OR(E2309="",E2309="!!!",F2309="NEW"),"",INDEX(J$1:J2308,SUMPRODUCT(MAX(ROW(E$1:E2308)*(E2309=E$1:E2308)))))</f>
        <v/>
      </c>
      <c r="L2309" s="15"/>
    </row>
    <row r="2310" customFormat="false" ht="12.75" hidden="false" customHeight="false" outlineLevel="0" collapsed="false">
      <c r="A2310" s="0" t="s">
        <v>124</v>
      </c>
      <c r="E2310" s="9" t="str">
        <f aca="false">IF(D2310="?OLD","!!!","")</f>
        <v/>
      </c>
      <c r="F2310" s="10" t="str">
        <f aca="false">IF(OR(E2310="",E2310="!!!"),"",IF(NOT(ISNA(VLOOKUP(E2310,E$1:E2309,1,FALSE()))),"OLD",IF(AND(E2310&lt;&gt;"",E2310&lt;&gt;"!!!"),"NEW","")))</f>
        <v/>
      </c>
      <c r="G2310" s="11" t="str">
        <f aca="false">IF(OR(E2310="",E2310="!!!"),"",IF(OR(J2310=0,AND(J2310=1,K2310=1),AND(J2310=1,I2310="SBJ"),AND(J2310=1,I2310=0)),"?IN_FOCUS",IF(J2310&lt;=2,"?ACTIVATED",IF(J2310&lt;&gt;"","?FAMILIAR",IF(F2310="NEW",IF(ISNA(VLOOKUP(E2310,#REF!,1,FALSE())),"?TYPE_IDENTIFIABLE","?REFERENTIAL"),"_")))))</f>
        <v/>
      </c>
      <c r="H2310" s="12" t="str">
        <f aca="false">IF(J2310&lt;&gt;1,"",IF(I2310="SBJ","CB","?"))</f>
        <v/>
      </c>
      <c r="I2310" s="13" t="str">
        <f aca="false">IF(OR(E2310="",E2310="!!!",F2310="NEW"),"",INDEX(B$2:B2309,-1+SUMPRODUCT(MAX(ROW(E$2:E2309)*(E2310=E$2:E2309)))))</f>
        <v/>
      </c>
      <c r="J2310" s="14" t="str">
        <f aca="true">IF(OR(E2310="",E2310="!!!",F2310="NEW"),"",COUNTBLANK(OFFSET(A$1,,,SUMPRODUCT(MAX(ROW(E$2:E2310)*(E2310=E$2:E2310)))))-COUNTBLANK(OFFSET(A$1,,,SUMPRODUCT(MAX(ROW(E$1:E2309)*(E2310=E$1:E2309))))))</f>
        <v/>
      </c>
      <c r="K2310" s="14" t="str">
        <f aca="false">IF(OR(E2310="",E2310="!!!",F2310="NEW"),"",INDEX(J$1:J2309,SUMPRODUCT(MAX(ROW(E$1:E2309)*(E2310=E$1:E2309)))))</f>
        <v/>
      </c>
      <c r="L2310" s="15"/>
    </row>
    <row r="2311" customFormat="false" ht="12.75" hidden="false" customHeight="false" outlineLevel="0" collapsed="false">
      <c r="A2311" s="0" t="s">
        <v>888</v>
      </c>
      <c r="E2311" s="9" t="str">
        <f aca="false">IF(D2311="?OLD","!!!","")</f>
        <v/>
      </c>
      <c r="F2311" s="10" t="str">
        <f aca="false">IF(OR(E2311="",E2311="!!!"),"",IF(NOT(ISNA(VLOOKUP(E2311,E$1:E2310,1,FALSE()))),"OLD",IF(AND(E2311&lt;&gt;"",E2311&lt;&gt;"!!!"),"NEW","")))</f>
        <v/>
      </c>
      <c r="G2311" s="11" t="str">
        <f aca="false">IF(OR(E2311="",E2311="!!!"),"",IF(OR(J2311=0,AND(J2311=1,K2311=1),AND(J2311=1,I2311="SBJ"),AND(J2311=1,I2311=0)),"?IN_FOCUS",IF(J2311&lt;=2,"?ACTIVATED",IF(J2311&lt;&gt;"","?FAMILIAR",IF(F2311="NEW",IF(ISNA(VLOOKUP(E2311,#REF!,1,FALSE())),"?TYPE_IDENTIFIABLE","?REFERENTIAL"),"_")))))</f>
        <v/>
      </c>
      <c r="H2311" s="12" t="str">
        <f aca="false">IF(J2311&lt;&gt;1,"",IF(I2311="SBJ","CB","?"))</f>
        <v/>
      </c>
      <c r="I2311" s="13" t="str">
        <f aca="false">IF(OR(E2311="",E2311="!!!",F2311="NEW"),"",INDEX(B$2:B2310,-1+SUMPRODUCT(MAX(ROW(E$2:E2310)*(E2311=E$2:E2310)))))</f>
        <v/>
      </c>
      <c r="J2311" s="14" t="str">
        <f aca="true">IF(OR(E2311="",E2311="!!!",F2311="NEW"),"",COUNTBLANK(OFFSET(A$1,,,SUMPRODUCT(MAX(ROW(E$2:E2311)*(E2311=E$2:E2311)))))-COUNTBLANK(OFFSET(A$1,,,SUMPRODUCT(MAX(ROW(E$1:E2310)*(E2311=E$1:E2310))))))</f>
        <v/>
      </c>
      <c r="K2311" s="14" t="str">
        <f aca="false">IF(OR(E2311="",E2311="!!!",F2311="NEW"),"",INDEX(J$1:J2310,SUMPRODUCT(MAX(ROW(E$1:E2310)*(E2311=E$1:E2310)))))</f>
        <v/>
      </c>
      <c r="L2311" s="15"/>
    </row>
    <row r="2312" customFormat="false" ht="12.75" hidden="false" customHeight="false" outlineLevel="0" collapsed="false">
      <c r="A2312" s="0" t="s">
        <v>97</v>
      </c>
      <c r="B2312" s="0" t="s">
        <v>91</v>
      </c>
      <c r="C2312" s="0" t="s">
        <v>38</v>
      </c>
      <c r="D2312" s="0" t="s">
        <v>29</v>
      </c>
      <c r="E2312" s="9" t="str">
        <f aca="false">IF(D2312="?OLD","!!!","")</f>
        <v>!!!</v>
      </c>
      <c r="F2312" s="10" t="str">
        <f aca="false">IF(OR(E2312="",E2312="!!!"),"",IF(NOT(ISNA(VLOOKUP(E2312,E$1:E2311,1,FALSE()))),"OLD",IF(AND(E2312&lt;&gt;"",E2312&lt;&gt;"!!!"),"NEW","")))</f>
        <v/>
      </c>
      <c r="G2312" s="11" t="str">
        <f aca="false">IF(OR(E2312="",E2312="!!!"),"",IF(OR(J2312=0,AND(J2312=1,K2312=1),AND(J2312=1,I2312="SBJ"),AND(J2312=1,I2312=0)),"?IN_FOCUS",IF(J2312&lt;=2,"?ACTIVATED",IF(J2312&lt;&gt;"","?FAMILIAR",IF(F2312="NEW",IF(ISNA(VLOOKUP(E2312,#REF!,1,FALSE())),"?TYPE_IDENTIFIABLE","?REFERENTIAL"),"_")))))</f>
        <v/>
      </c>
      <c r="H2312" s="12" t="str">
        <f aca="false">IF(J2312&lt;&gt;1,"",IF(I2312="SBJ","CB","?"))</f>
        <v/>
      </c>
      <c r="I2312" s="13" t="str">
        <f aca="false">IF(OR(E2312="",E2312="!!!",F2312="NEW"),"",INDEX(B$2:B2311,-1+SUMPRODUCT(MAX(ROW(E$2:E2311)*(E2312=E$2:E2311)))))</f>
        <v/>
      </c>
      <c r="J2312" s="14" t="str">
        <f aca="true">IF(OR(E2312="",E2312="!!!",F2312="NEW"),"",COUNTBLANK(OFFSET(A$1,,,SUMPRODUCT(MAX(ROW(E$2:E2312)*(E2312=E$2:E2312)))))-COUNTBLANK(OFFSET(A$1,,,SUMPRODUCT(MAX(ROW(E$1:E2311)*(E2312=E$1:E2311))))))</f>
        <v/>
      </c>
      <c r="K2312" s="14" t="str">
        <f aca="false">IF(OR(E2312="",E2312="!!!",F2312="NEW"),"",INDEX(J$1:J2311,SUMPRODUCT(MAX(ROW(E$1:E2311)*(E2312=E$1:E2311)))))</f>
        <v/>
      </c>
      <c r="L2312" s="15"/>
    </row>
    <row r="2313" customFormat="false" ht="12.75" hidden="false" customHeight="false" outlineLevel="0" collapsed="false">
      <c r="A2313" s="0" t="s">
        <v>73</v>
      </c>
      <c r="E2313" s="9" t="str">
        <f aca="false">IF(D2313="?OLD","!!!","")</f>
        <v/>
      </c>
      <c r="F2313" s="10" t="str">
        <f aca="false">IF(OR(E2313="",E2313="!!!"),"",IF(NOT(ISNA(VLOOKUP(E2313,E$1:E2312,1,FALSE()))),"OLD",IF(AND(E2313&lt;&gt;"",E2313&lt;&gt;"!!!"),"NEW","")))</f>
        <v/>
      </c>
      <c r="G2313" s="11" t="str">
        <f aca="false">IF(OR(E2313="",E2313="!!!"),"",IF(OR(J2313=0,AND(J2313=1,K2313=1),AND(J2313=1,I2313="SBJ"),AND(J2313=1,I2313=0)),"?IN_FOCUS",IF(J2313&lt;=2,"?ACTIVATED",IF(J2313&lt;&gt;"","?FAMILIAR",IF(F2313="NEW",IF(ISNA(VLOOKUP(E2313,#REF!,1,FALSE())),"?TYPE_IDENTIFIABLE","?REFERENTIAL"),"_")))))</f>
        <v/>
      </c>
      <c r="H2313" s="12" t="str">
        <f aca="false">IF(J2313&lt;&gt;1,"",IF(I2313="SBJ","CB","?"))</f>
        <v/>
      </c>
      <c r="I2313" s="13" t="str">
        <f aca="false">IF(OR(E2313="",E2313="!!!",F2313="NEW"),"",INDEX(B$2:B2312,-1+SUMPRODUCT(MAX(ROW(E$2:E2312)*(E2313=E$2:E2312)))))</f>
        <v/>
      </c>
      <c r="J2313" s="14" t="str">
        <f aca="true">IF(OR(E2313="",E2313="!!!",F2313="NEW"),"",COUNTBLANK(OFFSET(A$1,,,SUMPRODUCT(MAX(ROW(E$2:E2313)*(E2313=E$2:E2313)))))-COUNTBLANK(OFFSET(A$1,,,SUMPRODUCT(MAX(ROW(E$1:E2312)*(E2313=E$1:E2312))))))</f>
        <v/>
      </c>
      <c r="K2313" s="14" t="str">
        <f aca="false">IF(OR(E2313="",E2313="!!!",F2313="NEW"),"",INDEX(J$1:J2312,SUMPRODUCT(MAX(ROW(E$1:E2312)*(E2313=E$1:E2312)))))</f>
        <v/>
      </c>
      <c r="L2313" s="15"/>
    </row>
    <row r="2314" customFormat="false" ht="12.75" hidden="false" customHeight="false" outlineLevel="0" collapsed="false">
      <c r="E2314" s="9" t="str">
        <f aca="false">IF(D2314="?OLD","!!!","")</f>
        <v/>
      </c>
      <c r="F2314" s="10" t="str">
        <f aca="false">IF(OR(E2314="",E2314="!!!"),"",IF(NOT(ISNA(VLOOKUP(E2314,E$1:E2313,1,FALSE()))),"OLD",IF(AND(E2314&lt;&gt;"",E2314&lt;&gt;"!!!"),"NEW","")))</f>
        <v/>
      </c>
      <c r="G2314" s="11" t="str">
        <f aca="false">IF(OR(E2314="",E2314="!!!"),"",IF(OR(J2314=0,AND(J2314=1,K2314=1),AND(J2314=1,I2314="SBJ"),AND(J2314=1,I2314=0)),"?IN_FOCUS",IF(J2314&lt;=2,"?ACTIVATED",IF(J2314&lt;&gt;"","?FAMILIAR",IF(F2314="NEW",IF(ISNA(VLOOKUP(E2314,#REF!,1,FALSE())),"?TYPE_IDENTIFIABLE","?REFERENTIAL"),"_")))))</f>
        <v/>
      </c>
      <c r="H2314" s="12" t="str">
        <f aca="false">IF(J2314&lt;&gt;1,"",IF(I2314="SBJ","CB","?"))</f>
        <v/>
      </c>
      <c r="I2314" s="13" t="str">
        <f aca="false">IF(OR(E2314="",E2314="!!!",F2314="NEW"),"",INDEX(B$2:B2313,-1+SUMPRODUCT(MAX(ROW(E$2:E2313)*(E2314=E$2:E2313)))))</f>
        <v/>
      </c>
      <c r="J2314" s="14" t="str">
        <f aca="true">IF(OR(E2314="",E2314="!!!",F2314="NEW"),"",COUNTBLANK(OFFSET(A$1,,,SUMPRODUCT(MAX(ROW(E$2:E2314)*(E2314=E$2:E2314)))))-COUNTBLANK(OFFSET(A$1,,,SUMPRODUCT(MAX(ROW(E$1:E2313)*(E2314=E$1:E2313))))))</f>
        <v/>
      </c>
      <c r="K2314" s="14" t="str">
        <f aca="false">IF(OR(E2314="",E2314="!!!",F2314="NEW"),"",INDEX(J$1:J2313,SUMPRODUCT(MAX(ROW(E$1:E2313)*(E2314=E$1:E2313)))))</f>
        <v/>
      </c>
      <c r="L2314" s="15"/>
    </row>
    <row r="2315" customFormat="false" ht="12.75" hidden="false" customHeight="false" outlineLevel="0" collapsed="false">
      <c r="A2315" s="0" t="s">
        <v>889</v>
      </c>
      <c r="E2315" s="9" t="str">
        <f aca="false">IF(D2315="?OLD","!!!","")</f>
        <v/>
      </c>
      <c r="F2315" s="10" t="str">
        <f aca="false">IF(OR(E2315="",E2315="!!!"),"",IF(NOT(ISNA(VLOOKUP(E2315,E$1:E2314,1,FALSE()))),"OLD",IF(AND(E2315&lt;&gt;"",E2315&lt;&gt;"!!!"),"NEW","")))</f>
        <v/>
      </c>
      <c r="G2315" s="11" t="str">
        <f aca="false">IF(OR(E2315="",E2315="!!!"),"",IF(OR(J2315=0,AND(J2315=1,K2315=1),AND(J2315=1,I2315="SBJ"),AND(J2315=1,I2315=0)),"?IN_FOCUS",IF(J2315&lt;=2,"?ACTIVATED",IF(J2315&lt;&gt;"","?FAMILIAR",IF(F2315="NEW",IF(ISNA(VLOOKUP(E2315,#REF!,1,FALSE())),"?TYPE_IDENTIFIABLE","?REFERENTIAL"),"_")))))</f>
        <v/>
      </c>
      <c r="H2315" s="12" t="str">
        <f aca="false">IF(J2315&lt;&gt;1,"",IF(I2315="SBJ","CB","?"))</f>
        <v/>
      </c>
      <c r="I2315" s="13" t="str">
        <f aca="false">IF(OR(E2315="",E2315="!!!",F2315="NEW"),"",INDEX(B$2:B2314,-1+SUMPRODUCT(MAX(ROW(E$2:E2314)*(E2315=E$2:E2314)))))</f>
        <v/>
      </c>
      <c r="J2315" s="14" t="str">
        <f aca="true">IF(OR(E2315="",E2315="!!!",F2315="NEW"),"",COUNTBLANK(OFFSET(A$1,,,SUMPRODUCT(MAX(ROW(E$2:E2315)*(E2315=E$2:E2315)))))-COUNTBLANK(OFFSET(A$1,,,SUMPRODUCT(MAX(ROW(E$1:E2314)*(E2315=E$1:E2314))))))</f>
        <v/>
      </c>
      <c r="K2315" s="14" t="str">
        <f aca="false">IF(OR(E2315="",E2315="!!!",F2315="NEW"),"",INDEX(J$1:J2314,SUMPRODUCT(MAX(ROW(E$1:E2314)*(E2315=E$1:E2314)))))</f>
        <v/>
      </c>
      <c r="L2315" s="15"/>
    </row>
    <row r="2316" customFormat="false" ht="12.75" hidden="false" customHeight="false" outlineLevel="0" collapsed="false">
      <c r="A2316" s="0" t="s">
        <v>525</v>
      </c>
      <c r="B2316" s="0" t="s">
        <v>14</v>
      </c>
      <c r="C2316" s="0" t="s">
        <v>38</v>
      </c>
      <c r="D2316" s="0" t="s">
        <v>29</v>
      </c>
      <c r="E2316" s="9" t="str">
        <f aca="false">IF(D2316="?OLD","!!!","")</f>
        <v>!!!</v>
      </c>
      <c r="F2316" s="10" t="str">
        <f aca="false">IF(OR(E2316="",E2316="!!!"),"",IF(NOT(ISNA(VLOOKUP(E2316,E$1:E2315,1,FALSE()))),"OLD",IF(AND(E2316&lt;&gt;"",E2316&lt;&gt;"!!!"),"NEW","")))</f>
        <v/>
      </c>
      <c r="G2316" s="11" t="str">
        <f aca="false">IF(OR(E2316="",E2316="!!!"),"",IF(OR(J2316=0,AND(J2316=1,K2316=1),AND(J2316=1,I2316="SBJ"),AND(J2316=1,I2316=0)),"?IN_FOCUS",IF(J2316&lt;=2,"?ACTIVATED",IF(J2316&lt;&gt;"","?FAMILIAR",IF(F2316="NEW",IF(ISNA(VLOOKUP(E2316,#REF!,1,FALSE())),"?TYPE_IDENTIFIABLE","?REFERENTIAL"),"_")))))</f>
        <v/>
      </c>
      <c r="H2316" s="12" t="str">
        <f aca="false">IF(J2316&lt;&gt;1,"",IF(I2316="SBJ","CB","?"))</f>
        <v/>
      </c>
      <c r="I2316" s="13" t="str">
        <f aca="false">IF(OR(E2316="",E2316="!!!",F2316="NEW"),"",INDEX(B$2:B2315,-1+SUMPRODUCT(MAX(ROW(E$2:E2315)*(E2316=E$2:E2315)))))</f>
        <v/>
      </c>
      <c r="J2316" s="14" t="str">
        <f aca="true">IF(OR(E2316="",E2316="!!!",F2316="NEW"),"",COUNTBLANK(OFFSET(A$1,,,SUMPRODUCT(MAX(ROW(E$2:E2316)*(E2316=E$2:E2316)))))-COUNTBLANK(OFFSET(A$1,,,SUMPRODUCT(MAX(ROW(E$1:E2315)*(E2316=E$1:E2315))))))</f>
        <v/>
      </c>
      <c r="K2316" s="14" t="str">
        <f aca="false">IF(OR(E2316="",E2316="!!!",F2316="NEW"),"",INDEX(J$1:J2315,SUMPRODUCT(MAX(ROW(E$1:E2315)*(E2316=E$1:E2315)))))</f>
        <v/>
      </c>
      <c r="L2316" s="15"/>
    </row>
    <row r="2317" customFormat="false" ht="12.75" hidden="false" customHeight="false" outlineLevel="0" collapsed="false">
      <c r="A2317" s="0" t="s">
        <v>239</v>
      </c>
      <c r="E2317" s="9" t="str">
        <f aca="false">IF(D2317="?OLD","!!!","")</f>
        <v/>
      </c>
      <c r="F2317" s="10" t="str">
        <f aca="false">IF(OR(E2317="",E2317="!!!"),"",IF(NOT(ISNA(VLOOKUP(E2317,E$1:E2316,1,FALSE()))),"OLD",IF(AND(E2317&lt;&gt;"",E2317&lt;&gt;"!!!"),"NEW","")))</f>
        <v/>
      </c>
      <c r="G2317" s="11" t="str">
        <f aca="false">IF(OR(E2317="",E2317="!!!"),"",IF(OR(J2317=0,AND(J2317=1,K2317=1),AND(J2317=1,I2317="SBJ"),AND(J2317=1,I2317=0)),"?IN_FOCUS",IF(J2317&lt;=2,"?ACTIVATED",IF(J2317&lt;&gt;"","?FAMILIAR",IF(F2317="NEW",IF(ISNA(VLOOKUP(E2317,#REF!,1,FALSE())),"?TYPE_IDENTIFIABLE","?REFERENTIAL"),"_")))))</f>
        <v/>
      </c>
      <c r="H2317" s="12" t="str">
        <f aca="false">IF(J2317&lt;&gt;1,"",IF(I2317="SBJ","CB","?"))</f>
        <v/>
      </c>
      <c r="I2317" s="13" t="str">
        <f aca="false">IF(OR(E2317="",E2317="!!!",F2317="NEW"),"",INDEX(B$2:B2316,-1+SUMPRODUCT(MAX(ROW(E$2:E2316)*(E2317=E$2:E2316)))))</f>
        <v/>
      </c>
      <c r="J2317" s="14" t="str">
        <f aca="true">IF(OR(E2317="",E2317="!!!",F2317="NEW"),"",COUNTBLANK(OFFSET(A$1,,,SUMPRODUCT(MAX(ROW(E$2:E2317)*(E2317=E$2:E2317)))))-COUNTBLANK(OFFSET(A$1,,,SUMPRODUCT(MAX(ROW(E$1:E2316)*(E2317=E$1:E2316))))))</f>
        <v/>
      </c>
      <c r="K2317" s="14" t="str">
        <f aca="false">IF(OR(E2317="",E2317="!!!",F2317="NEW"),"",INDEX(J$1:J2316,SUMPRODUCT(MAX(ROW(E$1:E2316)*(E2317=E$1:E2316)))))</f>
        <v/>
      </c>
      <c r="L2317" s="15"/>
    </row>
    <row r="2318" customFormat="false" ht="12.75" hidden="false" customHeight="false" outlineLevel="0" collapsed="false">
      <c r="A2318" s="0" t="s">
        <v>240</v>
      </c>
      <c r="E2318" s="9" t="str">
        <f aca="false">IF(D2318="?OLD","!!!","")</f>
        <v/>
      </c>
      <c r="F2318" s="10" t="str">
        <f aca="false">IF(OR(E2318="",E2318="!!!"),"",IF(NOT(ISNA(VLOOKUP(E2318,E$1:E2317,1,FALSE()))),"OLD",IF(AND(E2318&lt;&gt;"",E2318&lt;&gt;"!!!"),"NEW","")))</f>
        <v/>
      </c>
      <c r="G2318" s="11" t="str">
        <f aca="false">IF(OR(E2318="",E2318="!!!"),"",IF(OR(J2318=0,AND(J2318=1,K2318=1),AND(J2318=1,I2318="SBJ"),AND(J2318=1,I2318=0)),"?IN_FOCUS",IF(J2318&lt;=2,"?ACTIVATED",IF(J2318&lt;&gt;"","?FAMILIAR",IF(F2318="NEW",IF(ISNA(VLOOKUP(E2318,#REF!,1,FALSE())),"?TYPE_IDENTIFIABLE","?REFERENTIAL"),"_")))))</f>
        <v/>
      </c>
      <c r="H2318" s="12" t="str">
        <f aca="false">IF(J2318&lt;&gt;1,"",IF(I2318="SBJ","CB","?"))</f>
        <v/>
      </c>
      <c r="I2318" s="13" t="str">
        <f aca="false">IF(OR(E2318="",E2318="!!!",F2318="NEW"),"",INDEX(B$2:B2317,-1+SUMPRODUCT(MAX(ROW(E$2:E2317)*(E2318=E$2:E2317)))))</f>
        <v/>
      </c>
      <c r="J2318" s="14" t="str">
        <f aca="true">IF(OR(E2318="",E2318="!!!",F2318="NEW"),"",COUNTBLANK(OFFSET(A$1,,,SUMPRODUCT(MAX(ROW(E$2:E2318)*(E2318=E$2:E2318)))))-COUNTBLANK(OFFSET(A$1,,,SUMPRODUCT(MAX(ROW(E$1:E2317)*(E2318=E$1:E2317))))))</f>
        <v/>
      </c>
      <c r="K2318" s="14" t="str">
        <f aca="false">IF(OR(E2318="",E2318="!!!",F2318="NEW"),"",INDEX(J$1:J2317,SUMPRODUCT(MAX(ROW(E$1:E2317)*(E2318=E$1:E2317)))))</f>
        <v/>
      </c>
      <c r="L2318" s="15"/>
    </row>
    <row r="2319" customFormat="false" ht="12.75" hidden="false" customHeight="false" outlineLevel="0" collapsed="false">
      <c r="A2319" s="0" t="s">
        <v>512</v>
      </c>
      <c r="E2319" s="9" t="str">
        <f aca="false">IF(D2319="?OLD","!!!","")</f>
        <v/>
      </c>
      <c r="F2319" s="10" t="str">
        <f aca="false">IF(OR(E2319="",E2319="!!!"),"",IF(NOT(ISNA(VLOOKUP(E2319,E$1:E2318,1,FALSE()))),"OLD",IF(AND(E2319&lt;&gt;"",E2319&lt;&gt;"!!!"),"NEW","")))</f>
        <v/>
      </c>
      <c r="G2319" s="11" t="str">
        <f aca="false">IF(OR(E2319="",E2319="!!!"),"",IF(OR(J2319=0,AND(J2319=1,K2319=1),AND(J2319=1,I2319="SBJ"),AND(J2319=1,I2319=0)),"?IN_FOCUS",IF(J2319&lt;=2,"?ACTIVATED",IF(J2319&lt;&gt;"","?FAMILIAR",IF(F2319="NEW",IF(ISNA(VLOOKUP(E2319,#REF!,1,FALSE())),"?TYPE_IDENTIFIABLE","?REFERENTIAL"),"_")))))</f>
        <v/>
      </c>
      <c r="H2319" s="12" t="str">
        <f aca="false">IF(J2319&lt;&gt;1,"",IF(I2319="SBJ","CB","?"))</f>
        <v/>
      </c>
      <c r="I2319" s="13" t="str">
        <f aca="false">IF(OR(E2319="",E2319="!!!",F2319="NEW"),"",INDEX(B$2:B2318,-1+SUMPRODUCT(MAX(ROW(E$2:E2318)*(E2319=E$2:E2318)))))</f>
        <v/>
      </c>
      <c r="J2319" s="14" t="str">
        <f aca="true">IF(OR(E2319="",E2319="!!!",F2319="NEW"),"",COUNTBLANK(OFFSET(A$1,,,SUMPRODUCT(MAX(ROW(E$2:E2319)*(E2319=E$2:E2319)))))-COUNTBLANK(OFFSET(A$1,,,SUMPRODUCT(MAX(ROW(E$1:E2318)*(E2319=E$1:E2318))))))</f>
        <v/>
      </c>
      <c r="K2319" s="14" t="str">
        <f aca="false">IF(OR(E2319="",E2319="!!!",F2319="NEW"),"",INDEX(J$1:J2318,SUMPRODUCT(MAX(ROW(E$1:E2318)*(E2319=E$1:E2318)))))</f>
        <v/>
      </c>
      <c r="L2319" s="15"/>
    </row>
    <row r="2320" customFormat="false" ht="12.75" hidden="false" customHeight="false" outlineLevel="0" collapsed="false">
      <c r="A2320" s="0" t="s">
        <v>31</v>
      </c>
      <c r="E2320" s="9" t="str">
        <f aca="false">IF(D2320="?OLD","!!!","")</f>
        <v/>
      </c>
      <c r="F2320" s="10" t="str">
        <f aca="false">IF(OR(E2320="",E2320="!!!"),"",IF(NOT(ISNA(VLOOKUP(E2320,E$1:E2319,1,FALSE()))),"OLD",IF(AND(E2320&lt;&gt;"",E2320&lt;&gt;"!!!"),"NEW","")))</f>
        <v/>
      </c>
      <c r="G2320" s="11" t="str">
        <f aca="false">IF(OR(E2320="",E2320="!!!"),"",IF(OR(J2320=0,AND(J2320=1,K2320=1),AND(J2320=1,I2320="SBJ"),AND(J2320=1,I2320=0)),"?IN_FOCUS",IF(J2320&lt;=2,"?ACTIVATED",IF(J2320&lt;&gt;"","?FAMILIAR",IF(F2320="NEW",IF(ISNA(VLOOKUP(E2320,#REF!,1,FALSE())),"?TYPE_IDENTIFIABLE","?REFERENTIAL"),"_")))))</f>
        <v/>
      </c>
      <c r="H2320" s="12" t="str">
        <f aca="false">IF(J2320&lt;&gt;1,"",IF(I2320="SBJ","CB","?"))</f>
        <v/>
      </c>
      <c r="I2320" s="13" t="str">
        <f aca="false">IF(OR(E2320="",E2320="!!!",F2320="NEW"),"",INDEX(B$2:B2319,-1+SUMPRODUCT(MAX(ROW(E$2:E2319)*(E2320=E$2:E2319)))))</f>
        <v/>
      </c>
      <c r="J2320" s="14" t="str">
        <f aca="true">IF(OR(E2320="",E2320="!!!",F2320="NEW"),"",COUNTBLANK(OFFSET(A$1,,,SUMPRODUCT(MAX(ROW(E$2:E2320)*(E2320=E$2:E2320)))))-COUNTBLANK(OFFSET(A$1,,,SUMPRODUCT(MAX(ROW(E$1:E2319)*(E2320=E$1:E2319))))))</f>
        <v/>
      </c>
      <c r="K2320" s="14" t="str">
        <f aca="false">IF(OR(E2320="",E2320="!!!",F2320="NEW"),"",INDEX(J$1:J2319,SUMPRODUCT(MAX(ROW(E$1:E2319)*(E2320=E$1:E2319)))))</f>
        <v/>
      </c>
      <c r="L2320" s="15"/>
    </row>
    <row r="2321" customFormat="false" ht="12.75" hidden="false" customHeight="false" outlineLevel="0" collapsed="false">
      <c r="A2321" s="0" t="s">
        <v>112</v>
      </c>
      <c r="E2321" s="9" t="str">
        <f aca="false">IF(D2321="?OLD","!!!","")</f>
        <v/>
      </c>
      <c r="F2321" s="10" t="str">
        <f aca="false">IF(OR(E2321="",E2321="!!!"),"",IF(NOT(ISNA(VLOOKUP(E2321,E$1:E2320,1,FALSE()))),"OLD",IF(AND(E2321&lt;&gt;"",E2321&lt;&gt;"!!!"),"NEW","")))</f>
        <v/>
      </c>
      <c r="G2321" s="11" t="str">
        <f aca="false">IF(OR(E2321="",E2321="!!!"),"",IF(OR(J2321=0,AND(J2321=1,K2321=1),AND(J2321=1,I2321="SBJ"),AND(J2321=1,I2321=0)),"?IN_FOCUS",IF(J2321&lt;=2,"?ACTIVATED",IF(J2321&lt;&gt;"","?FAMILIAR",IF(F2321="NEW",IF(ISNA(VLOOKUP(E2321,#REF!,1,FALSE())),"?TYPE_IDENTIFIABLE","?REFERENTIAL"),"_")))))</f>
        <v/>
      </c>
      <c r="H2321" s="12" t="str">
        <f aca="false">IF(J2321&lt;&gt;1,"",IF(I2321="SBJ","CB","?"))</f>
        <v/>
      </c>
      <c r="I2321" s="13" t="str">
        <f aca="false">IF(OR(E2321="",E2321="!!!",F2321="NEW"),"",INDEX(B$2:B2320,-1+SUMPRODUCT(MAX(ROW(E$2:E2320)*(E2321=E$2:E2320)))))</f>
        <v/>
      </c>
      <c r="J2321" s="14" t="str">
        <f aca="true">IF(OR(E2321="",E2321="!!!",F2321="NEW"),"",COUNTBLANK(OFFSET(A$1,,,SUMPRODUCT(MAX(ROW(E$2:E2321)*(E2321=E$2:E2321)))))-COUNTBLANK(OFFSET(A$1,,,SUMPRODUCT(MAX(ROW(E$1:E2320)*(E2321=E$1:E2320))))))</f>
        <v/>
      </c>
      <c r="K2321" s="14" t="str">
        <f aca="false">IF(OR(E2321="",E2321="!!!",F2321="NEW"),"",INDEX(J$1:J2320,SUMPRODUCT(MAX(ROW(E$1:E2320)*(E2321=E$1:E2320)))))</f>
        <v/>
      </c>
      <c r="L2321" s="15"/>
    </row>
    <row r="2322" customFormat="false" ht="12.75" hidden="false" customHeight="false" outlineLevel="0" collapsed="false">
      <c r="A2322" s="0" t="s">
        <v>31</v>
      </c>
      <c r="E2322" s="9" t="str">
        <f aca="false">IF(D2322="?OLD","!!!","")</f>
        <v/>
      </c>
      <c r="F2322" s="10" t="str">
        <f aca="false">IF(OR(E2322="",E2322="!!!"),"",IF(NOT(ISNA(VLOOKUP(E2322,E$1:E2321,1,FALSE()))),"OLD",IF(AND(E2322&lt;&gt;"",E2322&lt;&gt;"!!!"),"NEW","")))</f>
        <v/>
      </c>
      <c r="G2322" s="11" t="str">
        <f aca="false">IF(OR(E2322="",E2322="!!!"),"",IF(OR(J2322=0,AND(J2322=1,K2322=1),AND(J2322=1,I2322="SBJ"),AND(J2322=1,I2322=0)),"?IN_FOCUS",IF(J2322&lt;=2,"?ACTIVATED",IF(J2322&lt;&gt;"","?FAMILIAR",IF(F2322="NEW",IF(ISNA(VLOOKUP(E2322,#REF!,1,FALSE())),"?TYPE_IDENTIFIABLE","?REFERENTIAL"),"_")))))</f>
        <v/>
      </c>
      <c r="H2322" s="12" t="str">
        <f aca="false">IF(J2322&lt;&gt;1,"",IF(I2322="SBJ","CB","?"))</f>
        <v/>
      </c>
      <c r="I2322" s="13" t="str">
        <f aca="false">IF(OR(E2322="",E2322="!!!",F2322="NEW"),"",INDEX(B$2:B2321,-1+SUMPRODUCT(MAX(ROW(E$2:E2321)*(E2322=E$2:E2321)))))</f>
        <v/>
      </c>
      <c r="J2322" s="14" t="str">
        <f aca="true">IF(OR(E2322="",E2322="!!!",F2322="NEW"),"",COUNTBLANK(OFFSET(A$1,,,SUMPRODUCT(MAX(ROW(E$2:E2322)*(E2322=E$2:E2322)))))-COUNTBLANK(OFFSET(A$1,,,SUMPRODUCT(MAX(ROW(E$1:E2321)*(E2322=E$1:E2321))))))</f>
        <v/>
      </c>
      <c r="K2322" s="14" t="str">
        <f aca="false">IF(OR(E2322="",E2322="!!!",F2322="NEW"),"",INDEX(J$1:J2321,SUMPRODUCT(MAX(ROW(E$1:E2321)*(E2322=E$1:E2321)))))</f>
        <v/>
      </c>
      <c r="L2322" s="15"/>
    </row>
    <row r="2323" customFormat="false" ht="12.75" hidden="false" customHeight="false" outlineLevel="0" collapsed="false">
      <c r="A2323" s="0" t="s">
        <v>128</v>
      </c>
      <c r="E2323" s="9" t="str">
        <f aca="false">IF(D2323="?OLD","!!!","")</f>
        <v/>
      </c>
      <c r="F2323" s="10" t="str">
        <f aca="false">IF(OR(E2323="",E2323="!!!"),"",IF(NOT(ISNA(VLOOKUP(E2323,E$1:E2322,1,FALSE()))),"OLD",IF(AND(E2323&lt;&gt;"",E2323&lt;&gt;"!!!"),"NEW","")))</f>
        <v/>
      </c>
      <c r="G2323" s="11" t="str">
        <f aca="false">IF(OR(E2323="",E2323="!!!"),"",IF(OR(J2323=0,AND(J2323=1,K2323=1),AND(J2323=1,I2323="SBJ"),AND(J2323=1,I2323=0)),"?IN_FOCUS",IF(J2323&lt;=2,"?ACTIVATED",IF(J2323&lt;&gt;"","?FAMILIAR",IF(F2323="NEW",IF(ISNA(VLOOKUP(E2323,#REF!,1,FALSE())),"?TYPE_IDENTIFIABLE","?REFERENTIAL"),"_")))))</f>
        <v/>
      </c>
      <c r="H2323" s="12" t="str">
        <f aca="false">IF(J2323&lt;&gt;1,"",IF(I2323="SBJ","CB","?"))</f>
        <v/>
      </c>
      <c r="I2323" s="13" t="str">
        <f aca="false">IF(OR(E2323="",E2323="!!!",F2323="NEW"),"",INDEX(B$2:B2322,-1+SUMPRODUCT(MAX(ROW(E$2:E2322)*(E2323=E$2:E2322)))))</f>
        <v/>
      </c>
      <c r="J2323" s="14" t="str">
        <f aca="true">IF(OR(E2323="",E2323="!!!",F2323="NEW"),"",COUNTBLANK(OFFSET(A$1,,,SUMPRODUCT(MAX(ROW(E$2:E2323)*(E2323=E$2:E2323)))))-COUNTBLANK(OFFSET(A$1,,,SUMPRODUCT(MAX(ROW(E$1:E2322)*(E2323=E$1:E2322))))))</f>
        <v/>
      </c>
      <c r="K2323" s="14" t="str">
        <f aca="false">IF(OR(E2323="",E2323="!!!",F2323="NEW"),"",INDEX(J$1:J2322,SUMPRODUCT(MAX(ROW(E$1:E2322)*(E2323=E$1:E2322)))))</f>
        <v/>
      </c>
      <c r="L2323" s="15"/>
    </row>
    <row r="2324" customFormat="false" ht="12.75" hidden="false" customHeight="false" outlineLevel="0" collapsed="false">
      <c r="A2324" s="0" t="s">
        <v>890</v>
      </c>
      <c r="E2324" s="9" t="str">
        <f aca="false">IF(D2324="?OLD","!!!","")</f>
        <v/>
      </c>
      <c r="F2324" s="10" t="str">
        <f aca="false">IF(OR(E2324="",E2324="!!!"),"",IF(NOT(ISNA(VLOOKUP(E2324,E$1:E2323,1,FALSE()))),"OLD",IF(AND(E2324&lt;&gt;"",E2324&lt;&gt;"!!!"),"NEW","")))</f>
        <v/>
      </c>
      <c r="G2324" s="11" t="str">
        <f aca="false">IF(OR(E2324="",E2324="!!!"),"",IF(OR(J2324=0,AND(J2324=1,K2324=1),AND(J2324=1,I2324="SBJ"),AND(J2324=1,I2324=0)),"?IN_FOCUS",IF(J2324&lt;=2,"?ACTIVATED",IF(J2324&lt;&gt;"","?FAMILIAR",IF(F2324="NEW",IF(ISNA(VLOOKUP(E2324,#REF!,1,FALSE())),"?TYPE_IDENTIFIABLE","?REFERENTIAL"),"_")))))</f>
        <v/>
      </c>
      <c r="H2324" s="12" t="str">
        <f aca="false">IF(J2324&lt;&gt;1,"",IF(I2324="SBJ","CB","?"))</f>
        <v/>
      </c>
      <c r="I2324" s="13" t="str">
        <f aca="false">IF(OR(E2324="",E2324="!!!",F2324="NEW"),"",INDEX(B$2:B2323,-1+SUMPRODUCT(MAX(ROW(E$2:E2323)*(E2324=E$2:E2323)))))</f>
        <v/>
      </c>
      <c r="J2324" s="14" t="str">
        <f aca="true">IF(OR(E2324="",E2324="!!!",F2324="NEW"),"",COUNTBLANK(OFFSET(A$1,,,SUMPRODUCT(MAX(ROW(E$2:E2324)*(E2324=E$2:E2324)))))-COUNTBLANK(OFFSET(A$1,,,SUMPRODUCT(MAX(ROW(E$1:E2323)*(E2324=E$1:E2323))))))</f>
        <v/>
      </c>
      <c r="K2324" s="14" t="str">
        <f aca="false">IF(OR(E2324="",E2324="!!!",F2324="NEW"),"",INDEX(J$1:J2323,SUMPRODUCT(MAX(ROW(E$1:E2323)*(E2324=E$1:E2323)))))</f>
        <v/>
      </c>
      <c r="L2324" s="15"/>
    </row>
    <row r="2325" customFormat="false" ht="12.75" hidden="false" customHeight="false" outlineLevel="0" collapsed="false">
      <c r="A2325" s="0" t="s">
        <v>716</v>
      </c>
      <c r="E2325" s="9" t="str">
        <f aca="false">IF(D2325="?OLD","!!!","")</f>
        <v/>
      </c>
      <c r="F2325" s="10" t="str">
        <f aca="false">IF(OR(E2325="",E2325="!!!"),"",IF(NOT(ISNA(VLOOKUP(E2325,E$1:E2324,1,FALSE()))),"OLD",IF(AND(E2325&lt;&gt;"",E2325&lt;&gt;"!!!"),"NEW","")))</f>
        <v/>
      </c>
      <c r="G2325" s="11" t="str">
        <f aca="false">IF(OR(E2325="",E2325="!!!"),"",IF(OR(J2325=0,AND(J2325=1,K2325=1),AND(J2325=1,I2325="SBJ"),AND(J2325=1,I2325=0)),"?IN_FOCUS",IF(J2325&lt;=2,"?ACTIVATED",IF(J2325&lt;&gt;"","?FAMILIAR",IF(F2325="NEW",IF(ISNA(VLOOKUP(E2325,#REF!,1,FALSE())),"?TYPE_IDENTIFIABLE","?REFERENTIAL"),"_")))))</f>
        <v/>
      </c>
      <c r="H2325" s="12" t="str">
        <f aca="false">IF(J2325&lt;&gt;1,"",IF(I2325="SBJ","CB","?"))</f>
        <v/>
      </c>
      <c r="I2325" s="13" t="str">
        <f aca="false">IF(OR(E2325="",E2325="!!!",F2325="NEW"),"",INDEX(B$2:B2324,-1+SUMPRODUCT(MAX(ROW(E$2:E2324)*(E2325=E$2:E2324)))))</f>
        <v/>
      </c>
      <c r="J2325" s="14" t="str">
        <f aca="true">IF(OR(E2325="",E2325="!!!",F2325="NEW"),"",COUNTBLANK(OFFSET(A$1,,,SUMPRODUCT(MAX(ROW(E$2:E2325)*(E2325=E$2:E2325)))))-COUNTBLANK(OFFSET(A$1,,,SUMPRODUCT(MAX(ROW(E$1:E2324)*(E2325=E$1:E2324))))))</f>
        <v/>
      </c>
      <c r="K2325" s="14" t="str">
        <f aca="false">IF(OR(E2325="",E2325="!!!",F2325="NEW"),"",INDEX(J$1:J2324,SUMPRODUCT(MAX(ROW(E$1:E2324)*(E2325=E$1:E2324)))))</f>
        <v/>
      </c>
      <c r="L2325" s="15"/>
    </row>
    <row r="2326" customFormat="false" ht="12.75" hidden="false" customHeight="false" outlineLevel="0" collapsed="false">
      <c r="A2326" s="0" t="s">
        <v>73</v>
      </c>
      <c r="E2326" s="9" t="str">
        <f aca="false">IF(D2326="?OLD","!!!","")</f>
        <v/>
      </c>
      <c r="F2326" s="10" t="str">
        <f aca="false">IF(OR(E2326="",E2326="!!!"),"",IF(NOT(ISNA(VLOOKUP(E2326,E$1:E2325,1,FALSE()))),"OLD",IF(AND(E2326&lt;&gt;"",E2326&lt;&gt;"!!!"),"NEW","")))</f>
        <v/>
      </c>
      <c r="G2326" s="11" t="str">
        <f aca="false">IF(OR(E2326="",E2326="!!!"),"",IF(OR(J2326=0,AND(J2326=1,K2326=1),AND(J2326=1,I2326="SBJ"),AND(J2326=1,I2326=0)),"?IN_FOCUS",IF(J2326&lt;=2,"?ACTIVATED",IF(J2326&lt;&gt;"","?FAMILIAR",IF(F2326="NEW",IF(ISNA(VLOOKUP(E2326,#REF!,1,FALSE())),"?TYPE_IDENTIFIABLE","?REFERENTIAL"),"_")))))</f>
        <v/>
      </c>
      <c r="H2326" s="12" t="str">
        <f aca="false">IF(J2326&lt;&gt;1,"",IF(I2326="SBJ","CB","?"))</f>
        <v/>
      </c>
      <c r="I2326" s="13" t="str">
        <f aca="false">IF(OR(E2326="",E2326="!!!",F2326="NEW"),"",INDEX(B$2:B2325,-1+SUMPRODUCT(MAX(ROW(E$2:E2325)*(E2326=E$2:E2325)))))</f>
        <v/>
      </c>
      <c r="J2326" s="14" t="str">
        <f aca="true">IF(OR(E2326="",E2326="!!!",F2326="NEW"),"",COUNTBLANK(OFFSET(A$1,,,SUMPRODUCT(MAX(ROW(E$2:E2326)*(E2326=E$2:E2326)))))-COUNTBLANK(OFFSET(A$1,,,SUMPRODUCT(MAX(ROW(E$1:E2325)*(E2326=E$1:E2325))))))</f>
        <v/>
      </c>
      <c r="K2326" s="14" t="str">
        <f aca="false">IF(OR(E2326="",E2326="!!!",F2326="NEW"),"",INDEX(J$1:J2325,SUMPRODUCT(MAX(ROW(E$1:E2325)*(E2326=E$1:E2325)))))</f>
        <v/>
      </c>
      <c r="L2326" s="15"/>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2025-11-15T16:05:22Z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